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/>
  <mc:AlternateContent xmlns:mc="http://schemas.openxmlformats.org/markup-compatibility/2006">
    <mc:Choice Requires="x15">
      <x15ac:absPath xmlns:x15ac="http://schemas.microsoft.com/office/spreadsheetml/2010/11/ac" url="/Users/maks/Documents/001. coins-mp _ site/"/>
    </mc:Choice>
  </mc:AlternateContent>
  <xr:revisionPtr revIDLastSave="0" documentId="13_ncr:1_{1A48DE98-DD90-694F-BE4F-A9BE54F1C621}" xr6:coauthVersionLast="47" xr6:coauthVersionMax="47" xr10:uidLastSave="{00000000-0000-0000-0000-000000000000}"/>
  <bookViews>
    <workbookView xWindow="0" yWindow="800" windowWidth="34560" windowHeight="20340" xr2:uid="{00000000-000D-0000-FFFF-FFFF00000000}"/>
  </bookViews>
  <sheets>
    <sheet name="Coins" sheetId="1" r:id="rId1"/>
    <sheet name="Lists" sheetId="2" r:id="rId2"/>
    <sheet name="Specifications" sheetId="3" r:id="rId3"/>
    <sheet name="Read M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" l="1"/>
  <c r="K7" i="1" a="1"/>
  <c r="K7" i="1" s="1"/>
  <c r="K8" i="1" a="1"/>
  <c r="K8" i="1" s="1"/>
  <c r="K9" i="1" a="1"/>
  <c r="K9" i="1" s="1"/>
  <c r="K10" i="1" a="1"/>
  <c r="K10" i="1" s="1"/>
  <c r="K11" i="1" a="1"/>
  <c r="K11" i="1" s="1"/>
  <c r="K12" i="1" a="1"/>
  <c r="K12" i="1" s="1"/>
  <c r="K13" i="1" a="1"/>
  <c r="K13" i="1" s="1"/>
  <c r="K14" i="1" a="1"/>
  <c r="K14" i="1" s="1"/>
  <c r="K15" i="1" a="1"/>
  <c r="K15" i="1" s="1"/>
  <c r="K16" i="1" a="1"/>
  <c r="K16" i="1" s="1"/>
  <c r="K17" i="1" a="1"/>
  <c r="K17" i="1" s="1"/>
  <c r="K18" i="1" a="1"/>
  <c r="K18" i="1" s="1"/>
  <c r="K19" i="1" a="1"/>
  <c r="K19" i="1" s="1"/>
  <c r="K20" i="1" a="1"/>
  <c r="K20" i="1" s="1"/>
  <c r="K21" i="1" a="1"/>
  <c r="K21" i="1" s="1"/>
  <c r="K22" i="1" a="1"/>
  <c r="K22" i="1" s="1"/>
  <c r="K23" i="1" a="1"/>
  <c r="K23" i="1" s="1"/>
  <c r="K24" i="1" a="1"/>
  <c r="K24" i="1" s="1"/>
  <c r="K25" i="1" a="1"/>
  <c r="K25" i="1" s="1"/>
  <c r="K26" i="1" a="1"/>
  <c r="K26" i="1" s="1"/>
  <c r="K27" i="1" a="1"/>
  <c r="K27" i="1" s="1"/>
  <c r="K28" i="1" a="1"/>
  <c r="K28" i="1" s="1"/>
  <c r="K29" i="1" a="1"/>
  <c r="K29" i="1" s="1"/>
  <c r="K30" i="1" a="1"/>
  <c r="K30" i="1" s="1"/>
  <c r="K31" i="1" a="1"/>
  <c r="K31" i="1" s="1"/>
  <c r="K32" i="1" a="1"/>
  <c r="K32" i="1" s="1"/>
  <c r="K3" i="1" a="1"/>
  <c r="K3" i="1" s="1"/>
  <c r="C18" i="1"/>
  <c r="F7" i="1"/>
  <c r="C7" i="1"/>
  <c r="K33" i="1" a="1"/>
  <c r="K33" i="1" s="1"/>
  <c r="K34" i="1" a="1"/>
  <c r="K34" i="1" s="1"/>
  <c r="K35" i="1" a="1"/>
  <c r="K35" i="1" s="1"/>
  <c r="K36" i="1" a="1"/>
  <c r="K36" i="1" s="1"/>
  <c r="K37" i="1" a="1"/>
  <c r="K37" i="1" s="1"/>
  <c r="K38" i="1" a="1"/>
  <c r="K38" i="1" s="1"/>
  <c r="K39" i="1" a="1"/>
  <c r="K39" i="1" s="1"/>
  <c r="K40" i="1" a="1"/>
  <c r="K40" i="1" s="1"/>
  <c r="K41" i="1" a="1"/>
  <c r="K41" i="1" s="1"/>
  <c r="K42" i="1" a="1"/>
  <c r="K42" i="1" s="1"/>
  <c r="K43" i="1" a="1"/>
  <c r="K43" i="1" s="1"/>
  <c r="K44" i="1" a="1"/>
  <c r="K44" i="1" s="1"/>
  <c r="K45" i="1" a="1"/>
  <c r="K45" i="1" s="1"/>
  <c r="K46" i="1" a="1"/>
  <c r="K46" i="1" s="1"/>
  <c r="K47" i="1" a="1"/>
  <c r="K47" i="1" s="1"/>
  <c r="K48" i="1" a="1"/>
  <c r="K48" i="1" s="1"/>
  <c r="K49" i="1" a="1"/>
  <c r="K49" i="1" s="1"/>
  <c r="K50" i="1" a="1"/>
  <c r="K50" i="1" s="1"/>
  <c r="K51" i="1" a="1"/>
  <c r="K51" i="1" s="1"/>
  <c r="K52" i="1" a="1"/>
  <c r="K52" i="1" s="1"/>
  <c r="K53" i="1" a="1"/>
  <c r="K53" i="1" s="1"/>
  <c r="K54" i="1" a="1"/>
  <c r="K54" i="1" s="1"/>
  <c r="K55" i="1" a="1"/>
  <c r="K55" i="1" s="1"/>
  <c r="K56" i="1" a="1"/>
  <c r="K56" i="1" s="1"/>
  <c r="K57" i="1" a="1"/>
  <c r="K57" i="1" s="1"/>
  <c r="K58" i="1" a="1"/>
  <c r="K58" i="1" s="1"/>
  <c r="K59" i="1" a="1"/>
  <c r="K59" i="1" s="1"/>
  <c r="K60" i="1" a="1"/>
  <c r="K60" i="1" s="1"/>
  <c r="K61" i="1" a="1"/>
  <c r="K61" i="1" s="1"/>
  <c r="K62" i="1" a="1"/>
  <c r="K62" i="1" s="1"/>
  <c r="K63" i="1" a="1"/>
  <c r="K63" i="1" s="1"/>
  <c r="K64" i="1" a="1"/>
  <c r="K64" i="1" s="1"/>
  <c r="K65" i="1" a="1"/>
  <c r="K65" i="1" s="1"/>
  <c r="K66" i="1" a="1"/>
  <c r="K66" i="1" s="1"/>
  <c r="K67" i="1" a="1"/>
  <c r="K67" i="1" s="1"/>
  <c r="K68" i="1" a="1"/>
  <c r="K68" i="1" s="1"/>
  <c r="K69" i="1" a="1"/>
  <c r="K69" i="1" s="1"/>
  <c r="K70" i="1" a="1"/>
  <c r="K70" i="1" s="1"/>
  <c r="K71" i="1" a="1"/>
  <c r="K71" i="1" s="1"/>
  <c r="K72" i="1" a="1"/>
  <c r="K72" i="1" s="1"/>
  <c r="K73" i="1" a="1"/>
  <c r="K73" i="1" s="1"/>
  <c r="K74" i="1" a="1"/>
  <c r="K74" i="1" s="1"/>
  <c r="K75" i="1" a="1"/>
  <c r="K75" i="1" s="1"/>
  <c r="K76" i="1" a="1"/>
  <c r="K76" i="1" s="1"/>
  <c r="K77" i="1" a="1"/>
  <c r="K77" i="1" s="1"/>
  <c r="K78" i="1" a="1"/>
  <c r="K78" i="1" s="1"/>
  <c r="K79" i="1" a="1"/>
  <c r="K79" i="1" s="1"/>
  <c r="K80" i="1" a="1"/>
  <c r="K80" i="1" s="1"/>
  <c r="K81" i="1" a="1"/>
  <c r="K81" i="1" s="1"/>
  <c r="K82" i="1" a="1"/>
  <c r="K82" i="1" s="1"/>
  <c r="K83" i="1" a="1"/>
  <c r="K83" i="1" s="1"/>
  <c r="K84" i="1" a="1"/>
  <c r="K84" i="1" s="1"/>
  <c r="K85" i="1" a="1"/>
  <c r="K85" i="1" s="1"/>
  <c r="K86" i="1" a="1"/>
  <c r="K86" i="1" s="1"/>
  <c r="K87" i="1" a="1"/>
  <c r="K87" i="1" s="1"/>
  <c r="K88" i="1" a="1"/>
  <c r="K88" i="1" s="1"/>
  <c r="K89" i="1" a="1"/>
  <c r="K89" i="1" s="1"/>
  <c r="K90" i="1" a="1"/>
  <c r="K90" i="1" s="1"/>
  <c r="K91" i="1" a="1"/>
  <c r="K91" i="1" s="1"/>
  <c r="K92" i="1" a="1"/>
  <c r="K92" i="1" s="1"/>
  <c r="K93" i="1" a="1"/>
  <c r="K93" i="1" s="1"/>
  <c r="K94" i="1" a="1"/>
  <c r="K94" i="1" s="1"/>
  <c r="K95" i="1" a="1"/>
  <c r="K95" i="1" s="1"/>
  <c r="K96" i="1" a="1"/>
  <c r="K96" i="1" s="1"/>
  <c r="K97" i="1" a="1"/>
  <c r="K97" i="1" s="1"/>
  <c r="K98" i="1" a="1"/>
  <c r="K98" i="1" s="1"/>
  <c r="K99" i="1" a="1"/>
  <c r="K99" i="1" s="1"/>
  <c r="K100" i="1" a="1"/>
  <c r="K100" i="1" s="1"/>
  <c r="K101" i="1" a="1"/>
  <c r="K101" i="1" s="1"/>
  <c r="K102" i="1" a="1"/>
  <c r="K102" i="1" s="1"/>
  <c r="K103" i="1" a="1"/>
  <c r="K103" i="1" s="1"/>
  <c r="K104" i="1" a="1"/>
  <c r="K104" i="1" s="1"/>
  <c r="K105" i="1" a="1"/>
  <c r="K105" i="1" s="1"/>
  <c r="K106" i="1" a="1"/>
  <c r="K106" i="1" s="1"/>
  <c r="K107" i="1" a="1"/>
  <c r="K107" i="1" s="1"/>
  <c r="K108" i="1" a="1"/>
  <c r="K108" i="1" s="1"/>
  <c r="K109" i="1" a="1"/>
  <c r="K109" i="1" s="1"/>
  <c r="K110" i="1" a="1"/>
  <c r="K110" i="1" s="1"/>
  <c r="K111" i="1" a="1"/>
  <c r="K111" i="1" s="1"/>
  <c r="K112" i="1" a="1"/>
  <c r="K112" i="1" s="1"/>
  <c r="K113" i="1" a="1"/>
  <c r="K113" i="1" s="1"/>
  <c r="K114" i="1" a="1"/>
  <c r="K114" i="1" s="1"/>
  <c r="K115" i="1" a="1"/>
  <c r="K115" i="1" s="1"/>
  <c r="K116" i="1" a="1"/>
  <c r="K116" i="1" s="1"/>
  <c r="K117" i="1" a="1"/>
  <c r="K117" i="1" s="1"/>
  <c r="K118" i="1" a="1"/>
  <c r="K118" i="1" s="1"/>
  <c r="K119" i="1" a="1"/>
  <c r="K119" i="1" s="1"/>
  <c r="K120" i="1" a="1"/>
  <c r="K120" i="1" s="1"/>
  <c r="K121" i="1" a="1"/>
  <c r="K121" i="1" s="1"/>
  <c r="K122" i="1" a="1"/>
  <c r="K122" i="1" s="1"/>
  <c r="K123" i="1" a="1"/>
  <c r="K123" i="1" s="1"/>
  <c r="K124" i="1" a="1"/>
  <c r="K124" i="1" s="1"/>
  <c r="K125" i="1" a="1"/>
  <c r="K125" i="1" s="1"/>
  <c r="K126" i="1" a="1"/>
  <c r="K126" i="1" s="1"/>
  <c r="K127" i="1" a="1"/>
  <c r="K127" i="1" s="1"/>
  <c r="K128" i="1" a="1"/>
  <c r="K128" i="1" s="1"/>
  <c r="K129" i="1" a="1"/>
  <c r="K129" i="1" s="1"/>
  <c r="K130" i="1" a="1"/>
  <c r="K130" i="1" s="1"/>
  <c r="K131" i="1" a="1"/>
  <c r="K131" i="1" s="1"/>
  <c r="K132" i="1" a="1"/>
  <c r="K132" i="1" s="1"/>
  <c r="K133" i="1" a="1"/>
  <c r="K133" i="1" s="1"/>
  <c r="K134" i="1" a="1"/>
  <c r="K134" i="1" s="1"/>
  <c r="K135" i="1" a="1"/>
  <c r="K135" i="1" s="1"/>
  <c r="K136" i="1" a="1"/>
  <c r="K136" i="1" s="1"/>
  <c r="K137" i="1" a="1"/>
  <c r="K137" i="1" s="1"/>
  <c r="K138" i="1" a="1"/>
  <c r="K138" i="1" s="1"/>
  <c r="K139" i="1" a="1"/>
  <c r="K139" i="1" s="1"/>
  <c r="K140" i="1" a="1"/>
  <c r="K140" i="1" s="1"/>
  <c r="K141" i="1" a="1"/>
  <c r="K141" i="1" s="1"/>
  <c r="K142" i="1" a="1"/>
  <c r="K142" i="1" s="1"/>
  <c r="K143" i="1" a="1"/>
  <c r="K143" i="1" s="1"/>
  <c r="K144" i="1" a="1"/>
  <c r="K144" i="1" s="1"/>
  <c r="K145" i="1" a="1"/>
  <c r="K145" i="1" s="1"/>
  <c r="K146" i="1" a="1"/>
  <c r="K146" i="1" s="1"/>
  <c r="K147" i="1" a="1"/>
  <c r="K147" i="1" s="1"/>
  <c r="K148" i="1" a="1"/>
  <c r="K148" i="1" s="1"/>
  <c r="K149" i="1" a="1"/>
  <c r="K149" i="1" s="1"/>
  <c r="K150" i="1" a="1"/>
  <c r="K150" i="1" s="1"/>
  <c r="K151" i="1" a="1"/>
  <c r="K151" i="1" s="1"/>
  <c r="K152" i="1" a="1"/>
  <c r="K152" i="1" s="1"/>
  <c r="K153" i="1" a="1"/>
  <c r="K153" i="1" s="1"/>
  <c r="K154" i="1" a="1"/>
  <c r="K154" i="1" s="1"/>
  <c r="K155" i="1" a="1"/>
  <c r="K155" i="1" s="1"/>
  <c r="K156" i="1" a="1"/>
  <c r="K156" i="1" s="1"/>
  <c r="K157" i="1" a="1"/>
  <c r="K157" i="1" s="1"/>
  <c r="K158" i="1" a="1"/>
  <c r="K158" i="1" s="1"/>
  <c r="K159" i="1" a="1"/>
  <c r="K159" i="1" s="1"/>
  <c r="K160" i="1" a="1"/>
  <c r="K160" i="1" s="1"/>
  <c r="K161" i="1" a="1"/>
  <c r="K161" i="1" s="1"/>
  <c r="K162" i="1" a="1"/>
  <c r="K162" i="1" s="1"/>
  <c r="K163" i="1" a="1"/>
  <c r="K163" i="1" s="1"/>
  <c r="K164" i="1" a="1"/>
  <c r="K164" i="1" s="1"/>
  <c r="K165" i="1" a="1"/>
  <c r="K165" i="1" s="1"/>
  <c r="K166" i="1" a="1"/>
  <c r="K166" i="1" s="1"/>
  <c r="K167" i="1" a="1"/>
  <c r="K167" i="1" s="1"/>
  <c r="K168" i="1" a="1"/>
  <c r="K168" i="1" s="1"/>
  <c r="K169" i="1" a="1"/>
  <c r="K169" i="1" s="1"/>
  <c r="K170" i="1" a="1"/>
  <c r="K170" i="1" s="1"/>
  <c r="K171" i="1" a="1"/>
  <c r="K171" i="1" s="1"/>
  <c r="K172" i="1" a="1"/>
  <c r="K172" i="1" s="1"/>
  <c r="K173" i="1" a="1"/>
  <c r="K173" i="1" s="1"/>
  <c r="K174" i="1" a="1"/>
  <c r="K174" i="1" s="1"/>
  <c r="K175" i="1" a="1"/>
  <c r="K175" i="1" s="1"/>
  <c r="K176" i="1" a="1"/>
  <c r="K176" i="1" s="1"/>
  <c r="K177" i="1" a="1"/>
  <c r="K177" i="1" s="1"/>
  <c r="K178" i="1" a="1"/>
  <c r="K178" i="1" s="1"/>
  <c r="K179" i="1" a="1"/>
  <c r="K179" i="1" s="1"/>
  <c r="K180" i="1" a="1"/>
  <c r="K180" i="1" s="1"/>
  <c r="K181" i="1" a="1"/>
  <c r="K181" i="1" s="1"/>
  <c r="K182" i="1" a="1"/>
  <c r="K182" i="1" s="1"/>
  <c r="K183" i="1" a="1"/>
  <c r="K183" i="1" s="1"/>
  <c r="K184" i="1" a="1"/>
  <c r="K184" i="1" s="1"/>
  <c r="K185" i="1" a="1"/>
  <c r="K185" i="1" s="1"/>
  <c r="K186" i="1" a="1"/>
  <c r="K186" i="1" s="1"/>
  <c r="K187" i="1" a="1"/>
  <c r="K187" i="1" s="1"/>
  <c r="K188" i="1" a="1"/>
  <c r="K188" i="1" s="1"/>
  <c r="K189" i="1" a="1"/>
  <c r="K189" i="1" s="1"/>
  <c r="K190" i="1" a="1"/>
  <c r="K190" i="1" s="1"/>
  <c r="K191" i="1" a="1"/>
  <c r="K191" i="1" s="1"/>
  <c r="K192" i="1" a="1"/>
  <c r="K192" i="1" s="1"/>
  <c r="K193" i="1" a="1"/>
  <c r="K193" i="1" s="1"/>
  <c r="K194" i="1" a="1"/>
  <c r="K194" i="1" s="1"/>
  <c r="K195" i="1" a="1"/>
  <c r="K195" i="1" s="1"/>
  <c r="K196" i="1" a="1"/>
  <c r="K196" i="1" s="1"/>
  <c r="K197" i="1" a="1"/>
  <c r="K197" i="1" s="1"/>
  <c r="K198" i="1" a="1"/>
  <c r="K198" i="1" s="1"/>
  <c r="K199" i="1" a="1"/>
  <c r="K199" i="1" s="1"/>
  <c r="K200" i="1" a="1"/>
  <c r="K200" i="1" s="1"/>
  <c r="K201" i="1" a="1"/>
  <c r="K201" i="1" s="1"/>
  <c r="K202" i="1" a="1"/>
  <c r="K202" i="1" s="1"/>
  <c r="K203" i="1" a="1"/>
  <c r="K203" i="1" s="1"/>
  <c r="K204" i="1" a="1"/>
  <c r="K204" i="1" s="1"/>
  <c r="K205" i="1" a="1"/>
  <c r="K205" i="1" s="1"/>
  <c r="K206" i="1" a="1"/>
  <c r="K206" i="1" s="1"/>
  <c r="K207" i="1" a="1"/>
  <c r="K207" i="1" s="1"/>
  <c r="K208" i="1" a="1"/>
  <c r="K208" i="1" s="1"/>
  <c r="K209" i="1" a="1"/>
  <c r="K209" i="1" s="1"/>
  <c r="K210" i="1" a="1"/>
  <c r="K210" i="1" s="1"/>
  <c r="K211" i="1" a="1"/>
  <c r="K211" i="1" s="1"/>
  <c r="K212" i="1" a="1"/>
  <c r="K212" i="1" s="1"/>
  <c r="K213" i="1" a="1"/>
  <c r="K213" i="1" s="1"/>
  <c r="K214" i="1" a="1"/>
  <c r="K214" i="1" s="1"/>
  <c r="K215" i="1" a="1"/>
  <c r="K215" i="1" s="1"/>
  <c r="K216" i="1" a="1"/>
  <c r="K216" i="1" s="1"/>
  <c r="K217" i="1" a="1"/>
  <c r="K217" i="1" s="1"/>
  <c r="K218" i="1" a="1"/>
  <c r="K218" i="1" s="1"/>
  <c r="K219" i="1" a="1"/>
  <c r="K219" i="1" s="1"/>
  <c r="K220" i="1" a="1"/>
  <c r="K220" i="1" s="1"/>
  <c r="K221" i="1" a="1"/>
  <c r="K221" i="1" s="1"/>
  <c r="K222" i="1" a="1"/>
  <c r="K222" i="1" s="1"/>
  <c r="K223" i="1" a="1"/>
  <c r="K223" i="1" s="1"/>
  <c r="K224" i="1" a="1"/>
  <c r="K224" i="1" s="1"/>
  <c r="K225" i="1" a="1"/>
  <c r="K225" i="1" s="1"/>
  <c r="K226" i="1" a="1"/>
  <c r="K226" i="1" s="1"/>
  <c r="K227" i="1" a="1"/>
  <c r="K227" i="1" s="1"/>
  <c r="K228" i="1" a="1"/>
  <c r="K228" i="1" s="1"/>
  <c r="K229" i="1" a="1"/>
  <c r="K229" i="1" s="1"/>
  <c r="K230" i="1" a="1"/>
  <c r="K230" i="1" s="1"/>
  <c r="K231" i="1" a="1"/>
  <c r="K231" i="1" s="1"/>
  <c r="K232" i="1" a="1"/>
  <c r="K232" i="1" s="1"/>
  <c r="K233" i="1" a="1"/>
  <c r="K233" i="1" s="1"/>
  <c r="K234" i="1" a="1"/>
  <c r="K234" i="1" s="1"/>
  <c r="K235" i="1" a="1"/>
  <c r="K235" i="1" s="1"/>
  <c r="K236" i="1" a="1"/>
  <c r="K236" i="1" s="1"/>
  <c r="K237" i="1" a="1"/>
  <c r="K237" i="1" s="1"/>
  <c r="K238" i="1" a="1"/>
  <c r="K238" i="1" s="1"/>
  <c r="K239" i="1" a="1"/>
  <c r="K239" i="1" s="1"/>
  <c r="K240" i="1" a="1"/>
  <c r="K240" i="1" s="1"/>
  <c r="K241" i="1" a="1"/>
  <c r="K241" i="1" s="1"/>
  <c r="K242" i="1" a="1"/>
  <c r="K242" i="1" s="1"/>
  <c r="K243" i="1" a="1"/>
  <c r="K243" i="1" s="1"/>
  <c r="K244" i="1" a="1"/>
  <c r="K244" i="1" s="1"/>
  <c r="K245" i="1" a="1"/>
  <c r="K245" i="1" s="1"/>
  <c r="K246" i="1" a="1"/>
  <c r="K246" i="1" s="1"/>
  <c r="K247" i="1" a="1"/>
  <c r="K247" i="1" s="1"/>
  <c r="K248" i="1" a="1"/>
  <c r="K248" i="1" s="1"/>
  <c r="K249" i="1" a="1"/>
  <c r="K249" i="1" s="1"/>
  <c r="K250" i="1" a="1"/>
  <c r="K250" i="1" s="1"/>
  <c r="K251" i="1" a="1"/>
  <c r="K251" i="1" s="1"/>
  <c r="K252" i="1" a="1"/>
  <c r="K252" i="1" s="1"/>
  <c r="K253" i="1" a="1"/>
  <c r="K253" i="1" s="1"/>
  <c r="K254" i="1" a="1"/>
  <c r="K254" i="1" s="1"/>
  <c r="K255" i="1" a="1"/>
  <c r="K255" i="1" s="1"/>
  <c r="K256" i="1" a="1"/>
  <c r="K256" i="1" s="1"/>
  <c r="K257" i="1" a="1"/>
  <c r="K257" i="1" s="1"/>
  <c r="K258" i="1" a="1"/>
  <c r="K258" i="1" s="1"/>
  <c r="K259" i="1" a="1"/>
  <c r="K259" i="1" s="1"/>
  <c r="K260" i="1" a="1"/>
  <c r="K260" i="1" s="1"/>
  <c r="K261" i="1" a="1"/>
  <c r="K261" i="1" s="1"/>
  <c r="K262" i="1" a="1"/>
  <c r="K262" i="1" s="1"/>
  <c r="K263" i="1" a="1"/>
  <c r="K263" i="1" s="1"/>
  <c r="K264" i="1" a="1"/>
  <c r="K264" i="1" s="1"/>
  <c r="K265" i="1" a="1"/>
  <c r="K265" i="1" s="1"/>
  <c r="K266" i="1" a="1"/>
  <c r="K266" i="1" s="1"/>
  <c r="K267" i="1" a="1"/>
  <c r="K267" i="1" s="1"/>
  <c r="K268" i="1" a="1"/>
  <c r="K268" i="1" s="1"/>
  <c r="K269" i="1" a="1"/>
  <c r="K269" i="1" s="1"/>
  <c r="K270" i="1" a="1"/>
  <c r="K270" i="1" s="1"/>
  <c r="K271" i="1" a="1"/>
  <c r="K271" i="1" s="1"/>
  <c r="K272" i="1" a="1"/>
  <c r="K272" i="1" s="1"/>
  <c r="K273" i="1" a="1"/>
  <c r="K273" i="1" s="1"/>
  <c r="K274" i="1" a="1"/>
  <c r="K274" i="1" s="1"/>
  <c r="K275" i="1" a="1"/>
  <c r="K275" i="1" s="1"/>
  <c r="K276" i="1" a="1"/>
  <c r="K276" i="1" s="1"/>
  <c r="K277" i="1" a="1"/>
  <c r="K277" i="1" s="1"/>
  <c r="K278" i="1" a="1"/>
  <c r="K278" i="1" s="1"/>
  <c r="K279" i="1" a="1"/>
  <c r="K279" i="1" s="1"/>
  <c r="K280" i="1" a="1"/>
  <c r="K280" i="1" s="1"/>
  <c r="K281" i="1" a="1"/>
  <c r="K281" i="1" s="1"/>
  <c r="K282" i="1" a="1"/>
  <c r="K282" i="1" s="1"/>
  <c r="K283" i="1" a="1"/>
  <c r="K283" i="1" s="1"/>
  <c r="K284" i="1" a="1"/>
  <c r="K284" i="1" s="1"/>
  <c r="K285" i="1" a="1"/>
  <c r="K285" i="1" s="1"/>
  <c r="K286" i="1" a="1"/>
  <c r="K286" i="1" s="1"/>
  <c r="K287" i="1" a="1"/>
  <c r="K287" i="1" s="1"/>
  <c r="K288" i="1" a="1"/>
  <c r="K288" i="1" s="1"/>
  <c r="K289" i="1" a="1"/>
  <c r="K289" i="1" s="1"/>
  <c r="K290" i="1" a="1"/>
  <c r="K290" i="1" s="1"/>
  <c r="K291" i="1" a="1"/>
  <c r="K291" i="1" s="1"/>
  <c r="K292" i="1" a="1"/>
  <c r="K292" i="1" s="1"/>
  <c r="K293" i="1" a="1"/>
  <c r="K293" i="1" s="1"/>
  <c r="K294" i="1" a="1"/>
  <c r="K294" i="1" s="1"/>
  <c r="K295" i="1" a="1"/>
  <c r="K295" i="1" s="1"/>
  <c r="K296" i="1" a="1"/>
  <c r="K296" i="1" s="1"/>
  <c r="K297" i="1" a="1"/>
  <c r="K297" i="1" s="1"/>
  <c r="K298" i="1" a="1"/>
  <c r="K298" i="1" s="1"/>
  <c r="K299" i="1" a="1"/>
  <c r="K299" i="1" s="1"/>
  <c r="K300" i="1" a="1"/>
  <c r="K300" i="1" s="1"/>
  <c r="K301" i="1" a="1"/>
  <c r="K301" i="1" s="1"/>
  <c r="K302" i="1" a="1"/>
  <c r="K302" i="1" s="1"/>
  <c r="K303" i="1" a="1"/>
  <c r="K303" i="1" s="1"/>
  <c r="K304" i="1" a="1"/>
  <c r="K304" i="1" s="1"/>
  <c r="K305" i="1" a="1"/>
  <c r="K305" i="1" s="1"/>
  <c r="K306" i="1" a="1"/>
  <c r="K306" i="1" s="1"/>
  <c r="K307" i="1" a="1"/>
  <c r="K307" i="1" s="1"/>
  <c r="K308" i="1" a="1"/>
  <c r="K308" i="1" s="1"/>
  <c r="K309" i="1" a="1"/>
  <c r="K309" i="1" s="1"/>
  <c r="K310" i="1" a="1"/>
  <c r="K310" i="1" s="1"/>
  <c r="K311" i="1" a="1"/>
  <c r="K311" i="1" s="1"/>
  <c r="K312" i="1" a="1"/>
  <c r="K312" i="1" s="1"/>
  <c r="K313" i="1" a="1"/>
  <c r="K313" i="1" s="1"/>
  <c r="K314" i="1" a="1"/>
  <c r="K314" i="1" s="1"/>
  <c r="K315" i="1" a="1"/>
  <c r="K315" i="1" s="1"/>
  <c r="K316" i="1" a="1"/>
  <c r="K316" i="1" s="1"/>
  <c r="K317" i="1" a="1"/>
  <c r="K317" i="1" s="1"/>
  <c r="K318" i="1" a="1"/>
  <c r="K318" i="1" s="1"/>
  <c r="K319" i="1" a="1"/>
  <c r="K319" i="1" s="1"/>
  <c r="K320" i="1" a="1"/>
  <c r="K320" i="1" s="1"/>
  <c r="K321" i="1" a="1"/>
  <c r="K321" i="1" s="1"/>
  <c r="K322" i="1" a="1"/>
  <c r="K322" i="1" s="1"/>
  <c r="K323" i="1" a="1"/>
  <c r="K323" i="1" s="1"/>
  <c r="K324" i="1" a="1"/>
  <c r="K324" i="1" s="1"/>
  <c r="K325" i="1" a="1"/>
  <c r="K325" i="1" s="1"/>
  <c r="K326" i="1" a="1"/>
  <c r="K326" i="1" s="1"/>
  <c r="K327" i="1" a="1"/>
  <c r="K327" i="1" s="1"/>
  <c r="K328" i="1" a="1"/>
  <c r="K328" i="1" s="1"/>
  <c r="K329" i="1" a="1"/>
  <c r="K329" i="1" s="1"/>
  <c r="K330" i="1" a="1"/>
  <c r="K330" i="1" s="1"/>
  <c r="K331" i="1" a="1"/>
  <c r="K331" i="1" s="1"/>
  <c r="K332" i="1" a="1"/>
  <c r="K332" i="1" s="1"/>
  <c r="K333" i="1" a="1"/>
  <c r="K333" i="1" s="1"/>
  <c r="K334" i="1" a="1"/>
  <c r="K334" i="1" s="1"/>
  <c r="K335" i="1" a="1"/>
  <c r="K335" i="1" s="1"/>
  <c r="K336" i="1" a="1"/>
  <c r="K336" i="1" s="1"/>
  <c r="K337" i="1" a="1"/>
  <c r="K337" i="1" s="1"/>
  <c r="K338" i="1" a="1"/>
  <c r="K338" i="1" s="1"/>
  <c r="K339" i="1" a="1"/>
  <c r="K339" i="1" s="1"/>
  <c r="K340" i="1" a="1"/>
  <c r="K340" i="1" s="1"/>
  <c r="K341" i="1" a="1"/>
  <c r="K341" i="1" s="1"/>
  <c r="K342" i="1" a="1"/>
  <c r="K342" i="1" s="1"/>
  <c r="K343" i="1" a="1"/>
  <c r="K343" i="1" s="1"/>
  <c r="K344" i="1" a="1"/>
  <c r="K344" i="1" s="1"/>
  <c r="K345" i="1" a="1"/>
  <c r="K345" i="1" s="1"/>
  <c r="K346" i="1" a="1"/>
  <c r="K346" i="1" s="1"/>
  <c r="K347" i="1" a="1"/>
  <c r="K347" i="1" s="1"/>
  <c r="K348" i="1" a="1"/>
  <c r="K348" i="1" s="1"/>
  <c r="K349" i="1" a="1"/>
  <c r="K349" i="1" s="1"/>
  <c r="K350" i="1" a="1"/>
  <c r="K350" i="1" s="1"/>
  <c r="K351" i="1" a="1"/>
  <c r="K351" i="1" s="1"/>
  <c r="K352" i="1" a="1"/>
  <c r="K352" i="1" s="1"/>
  <c r="K353" i="1" a="1"/>
  <c r="K353" i="1" s="1"/>
  <c r="K354" i="1" a="1"/>
  <c r="K354" i="1" s="1"/>
  <c r="K355" i="1" a="1"/>
  <c r="K355" i="1" s="1"/>
  <c r="K356" i="1" a="1"/>
  <c r="K356" i="1" s="1"/>
  <c r="K357" i="1" a="1"/>
  <c r="K357" i="1" s="1"/>
  <c r="K358" i="1" a="1"/>
  <c r="K358" i="1" s="1"/>
  <c r="K359" i="1" a="1"/>
  <c r="K359" i="1" s="1"/>
  <c r="K360" i="1" a="1"/>
  <c r="K360" i="1" s="1"/>
  <c r="K361" i="1" a="1"/>
  <c r="K361" i="1" s="1"/>
  <c r="K362" i="1" a="1"/>
  <c r="K362" i="1" s="1"/>
  <c r="K363" i="1" a="1"/>
  <c r="K363" i="1" s="1"/>
  <c r="K364" i="1" a="1"/>
  <c r="K364" i="1" s="1"/>
  <c r="K365" i="1" a="1"/>
  <c r="K365" i="1" s="1"/>
  <c r="K366" i="1" a="1"/>
  <c r="K366" i="1" s="1"/>
  <c r="K367" i="1" a="1"/>
  <c r="K367" i="1" s="1"/>
  <c r="K368" i="1" a="1"/>
  <c r="K368" i="1" s="1"/>
  <c r="K369" i="1" a="1"/>
  <c r="K369" i="1" s="1"/>
  <c r="K370" i="1" a="1"/>
  <c r="K370" i="1" s="1"/>
  <c r="K371" i="1" a="1"/>
  <c r="K371" i="1" s="1"/>
  <c r="K372" i="1" a="1"/>
  <c r="K372" i="1" s="1"/>
  <c r="K373" i="1" a="1"/>
  <c r="K373" i="1" s="1"/>
  <c r="K374" i="1" a="1"/>
  <c r="K374" i="1" s="1"/>
  <c r="K375" i="1" a="1"/>
  <c r="K375" i="1" s="1"/>
  <c r="K376" i="1" a="1"/>
  <c r="K376" i="1" s="1"/>
  <c r="K377" i="1" a="1"/>
  <c r="K377" i="1" s="1"/>
  <c r="K378" i="1" a="1"/>
  <c r="K378" i="1" s="1"/>
  <c r="K379" i="1" a="1"/>
  <c r="K379" i="1" s="1"/>
  <c r="K380" i="1" a="1"/>
  <c r="K380" i="1" s="1"/>
  <c r="K381" i="1" a="1"/>
  <c r="K381" i="1" s="1"/>
  <c r="K382" i="1" a="1"/>
  <c r="K382" i="1" s="1"/>
  <c r="K383" i="1" a="1"/>
  <c r="K383" i="1" s="1"/>
  <c r="K384" i="1" a="1"/>
  <c r="K384" i="1" s="1"/>
  <c r="K385" i="1" a="1"/>
  <c r="K385" i="1" s="1"/>
  <c r="K386" i="1" a="1"/>
  <c r="K386" i="1" s="1"/>
  <c r="K387" i="1" a="1"/>
  <c r="K387" i="1" s="1"/>
  <c r="K388" i="1" a="1"/>
  <c r="K388" i="1" s="1"/>
  <c r="K389" i="1" a="1"/>
  <c r="K389" i="1" s="1"/>
  <c r="K390" i="1" a="1"/>
  <c r="K390" i="1" s="1"/>
  <c r="K391" i="1" a="1"/>
  <c r="K391" i="1" s="1"/>
  <c r="K392" i="1" a="1"/>
  <c r="K392" i="1" s="1"/>
  <c r="K393" i="1" a="1"/>
  <c r="K393" i="1" s="1"/>
  <c r="K394" i="1" a="1"/>
  <c r="K394" i="1" s="1"/>
  <c r="K395" i="1" a="1"/>
  <c r="K395" i="1" s="1"/>
  <c r="K396" i="1" a="1"/>
  <c r="K396" i="1" s="1"/>
  <c r="K397" i="1" a="1"/>
  <c r="K397" i="1" s="1"/>
  <c r="K398" i="1" a="1"/>
  <c r="K398" i="1" s="1"/>
  <c r="K399" i="1" a="1"/>
  <c r="K399" i="1" s="1"/>
  <c r="K400" i="1" a="1"/>
  <c r="K400" i="1" s="1"/>
  <c r="K401" i="1" a="1"/>
  <c r="K401" i="1" s="1"/>
  <c r="K402" i="1" a="1"/>
  <c r="K402" i="1" s="1"/>
  <c r="K403" i="1" a="1"/>
  <c r="K403" i="1" s="1"/>
  <c r="K404" i="1" a="1"/>
  <c r="K404" i="1" s="1"/>
  <c r="K405" i="1" a="1"/>
  <c r="K405" i="1" s="1"/>
  <c r="K406" i="1" a="1"/>
  <c r="K406" i="1" s="1"/>
  <c r="K407" i="1" a="1"/>
  <c r="K407" i="1" s="1"/>
  <c r="K408" i="1" a="1"/>
  <c r="K408" i="1" s="1"/>
  <c r="K409" i="1" a="1"/>
  <c r="K409" i="1" s="1"/>
  <c r="K410" i="1" a="1"/>
  <c r="K410" i="1" s="1"/>
  <c r="K411" i="1" a="1"/>
  <c r="K411" i="1" s="1"/>
  <c r="K412" i="1" a="1"/>
  <c r="K412" i="1" s="1"/>
  <c r="K413" i="1" a="1"/>
  <c r="K413" i="1" s="1"/>
  <c r="K414" i="1" a="1"/>
  <c r="K414" i="1" s="1"/>
  <c r="K415" i="1" a="1"/>
  <c r="K415" i="1" s="1"/>
  <c r="K416" i="1" a="1"/>
  <c r="K416" i="1" s="1"/>
  <c r="K417" i="1" a="1"/>
  <c r="K417" i="1" s="1"/>
  <c r="K418" i="1" a="1"/>
  <c r="K418" i="1" s="1"/>
  <c r="K419" i="1" a="1"/>
  <c r="K419" i="1" s="1"/>
  <c r="K420" i="1" a="1"/>
  <c r="K420" i="1" s="1"/>
  <c r="K421" i="1" a="1"/>
  <c r="K421" i="1" s="1"/>
  <c r="K422" i="1" a="1"/>
  <c r="K422" i="1" s="1"/>
  <c r="K423" i="1" a="1"/>
  <c r="K423" i="1" s="1"/>
  <c r="K424" i="1" a="1"/>
  <c r="K424" i="1" s="1"/>
  <c r="K425" i="1" a="1"/>
  <c r="K425" i="1" s="1"/>
  <c r="K426" i="1" a="1"/>
  <c r="K426" i="1" s="1"/>
  <c r="K427" i="1" a="1"/>
  <c r="K427" i="1" s="1"/>
  <c r="K428" i="1" a="1"/>
  <c r="K428" i="1" s="1"/>
  <c r="K429" i="1" a="1"/>
  <c r="K429" i="1" s="1"/>
  <c r="K430" i="1" a="1"/>
  <c r="K430" i="1" s="1"/>
  <c r="K431" i="1" a="1"/>
  <c r="K431" i="1" s="1"/>
  <c r="K432" i="1" a="1"/>
  <c r="K432" i="1" s="1"/>
  <c r="K433" i="1" a="1"/>
  <c r="K433" i="1" s="1"/>
  <c r="K434" i="1" a="1"/>
  <c r="K434" i="1" s="1"/>
  <c r="K435" i="1" a="1"/>
  <c r="K435" i="1" s="1"/>
  <c r="K436" i="1" a="1"/>
  <c r="K436" i="1" s="1"/>
  <c r="K437" i="1" a="1"/>
  <c r="K437" i="1" s="1"/>
  <c r="K438" i="1" a="1"/>
  <c r="K438" i="1" s="1"/>
  <c r="K439" i="1" a="1"/>
  <c r="K439" i="1" s="1"/>
  <c r="K440" i="1" a="1"/>
  <c r="K440" i="1" s="1"/>
  <c r="K441" i="1" a="1"/>
  <c r="K441" i="1" s="1"/>
  <c r="K442" i="1" a="1"/>
  <c r="K442" i="1" s="1"/>
  <c r="K443" i="1" a="1"/>
  <c r="K443" i="1" s="1"/>
  <c r="K444" i="1" a="1"/>
  <c r="K444" i="1" s="1"/>
  <c r="K445" i="1" a="1"/>
  <c r="K445" i="1" s="1"/>
  <c r="K446" i="1" a="1"/>
  <c r="K446" i="1" s="1"/>
  <c r="K447" i="1" a="1"/>
  <c r="K447" i="1" s="1"/>
  <c r="K448" i="1" a="1"/>
  <c r="K448" i="1" s="1"/>
  <c r="K449" i="1" a="1"/>
  <c r="K449" i="1" s="1"/>
  <c r="K450" i="1" a="1"/>
  <c r="K450" i="1" s="1"/>
  <c r="K451" i="1" a="1"/>
  <c r="K451" i="1" s="1"/>
  <c r="K452" i="1" a="1"/>
  <c r="K452" i="1" s="1"/>
  <c r="K453" i="1" a="1"/>
  <c r="K453" i="1" s="1"/>
  <c r="K454" i="1" a="1"/>
  <c r="K454" i="1" s="1"/>
  <c r="K455" i="1" a="1"/>
  <c r="K455" i="1" s="1"/>
  <c r="K456" i="1" a="1"/>
  <c r="K456" i="1" s="1"/>
  <c r="K457" i="1" a="1"/>
  <c r="K457" i="1" s="1"/>
  <c r="K458" i="1" a="1"/>
  <c r="K458" i="1" s="1"/>
  <c r="K459" i="1" a="1"/>
  <c r="K459" i="1" s="1"/>
  <c r="K460" i="1" a="1"/>
  <c r="K460" i="1" s="1"/>
  <c r="K461" i="1" a="1"/>
  <c r="K461" i="1" s="1"/>
  <c r="K462" i="1" a="1"/>
  <c r="K462" i="1" s="1"/>
  <c r="K463" i="1" a="1"/>
  <c r="K463" i="1" s="1"/>
  <c r="K464" i="1" a="1"/>
  <c r="K464" i="1" s="1"/>
  <c r="K465" i="1" a="1"/>
  <c r="K465" i="1" s="1"/>
  <c r="K466" i="1" a="1"/>
  <c r="K466" i="1" s="1"/>
  <c r="K467" i="1" a="1"/>
  <c r="K467" i="1" s="1"/>
  <c r="K468" i="1" a="1"/>
  <c r="K468" i="1" s="1"/>
  <c r="K469" i="1" a="1"/>
  <c r="K469" i="1" s="1"/>
  <c r="K470" i="1" a="1"/>
  <c r="K470" i="1" s="1"/>
  <c r="K471" i="1" a="1"/>
  <c r="K471" i="1" s="1"/>
  <c r="K472" i="1" a="1"/>
  <c r="K472" i="1" s="1"/>
  <c r="K473" i="1" a="1"/>
  <c r="K473" i="1" s="1"/>
  <c r="K474" i="1" a="1"/>
  <c r="K474" i="1" s="1"/>
  <c r="K475" i="1" a="1"/>
  <c r="K475" i="1" s="1"/>
  <c r="K476" i="1" a="1"/>
  <c r="K476" i="1" s="1"/>
  <c r="K477" i="1" a="1"/>
  <c r="K477" i="1" s="1"/>
  <c r="K478" i="1" a="1"/>
  <c r="K478" i="1" s="1"/>
  <c r="K479" i="1" a="1"/>
  <c r="K479" i="1" s="1"/>
  <c r="K480" i="1" a="1"/>
  <c r="K480" i="1" s="1"/>
  <c r="K481" i="1" a="1"/>
  <c r="K481" i="1" s="1"/>
  <c r="K482" i="1" a="1"/>
  <c r="K482" i="1" s="1"/>
  <c r="K483" i="1" a="1"/>
  <c r="K483" i="1" s="1"/>
  <c r="K484" i="1" a="1"/>
  <c r="K484" i="1" s="1"/>
  <c r="K485" i="1" a="1"/>
  <c r="K485" i="1" s="1"/>
  <c r="K486" i="1" a="1"/>
  <c r="K486" i="1" s="1"/>
  <c r="K487" i="1" a="1"/>
  <c r="K487" i="1" s="1"/>
  <c r="K488" i="1" a="1"/>
  <c r="K488" i="1" s="1"/>
  <c r="K489" i="1" a="1"/>
  <c r="K489" i="1" s="1"/>
  <c r="K490" i="1" a="1"/>
  <c r="K490" i="1" s="1"/>
  <c r="K491" i="1" a="1"/>
  <c r="K491" i="1" s="1"/>
  <c r="K492" i="1" a="1"/>
  <c r="K492" i="1" s="1"/>
  <c r="K493" i="1" a="1"/>
  <c r="K493" i="1" s="1"/>
  <c r="K494" i="1" a="1"/>
  <c r="K494" i="1" s="1"/>
  <c r="K495" i="1" a="1"/>
  <c r="K495" i="1" s="1"/>
  <c r="K496" i="1" a="1"/>
  <c r="K496" i="1" s="1"/>
  <c r="K497" i="1" a="1"/>
  <c r="K497" i="1" s="1"/>
  <c r="K498" i="1" a="1"/>
  <c r="K498" i="1" s="1"/>
  <c r="K499" i="1" a="1"/>
  <c r="K499" i="1" s="1"/>
  <c r="K500" i="1" a="1"/>
  <c r="K500" i="1" s="1"/>
  <c r="K501" i="1" a="1"/>
  <c r="K501" i="1" s="1"/>
  <c r="K502" i="1" a="1"/>
  <c r="K502" i="1" s="1"/>
  <c r="K503" i="1" a="1"/>
  <c r="K503" i="1" s="1"/>
  <c r="K504" i="1" a="1"/>
  <c r="K504" i="1" s="1"/>
  <c r="K505" i="1" a="1"/>
  <c r="K505" i="1" s="1"/>
  <c r="K506" i="1" a="1"/>
  <c r="K506" i="1" s="1"/>
  <c r="K507" i="1" a="1"/>
  <c r="K507" i="1" s="1"/>
  <c r="K508" i="1" a="1"/>
  <c r="K508" i="1" s="1"/>
  <c r="K509" i="1" a="1"/>
  <c r="K509" i="1" s="1"/>
  <c r="K510" i="1" a="1"/>
  <c r="K510" i="1" s="1"/>
  <c r="K511" i="1" a="1"/>
  <c r="K511" i="1" s="1"/>
  <c r="K512" i="1" a="1"/>
  <c r="K512" i="1" s="1"/>
  <c r="K513" i="1" a="1"/>
  <c r="K513" i="1" s="1"/>
  <c r="K514" i="1" a="1"/>
  <c r="K514" i="1" s="1"/>
  <c r="K515" i="1" a="1"/>
  <c r="K515" i="1" s="1"/>
  <c r="K516" i="1" a="1"/>
  <c r="K516" i="1" s="1"/>
  <c r="K517" i="1" a="1"/>
  <c r="K517" i="1" s="1"/>
  <c r="K518" i="1" a="1"/>
  <c r="K518" i="1" s="1"/>
  <c r="K519" i="1" a="1"/>
  <c r="K519" i="1" s="1"/>
  <c r="K520" i="1" a="1"/>
  <c r="K520" i="1" s="1"/>
  <c r="K521" i="1" a="1"/>
  <c r="K521" i="1" s="1"/>
  <c r="K522" i="1" a="1"/>
  <c r="K522" i="1" s="1"/>
  <c r="K523" i="1" a="1"/>
  <c r="K523" i="1" s="1"/>
  <c r="K524" i="1" a="1"/>
  <c r="K524" i="1" s="1"/>
  <c r="K525" i="1" a="1"/>
  <c r="K525" i="1" s="1"/>
  <c r="K526" i="1" a="1"/>
  <c r="K526" i="1" s="1"/>
  <c r="K527" i="1" a="1"/>
  <c r="K527" i="1" s="1"/>
  <c r="K528" i="1" a="1"/>
  <c r="K528" i="1" s="1"/>
  <c r="K529" i="1" a="1"/>
  <c r="K529" i="1" s="1"/>
  <c r="K530" i="1" a="1"/>
  <c r="K530" i="1" s="1"/>
  <c r="K531" i="1" a="1"/>
  <c r="K531" i="1" s="1"/>
  <c r="K532" i="1" a="1"/>
  <c r="K532" i="1" s="1"/>
  <c r="K533" i="1" a="1"/>
  <c r="K533" i="1" s="1"/>
  <c r="K534" i="1" a="1"/>
  <c r="K534" i="1" s="1"/>
  <c r="K535" i="1" a="1"/>
  <c r="K535" i="1" s="1"/>
  <c r="K536" i="1" a="1"/>
  <c r="K536" i="1" s="1"/>
  <c r="K537" i="1" a="1"/>
  <c r="K537" i="1" s="1"/>
  <c r="K538" i="1" a="1"/>
  <c r="K538" i="1" s="1"/>
  <c r="K539" i="1" a="1"/>
  <c r="K539" i="1" s="1"/>
  <c r="K540" i="1" a="1"/>
  <c r="K540" i="1" s="1"/>
  <c r="K541" i="1" a="1"/>
  <c r="K541" i="1" s="1"/>
  <c r="K542" i="1" a="1"/>
  <c r="K542" i="1" s="1"/>
  <c r="K543" i="1" a="1"/>
  <c r="K543" i="1" s="1"/>
  <c r="K544" i="1" a="1"/>
  <c r="K544" i="1" s="1"/>
  <c r="K545" i="1" a="1"/>
  <c r="K545" i="1" s="1"/>
  <c r="K546" i="1" a="1"/>
  <c r="K546" i="1" s="1"/>
  <c r="K547" i="1" a="1"/>
  <c r="K547" i="1" s="1"/>
  <c r="K548" i="1" a="1"/>
  <c r="K548" i="1" s="1"/>
  <c r="K549" i="1" a="1"/>
  <c r="K549" i="1" s="1"/>
  <c r="K550" i="1" a="1"/>
  <c r="K550" i="1" s="1"/>
  <c r="K551" i="1" a="1"/>
  <c r="K551" i="1" s="1"/>
  <c r="K552" i="1" a="1"/>
  <c r="K552" i="1" s="1"/>
  <c r="K553" i="1" a="1"/>
  <c r="K553" i="1" s="1"/>
  <c r="K554" i="1" a="1"/>
  <c r="K554" i="1" s="1"/>
  <c r="K555" i="1" a="1"/>
  <c r="K555" i="1" s="1"/>
  <c r="K556" i="1" a="1"/>
  <c r="K556" i="1" s="1"/>
  <c r="K557" i="1" a="1"/>
  <c r="K557" i="1" s="1"/>
  <c r="K558" i="1" a="1"/>
  <c r="K558" i="1" s="1"/>
  <c r="K559" i="1" a="1"/>
  <c r="K559" i="1" s="1"/>
  <c r="K560" i="1" a="1"/>
  <c r="K560" i="1" s="1"/>
  <c r="K561" i="1" a="1"/>
  <c r="K561" i="1" s="1"/>
  <c r="K562" i="1" a="1"/>
  <c r="K562" i="1" s="1"/>
  <c r="K563" i="1" a="1"/>
  <c r="K563" i="1" s="1"/>
  <c r="K564" i="1" a="1"/>
  <c r="K564" i="1" s="1"/>
  <c r="K565" i="1" a="1"/>
  <c r="K565" i="1" s="1"/>
  <c r="K566" i="1" a="1"/>
  <c r="K566" i="1" s="1"/>
  <c r="K567" i="1" a="1"/>
  <c r="K567" i="1" s="1"/>
  <c r="K568" i="1" a="1"/>
  <c r="K568" i="1" s="1"/>
  <c r="K569" i="1" a="1"/>
  <c r="K569" i="1" s="1"/>
  <c r="K570" i="1" a="1"/>
  <c r="K570" i="1" s="1"/>
  <c r="K571" i="1" a="1"/>
  <c r="K571" i="1" s="1"/>
  <c r="K572" i="1" a="1"/>
  <c r="K572" i="1" s="1"/>
  <c r="K573" i="1" a="1"/>
  <c r="K573" i="1" s="1"/>
  <c r="K574" i="1" a="1"/>
  <c r="K574" i="1" s="1"/>
  <c r="K575" i="1" a="1"/>
  <c r="K575" i="1" s="1"/>
  <c r="K576" i="1" a="1"/>
  <c r="K576" i="1" s="1"/>
  <c r="K577" i="1" a="1"/>
  <c r="K577" i="1" s="1"/>
  <c r="K578" i="1" a="1"/>
  <c r="K578" i="1" s="1"/>
  <c r="K579" i="1" a="1"/>
  <c r="K579" i="1" s="1"/>
  <c r="K580" i="1" a="1"/>
  <c r="K580" i="1" s="1"/>
  <c r="K581" i="1" a="1"/>
  <c r="K581" i="1" s="1"/>
  <c r="K582" i="1" a="1"/>
  <c r="K582" i="1" s="1"/>
  <c r="K583" i="1" a="1"/>
  <c r="K583" i="1" s="1"/>
  <c r="K584" i="1" a="1"/>
  <c r="K584" i="1" s="1"/>
  <c r="K585" i="1" a="1"/>
  <c r="K585" i="1" s="1"/>
  <c r="K586" i="1" a="1"/>
  <c r="K586" i="1" s="1"/>
  <c r="K587" i="1" a="1"/>
  <c r="K587" i="1" s="1"/>
  <c r="K588" i="1" a="1"/>
  <c r="K588" i="1" s="1"/>
  <c r="K589" i="1" a="1"/>
  <c r="K589" i="1" s="1"/>
  <c r="K590" i="1" a="1"/>
  <c r="K590" i="1" s="1"/>
  <c r="K591" i="1" a="1"/>
  <c r="K591" i="1" s="1"/>
  <c r="K592" i="1" a="1"/>
  <c r="K592" i="1" s="1"/>
  <c r="K593" i="1" a="1"/>
  <c r="K593" i="1" s="1"/>
  <c r="K594" i="1" a="1"/>
  <c r="K594" i="1" s="1"/>
  <c r="K595" i="1" a="1"/>
  <c r="K595" i="1" s="1"/>
  <c r="K596" i="1" a="1"/>
  <c r="K596" i="1" s="1"/>
  <c r="K597" i="1" a="1"/>
  <c r="K597" i="1" s="1"/>
  <c r="K598" i="1" a="1"/>
  <c r="K598" i="1" s="1"/>
  <c r="K599" i="1" a="1"/>
  <c r="K599" i="1" s="1"/>
  <c r="K600" i="1" a="1"/>
  <c r="K600" i="1" s="1"/>
  <c r="K601" i="1" a="1"/>
  <c r="K601" i="1" s="1"/>
  <c r="K602" i="1" a="1"/>
  <c r="K602" i="1" s="1"/>
  <c r="K603" i="1" a="1"/>
  <c r="K603" i="1" s="1"/>
  <c r="K604" i="1" a="1"/>
  <c r="K604" i="1" s="1"/>
  <c r="K605" i="1" a="1"/>
  <c r="K605" i="1" s="1"/>
  <c r="K606" i="1" a="1"/>
  <c r="K606" i="1" s="1"/>
  <c r="K607" i="1" a="1"/>
  <c r="K607" i="1" s="1"/>
  <c r="K608" i="1" a="1"/>
  <c r="K608" i="1" s="1"/>
  <c r="K609" i="1" a="1"/>
  <c r="K609" i="1" s="1"/>
  <c r="K610" i="1" a="1"/>
  <c r="K610" i="1" s="1"/>
  <c r="K611" i="1" a="1"/>
  <c r="K611" i="1" s="1"/>
  <c r="K612" i="1" a="1"/>
  <c r="K612" i="1" s="1"/>
  <c r="K613" i="1" a="1"/>
  <c r="K613" i="1" s="1"/>
  <c r="K614" i="1" a="1"/>
  <c r="K614" i="1" s="1"/>
  <c r="K615" i="1" a="1"/>
  <c r="K615" i="1" s="1"/>
  <c r="K616" i="1" a="1"/>
  <c r="K616" i="1" s="1"/>
  <c r="K617" i="1" a="1"/>
  <c r="K617" i="1" s="1"/>
  <c r="K618" i="1" a="1"/>
  <c r="K618" i="1" s="1"/>
  <c r="K619" i="1" a="1"/>
  <c r="K619" i="1" s="1"/>
  <c r="K620" i="1" a="1"/>
  <c r="K620" i="1" s="1"/>
  <c r="K621" i="1" a="1"/>
  <c r="K621" i="1" s="1"/>
  <c r="K622" i="1" a="1"/>
  <c r="K622" i="1" s="1"/>
  <c r="K623" i="1" a="1"/>
  <c r="K623" i="1" s="1"/>
  <c r="K624" i="1" a="1"/>
  <c r="K624" i="1" s="1"/>
  <c r="K625" i="1" a="1"/>
  <c r="K625" i="1" s="1"/>
  <c r="K626" i="1" a="1"/>
  <c r="K626" i="1" s="1"/>
  <c r="K627" i="1" a="1"/>
  <c r="K627" i="1" s="1"/>
  <c r="K628" i="1" a="1"/>
  <c r="K628" i="1" s="1"/>
  <c r="K629" i="1" a="1"/>
  <c r="K629" i="1" s="1"/>
  <c r="K630" i="1" a="1"/>
  <c r="K630" i="1" s="1"/>
  <c r="K631" i="1" a="1"/>
  <c r="K631" i="1" s="1"/>
  <c r="K632" i="1" a="1"/>
  <c r="K632" i="1" s="1"/>
  <c r="K633" i="1" a="1"/>
  <c r="K633" i="1" s="1"/>
  <c r="K634" i="1" a="1"/>
  <c r="K634" i="1" s="1"/>
  <c r="K635" i="1" a="1"/>
  <c r="K635" i="1" s="1"/>
  <c r="K636" i="1" a="1"/>
  <c r="K636" i="1" s="1"/>
  <c r="K637" i="1" a="1"/>
  <c r="K637" i="1" s="1"/>
  <c r="K638" i="1" a="1"/>
  <c r="K638" i="1" s="1"/>
  <c r="K639" i="1" a="1"/>
  <c r="K639" i="1" s="1"/>
  <c r="K640" i="1" a="1"/>
  <c r="K640" i="1" s="1"/>
  <c r="K641" i="1" a="1"/>
  <c r="K641" i="1" s="1"/>
  <c r="K642" i="1" a="1"/>
  <c r="K642" i="1" s="1"/>
  <c r="K643" i="1" a="1"/>
  <c r="K643" i="1" s="1"/>
  <c r="K644" i="1" a="1"/>
  <c r="K644" i="1" s="1"/>
  <c r="K645" i="1" a="1"/>
  <c r="K645" i="1" s="1"/>
  <c r="K646" i="1" a="1"/>
  <c r="K646" i="1" s="1"/>
  <c r="K647" i="1" a="1"/>
  <c r="K647" i="1" s="1"/>
  <c r="K648" i="1" a="1"/>
  <c r="K648" i="1" s="1"/>
  <c r="K649" i="1" a="1"/>
  <c r="K649" i="1" s="1"/>
  <c r="K650" i="1" a="1"/>
  <c r="K650" i="1" s="1"/>
  <c r="K651" i="1" a="1"/>
  <c r="K651" i="1" s="1"/>
  <c r="K652" i="1" a="1"/>
  <c r="K652" i="1" s="1"/>
  <c r="K653" i="1" a="1"/>
  <c r="K653" i="1" s="1"/>
  <c r="K654" i="1" a="1"/>
  <c r="K654" i="1" s="1"/>
  <c r="K655" i="1" a="1"/>
  <c r="K655" i="1" s="1"/>
  <c r="K656" i="1" a="1"/>
  <c r="K656" i="1" s="1"/>
  <c r="K657" i="1" a="1"/>
  <c r="K657" i="1" s="1"/>
  <c r="K658" i="1" a="1"/>
  <c r="K658" i="1" s="1"/>
  <c r="K659" i="1" a="1"/>
  <c r="K659" i="1" s="1"/>
  <c r="K660" i="1" a="1"/>
  <c r="K660" i="1" s="1"/>
  <c r="K661" i="1" a="1"/>
  <c r="K661" i="1" s="1"/>
  <c r="K662" i="1" a="1"/>
  <c r="K662" i="1" s="1"/>
  <c r="K663" i="1" a="1"/>
  <c r="K663" i="1" s="1"/>
  <c r="K664" i="1" a="1"/>
  <c r="K664" i="1" s="1"/>
  <c r="K665" i="1" a="1"/>
  <c r="K665" i="1" s="1"/>
  <c r="K666" i="1" a="1"/>
  <c r="K666" i="1" s="1"/>
  <c r="K667" i="1" a="1"/>
  <c r="K667" i="1" s="1"/>
  <c r="K668" i="1" a="1"/>
  <c r="K668" i="1" s="1"/>
  <c r="K669" i="1" a="1"/>
  <c r="K669" i="1" s="1"/>
  <c r="K670" i="1" a="1"/>
  <c r="K670" i="1" s="1"/>
  <c r="K671" i="1" a="1"/>
  <c r="K671" i="1" s="1"/>
  <c r="K672" i="1" a="1"/>
  <c r="K672" i="1" s="1"/>
  <c r="K673" i="1" a="1"/>
  <c r="K673" i="1" s="1"/>
  <c r="K674" i="1" a="1"/>
  <c r="K674" i="1" s="1"/>
  <c r="K675" i="1" a="1"/>
  <c r="K675" i="1" s="1"/>
  <c r="K676" i="1" a="1"/>
  <c r="K676" i="1" s="1"/>
  <c r="K677" i="1" a="1"/>
  <c r="K677" i="1" s="1"/>
  <c r="K678" i="1" a="1"/>
  <c r="K678" i="1" s="1"/>
  <c r="K679" i="1" a="1"/>
  <c r="K679" i="1" s="1"/>
  <c r="K680" i="1" a="1"/>
  <c r="K680" i="1" s="1"/>
  <c r="K681" i="1" a="1"/>
  <c r="K681" i="1" s="1"/>
  <c r="K682" i="1" a="1"/>
  <c r="K682" i="1" s="1"/>
  <c r="K683" i="1" a="1"/>
  <c r="K683" i="1" s="1"/>
  <c r="K684" i="1" a="1"/>
  <c r="K684" i="1" s="1"/>
  <c r="K685" i="1" a="1"/>
  <c r="K685" i="1" s="1"/>
  <c r="K686" i="1" a="1"/>
  <c r="K686" i="1" s="1"/>
  <c r="K687" i="1" a="1"/>
  <c r="K687" i="1" s="1"/>
  <c r="K688" i="1" a="1"/>
  <c r="K688" i="1" s="1"/>
  <c r="K689" i="1" a="1"/>
  <c r="K689" i="1" s="1"/>
  <c r="K690" i="1" a="1"/>
  <c r="K690" i="1" s="1"/>
  <c r="K691" i="1" a="1"/>
  <c r="K691" i="1" s="1"/>
  <c r="K692" i="1" a="1"/>
  <c r="K692" i="1" s="1"/>
  <c r="K693" i="1" a="1"/>
  <c r="K693" i="1" s="1"/>
  <c r="K694" i="1" a="1"/>
  <c r="K694" i="1" s="1"/>
  <c r="K695" i="1" a="1"/>
  <c r="K695" i="1" s="1"/>
  <c r="K696" i="1" a="1"/>
  <c r="K696" i="1" s="1"/>
  <c r="K697" i="1" a="1"/>
  <c r="K697" i="1" s="1"/>
  <c r="K698" i="1" a="1"/>
  <c r="K698" i="1" s="1"/>
  <c r="K699" i="1" a="1"/>
  <c r="K699" i="1" s="1"/>
  <c r="K700" i="1" a="1"/>
  <c r="K700" i="1" s="1"/>
  <c r="K701" i="1" a="1"/>
  <c r="K701" i="1" s="1"/>
  <c r="K702" i="1" a="1"/>
  <c r="K702" i="1" s="1"/>
  <c r="K703" i="1" a="1"/>
  <c r="K703" i="1" s="1"/>
  <c r="K704" i="1" a="1"/>
  <c r="K704" i="1" s="1"/>
  <c r="K705" i="1" a="1"/>
  <c r="K705" i="1" s="1"/>
  <c r="K706" i="1" a="1"/>
  <c r="K706" i="1" s="1"/>
  <c r="K707" i="1" a="1"/>
  <c r="K707" i="1" s="1"/>
  <c r="K708" i="1" a="1"/>
  <c r="K708" i="1" s="1"/>
  <c r="K709" i="1" a="1"/>
  <c r="K709" i="1" s="1"/>
  <c r="K710" i="1" a="1"/>
  <c r="K710" i="1" s="1"/>
  <c r="K711" i="1" a="1"/>
  <c r="K711" i="1" s="1"/>
  <c r="K712" i="1" a="1"/>
  <c r="K712" i="1" s="1"/>
  <c r="K713" i="1" a="1"/>
  <c r="K713" i="1" s="1"/>
  <c r="K714" i="1" a="1"/>
  <c r="K714" i="1" s="1"/>
  <c r="K715" i="1" a="1"/>
  <c r="K715" i="1" s="1"/>
  <c r="K716" i="1" a="1"/>
  <c r="K716" i="1" s="1"/>
  <c r="K717" i="1" a="1"/>
  <c r="K717" i="1" s="1"/>
  <c r="K718" i="1" a="1"/>
  <c r="K718" i="1" s="1"/>
  <c r="K719" i="1" a="1"/>
  <c r="K719" i="1" s="1"/>
  <c r="K720" i="1" a="1"/>
  <c r="K720" i="1" s="1"/>
  <c r="K721" i="1" a="1"/>
  <c r="K721" i="1" s="1"/>
  <c r="K722" i="1" a="1"/>
  <c r="K722" i="1" s="1"/>
  <c r="K723" i="1" a="1"/>
  <c r="K723" i="1" s="1"/>
  <c r="K724" i="1" a="1"/>
  <c r="K724" i="1" s="1"/>
  <c r="K725" i="1" a="1"/>
  <c r="K725" i="1" s="1"/>
  <c r="K726" i="1" a="1"/>
  <c r="K726" i="1" s="1"/>
  <c r="K727" i="1" a="1"/>
  <c r="K727" i="1" s="1"/>
  <c r="K728" i="1" a="1"/>
  <c r="K728" i="1" s="1"/>
  <c r="K729" i="1" a="1"/>
  <c r="K729" i="1" s="1"/>
  <c r="K730" i="1" a="1"/>
  <c r="K730" i="1" s="1"/>
  <c r="K731" i="1" a="1"/>
  <c r="K731" i="1" s="1"/>
  <c r="K732" i="1" a="1"/>
  <c r="K732" i="1" s="1"/>
  <c r="K733" i="1" a="1"/>
  <c r="K733" i="1" s="1"/>
  <c r="K734" i="1" a="1"/>
  <c r="K734" i="1" s="1"/>
  <c r="K735" i="1" a="1"/>
  <c r="K735" i="1" s="1"/>
  <c r="K736" i="1" a="1"/>
  <c r="K736" i="1" s="1"/>
  <c r="K737" i="1" a="1"/>
  <c r="K737" i="1" s="1"/>
  <c r="K738" i="1" a="1"/>
  <c r="K738" i="1" s="1"/>
  <c r="K739" i="1" a="1"/>
  <c r="K739" i="1" s="1"/>
  <c r="K740" i="1" a="1"/>
  <c r="K740" i="1" s="1"/>
  <c r="K741" i="1" a="1"/>
  <c r="K741" i="1" s="1"/>
  <c r="K742" i="1" a="1"/>
  <c r="K742" i="1" s="1"/>
  <c r="K743" i="1" a="1"/>
  <c r="K743" i="1" s="1"/>
  <c r="K744" i="1" a="1"/>
  <c r="K744" i="1" s="1"/>
  <c r="K745" i="1" a="1"/>
  <c r="K745" i="1" s="1"/>
  <c r="K746" i="1" a="1"/>
  <c r="K746" i="1" s="1"/>
  <c r="K747" i="1" a="1"/>
  <c r="K747" i="1" s="1"/>
  <c r="K748" i="1" a="1"/>
  <c r="K748" i="1" s="1"/>
  <c r="K749" i="1" a="1"/>
  <c r="K749" i="1" s="1"/>
  <c r="K750" i="1" a="1"/>
  <c r="K750" i="1" s="1"/>
  <c r="K751" i="1" a="1"/>
  <c r="K751" i="1" s="1"/>
  <c r="K752" i="1" a="1"/>
  <c r="K752" i="1" s="1"/>
  <c r="K753" i="1" a="1"/>
  <c r="K753" i="1" s="1"/>
  <c r="K754" i="1" a="1"/>
  <c r="K754" i="1" s="1"/>
  <c r="K755" i="1" a="1"/>
  <c r="K755" i="1" s="1"/>
  <c r="K756" i="1" a="1"/>
  <c r="K756" i="1" s="1"/>
  <c r="K757" i="1" a="1"/>
  <c r="K757" i="1" s="1"/>
  <c r="K758" i="1" a="1"/>
  <c r="K758" i="1" s="1"/>
  <c r="K759" i="1" a="1"/>
  <c r="K759" i="1" s="1"/>
  <c r="K760" i="1" a="1"/>
  <c r="K760" i="1" s="1"/>
  <c r="K761" i="1" a="1"/>
  <c r="K761" i="1" s="1"/>
  <c r="K762" i="1" a="1"/>
  <c r="K762" i="1" s="1"/>
  <c r="K763" i="1" a="1"/>
  <c r="K763" i="1" s="1"/>
  <c r="K764" i="1" a="1"/>
  <c r="K764" i="1" s="1"/>
  <c r="K765" i="1" a="1"/>
  <c r="K765" i="1" s="1"/>
  <c r="K766" i="1" a="1"/>
  <c r="K766" i="1" s="1"/>
  <c r="K767" i="1" a="1"/>
  <c r="K767" i="1" s="1"/>
  <c r="K768" i="1" a="1"/>
  <c r="K768" i="1" s="1"/>
  <c r="K769" i="1" a="1"/>
  <c r="K769" i="1" s="1"/>
  <c r="K770" i="1" a="1"/>
  <c r="K770" i="1" s="1"/>
  <c r="K771" i="1" a="1"/>
  <c r="K771" i="1" s="1"/>
  <c r="K772" i="1" a="1"/>
  <c r="K772" i="1" s="1"/>
  <c r="K773" i="1" a="1"/>
  <c r="K773" i="1" s="1"/>
  <c r="K774" i="1" a="1"/>
  <c r="K774" i="1" s="1"/>
  <c r="K775" i="1" a="1"/>
  <c r="K775" i="1" s="1"/>
  <c r="K776" i="1" a="1"/>
  <c r="K776" i="1" s="1"/>
  <c r="K777" i="1" a="1"/>
  <c r="K777" i="1" s="1"/>
  <c r="K778" i="1" a="1"/>
  <c r="K778" i="1" s="1"/>
  <c r="K779" i="1" a="1"/>
  <c r="K779" i="1" s="1"/>
  <c r="K780" i="1" a="1"/>
  <c r="K780" i="1" s="1"/>
  <c r="K781" i="1" a="1"/>
  <c r="K781" i="1" s="1"/>
  <c r="K782" i="1" a="1"/>
  <c r="K782" i="1" s="1"/>
  <c r="K783" i="1" a="1"/>
  <c r="K783" i="1" s="1"/>
  <c r="K784" i="1" a="1"/>
  <c r="K784" i="1" s="1"/>
  <c r="K785" i="1" a="1"/>
  <c r="K785" i="1" s="1"/>
  <c r="K786" i="1" a="1"/>
  <c r="K786" i="1" s="1"/>
  <c r="K787" i="1" a="1"/>
  <c r="K787" i="1" s="1"/>
  <c r="K788" i="1" a="1"/>
  <c r="K788" i="1" s="1"/>
  <c r="K789" i="1" a="1"/>
  <c r="K789" i="1" s="1"/>
  <c r="K790" i="1" a="1"/>
  <c r="K790" i="1" s="1"/>
  <c r="K791" i="1" a="1"/>
  <c r="K791" i="1" s="1"/>
  <c r="K792" i="1" a="1"/>
  <c r="K792" i="1" s="1"/>
  <c r="K793" i="1" a="1"/>
  <c r="K793" i="1" s="1"/>
  <c r="K794" i="1" a="1"/>
  <c r="K794" i="1" s="1"/>
  <c r="K795" i="1" a="1"/>
  <c r="K795" i="1" s="1"/>
  <c r="K796" i="1" a="1"/>
  <c r="K796" i="1" s="1"/>
  <c r="K797" i="1" a="1"/>
  <c r="K797" i="1" s="1"/>
  <c r="K798" i="1" a="1"/>
  <c r="K798" i="1" s="1"/>
  <c r="K799" i="1" a="1"/>
  <c r="K799" i="1" s="1"/>
  <c r="K800" i="1" a="1"/>
  <c r="K800" i="1" s="1"/>
  <c r="K801" i="1" a="1"/>
  <c r="K801" i="1" s="1"/>
  <c r="K802" i="1" a="1"/>
  <c r="K802" i="1" s="1"/>
  <c r="K803" i="1" a="1"/>
  <c r="K803" i="1" s="1"/>
  <c r="K804" i="1" a="1"/>
  <c r="K804" i="1" s="1"/>
  <c r="K805" i="1" a="1"/>
  <c r="K805" i="1" s="1"/>
  <c r="K806" i="1" a="1"/>
  <c r="K806" i="1" s="1"/>
  <c r="K807" i="1" a="1"/>
  <c r="K807" i="1" s="1"/>
  <c r="K808" i="1" a="1"/>
  <c r="K808" i="1" s="1"/>
  <c r="K809" i="1" a="1"/>
  <c r="K809" i="1" s="1"/>
  <c r="K810" i="1" a="1"/>
  <c r="K810" i="1" s="1"/>
  <c r="K811" i="1" a="1"/>
  <c r="K811" i="1" s="1"/>
  <c r="K812" i="1" a="1"/>
  <c r="K812" i="1" s="1"/>
  <c r="K813" i="1" a="1"/>
  <c r="K813" i="1" s="1"/>
  <c r="K814" i="1" a="1"/>
  <c r="K814" i="1" s="1"/>
  <c r="K815" i="1" a="1"/>
  <c r="K815" i="1" s="1"/>
  <c r="K816" i="1" a="1"/>
  <c r="K816" i="1" s="1"/>
  <c r="K817" i="1" a="1"/>
  <c r="K817" i="1" s="1"/>
  <c r="K818" i="1" a="1"/>
  <c r="K818" i="1" s="1"/>
  <c r="K819" i="1" a="1"/>
  <c r="K819" i="1" s="1"/>
  <c r="K820" i="1" a="1"/>
  <c r="K820" i="1" s="1"/>
  <c r="K821" i="1" a="1"/>
  <c r="K821" i="1" s="1"/>
  <c r="K822" i="1" a="1"/>
  <c r="K822" i="1" s="1"/>
  <c r="K823" i="1" a="1"/>
  <c r="K823" i="1" s="1"/>
  <c r="K824" i="1" a="1"/>
  <c r="K824" i="1" s="1"/>
  <c r="K825" i="1" a="1"/>
  <c r="K825" i="1" s="1"/>
  <c r="K826" i="1" a="1"/>
  <c r="K826" i="1" s="1"/>
  <c r="K827" i="1" a="1"/>
  <c r="K827" i="1" s="1"/>
  <c r="K828" i="1" a="1"/>
  <c r="K828" i="1" s="1"/>
  <c r="K829" i="1" a="1"/>
  <c r="K829" i="1" s="1"/>
  <c r="K830" i="1" a="1"/>
  <c r="K830" i="1" s="1"/>
  <c r="K831" i="1" a="1"/>
  <c r="K831" i="1" s="1"/>
  <c r="K832" i="1" a="1"/>
  <c r="K832" i="1" s="1"/>
  <c r="K833" i="1" a="1"/>
  <c r="K833" i="1" s="1"/>
  <c r="K834" i="1" a="1"/>
  <c r="K834" i="1" s="1"/>
  <c r="K835" i="1" a="1"/>
  <c r="K835" i="1" s="1"/>
  <c r="K836" i="1" a="1"/>
  <c r="K836" i="1" s="1"/>
  <c r="K837" i="1" a="1"/>
  <c r="K837" i="1" s="1"/>
  <c r="K838" i="1" a="1"/>
  <c r="K838" i="1" s="1"/>
  <c r="K839" i="1" a="1"/>
  <c r="K839" i="1" s="1"/>
  <c r="K840" i="1" a="1"/>
  <c r="K840" i="1" s="1"/>
  <c r="K841" i="1" a="1"/>
  <c r="K841" i="1" s="1"/>
  <c r="K842" i="1" a="1"/>
  <c r="K842" i="1" s="1"/>
  <c r="K843" i="1" a="1"/>
  <c r="K843" i="1" s="1"/>
  <c r="K844" i="1" a="1"/>
  <c r="K844" i="1" s="1"/>
  <c r="K845" i="1" a="1"/>
  <c r="K845" i="1" s="1"/>
  <c r="K846" i="1" a="1"/>
  <c r="K846" i="1" s="1"/>
  <c r="K847" i="1" a="1"/>
  <c r="K847" i="1" s="1"/>
  <c r="K848" i="1" a="1"/>
  <c r="K848" i="1" s="1"/>
  <c r="K849" i="1" a="1"/>
  <c r="K849" i="1" s="1"/>
  <c r="K850" i="1" a="1"/>
  <c r="K850" i="1" s="1"/>
  <c r="K851" i="1" a="1"/>
  <c r="K851" i="1" s="1"/>
  <c r="K852" i="1" a="1"/>
  <c r="K852" i="1" s="1"/>
  <c r="K853" i="1" a="1"/>
  <c r="K853" i="1" s="1"/>
  <c r="K854" i="1" a="1"/>
  <c r="K854" i="1" s="1"/>
  <c r="K855" i="1" a="1"/>
  <c r="K855" i="1" s="1"/>
  <c r="K856" i="1" a="1"/>
  <c r="K856" i="1" s="1"/>
  <c r="K857" i="1" a="1"/>
  <c r="K857" i="1" s="1"/>
  <c r="K858" i="1" a="1"/>
  <c r="K858" i="1" s="1"/>
  <c r="K859" i="1" a="1"/>
  <c r="K859" i="1" s="1"/>
  <c r="K860" i="1" a="1"/>
  <c r="K860" i="1" s="1"/>
  <c r="K861" i="1" a="1"/>
  <c r="K861" i="1" s="1"/>
  <c r="K862" i="1" a="1"/>
  <c r="K862" i="1" s="1"/>
  <c r="K863" i="1" a="1"/>
  <c r="K863" i="1" s="1"/>
  <c r="K864" i="1" a="1"/>
  <c r="K864" i="1" s="1"/>
  <c r="K865" i="1" a="1"/>
  <c r="K865" i="1" s="1"/>
  <c r="K866" i="1" a="1"/>
  <c r="K866" i="1" s="1"/>
  <c r="K867" i="1" a="1"/>
  <c r="K867" i="1" s="1"/>
  <c r="K868" i="1" a="1"/>
  <c r="K868" i="1" s="1"/>
  <c r="K869" i="1" a="1"/>
  <c r="K869" i="1" s="1"/>
  <c r="K870" i="1" a="1"/>
  <c r="K870" i="1" s="1"/>
  <c r="K871" i="1" a="1"/>
  <c r="K871" i="1" s="1"/>
  <c r="K872" i="1" a="1"/>
  <c r="K872" i="1" s="1"/>
  <c r="K873" i="1" a="1"/>
  <c r="K873" i="1" s="1"/>
  <c r="K874" i="1" a="1"/>
  <c r="K874" i="1" s="1"/>
  <c r="K875" i="1" a="1"/>
  <c r="K875" i="1" s="1"/>
  <c r="K876" i="1" a="1"/>
  <c r="K876" i="1" s="1"/>
  <c r="K877" i="1" a="1"/>
  <c r="K877" i="1" s="1"/>
  <c r="K878" i="1" a="1"/>
  <c r="K878" i="1" s="1"/>
  <c r="K879" i="1" a="1"/>
  <c r="K879" i="1" s="1"/>
  <c r="K880" i="1" a="1"/>
  <c r="K880" i="1" s="1"/>
  <c r="K881" i="1" a="1"/>
  <c r="K881" i="1" s="1"/>
  <c r="K882" i="1" a="1"/>
  <c r="K882" i="1" s="1"/>
  <c r="K883" i="1" a="1"/>
  <c r="K883" i="1" s="1"/>
  <c r="K884" i="1" a="1"/>
  <c r="K884" i="1" s="1"/>
  <c r="K885" i="1" a="1"/>
  <c r="K885" i="1" s="1"/>
  <c r="K886" i="1" a="1"/>
  <c r="K886" i="1" s="1"/>
  <c r="K887" i="1" a="1"/>
  <c r="K887" i="1" s="1"/>
  <c r="K888" i="1" a="1"/>
  <c r="K888" i="1" s="1"/>
  <c r="K889" i="1" a="1"/>
  <c r="K889" i="1" s="1"/>
  <c r="K890" i="1" a="1"/>
  <c r="K890" i="1" s="1"/>
  <c r="K891" i="1" a="1"/>
  <c r="K891" i="1" s="1"/>
  <c r="K892" i="1" a="1"/>
  <c r="K892" i="1" s="1"/>
  <c r="K893" i="1" a="1"/>
  <c r="K893" i="1" s="1"/>
  <c r="K894" i="1" a="1"/>
  <c r="K894" i="1" s="1"/>
  <c r="K895" i="1" a="1"/>
  <c r="K895" i="1" s="1"/>
  <c r="K896" i="1" a="1"/>
  <c r="K896" i="1" s="1"/>
  <c r="K897" i="1" a="1"/>
  <c r="K897" i="1" s="1"/>
  <c r="K898" i="1" a="1"/>
  <c r="K898" i="1" s="1"/>
  <c r="K899" i="1" a="1"/>
  <c r="K899" i="1" s="1"/>
  <c r="K900" i="1" a="1"/>
  <c r="K900" i="1" s="1"/>
  <c r="K901" i="1" a="1"/>
  <c r="K901" i="1" s="1"/>
  <c r="K902" i="1" a="1"/>
  <c r="K902" i="1" s="1"/>
  <c r="K903" i="1" a="1"/>
  <c r="K903" i="1" s="1"/>
  <c r="K904" i="1" a="1"/>
  <c r="K904" i="1" s="1"/>
  <c r="K905" i="1" a="1"/>
  <c r="K905" i="1" s="1"/>
  <c r="K906" i="1" a="1"/>
  <c r="K906" i="1" s="1"/>
  <c r="K907" i="1" a="1"/>
  <c r="K907" i="1" s="1"/>
  <c r="K908" i="1" a="1"/>
  <c r="K908" i="1" s="1"/>
  <c r="K909" i="1" a="1"/>
  <c r="K909" i="1" s="1"/>
  <c r="K910" i="1" a="1"/>
  <c r="K910" i="1" s="1"/>
  <c r="K911" i="1" a="1"/>
  <c r="K911" i="1" s="1"/>
  <c r="K912" i="1" a="1"/>
  <c r="K912" i="1" s="1"/>
  <c r="K913" i="1" a="1"/>
  <c r="K913" i="1" s="1"/>
  <c r="K914" i="1" a="1"/>
  <c r="K914" i="1" s="1"/>
  <c r="K915" i="1" a="1"/>
  <c r="K915" i="1" s="1"/>
  <c r="K916" i="1" a="1"/>
  <c r="K916" i="1" s="1"/>
  <c r="K917" i="1" a="1"/>
  <c r="K917" i="1" s="1"/>
  <c r="K918" i="1" a="1"/>
  <c r="K918" i="1" s="1"/>
  <c r="K919" i="1" a="1"/>
  <c r="K919" i="1" s="1"/>
  <c r="K920" i="1" a="1"/>
  <c r="K920" i="1" s="1"/>
  <c r="K921" i="1" a="1"/>
  <c r="K921" i="1" s="1"/>
  <c r="K922" i="1" a="1"/>
  <c r="K922" i="1" s="1"/>
  <c r="K923" i="1" a="1"/>
  <c r="K923" i="1" s="1"/>
  <c r="K924" i="1" a="1"/>
  <c r="K924" i="1" s="1"/>
  <c r="K925" i="1" a="1"/>
  <c r="K925" i="1" s="1"/>
  <c r="K926" i="1" a="1"/>
  <c r="K926" i="1" s="1"/>
  <c r="K927" i="1" a="1"/>
  <c r="K927" i="1" s="1"/>
  <c r="K928" i="1" a="1"/>
  <c r="K928" i="1" s="1"/>
  <c r="K929" i="1" a="1"/>
  <c r="K929" i="1" s="1"/>
  <c r="K930" i="1" a="1"/>
  <c r="K930" i="1" s="1"/>
  <c r="K931" i="1" a="1"/>
  <c r="K931" i="1" s="1"/>
  <c r="K932" i="1" a="1"/>
  <c r="K932" i="1" s="1"/>
  <c r="K933" i="1" a="1"/>
  <c r="K933" i="1" s="1"/>
  <c r="K934" i="1" a="1"/>
  <c r="K934" i="1" s="1"/>
  <c r="K935" i="1" a="1"/>
  <c r="K935" i="1" s="1"/>
  <c r="K936" i="1" a="1"/>
  <c r="K936" i="1" s="1"/>
  <c r="K937" i="1" a="1"/>
  <c r="K937" i="1" s="1"/>
  <c r="K938" i="1" a="1"/>
  <c r="K938" i="1" s="1"/>
  <c r="K939" i="1" a="1"/>
  <c r="K939" i="1" s="1"/>
  <c r="K940" i="1" a="1"/>
  <c r="K940" i="1" s="1"/>
  <c r="K941" i="1" a="1"/>
  <c r="K941" i="1" s="1"/>
  <c r="K942" i="1" a="1"/>
  <c r="K942" i="1" s="1"/>
  <c r="K943" i="1" a="1"/>
  <c r="K943" i="1" s="1"/>
  <c r="K944" i="1" a="1"/>
  <c r="K944" i="1" s="1"/>
  <c r="K945" i="1" a="1"/>
  <c r="K945" i="1" s="1"/>
  <c r="K946" i="1" a="1"/>
  <c r="K946" i="1" s="1"/>
  <c r="K947" i="1" a="1"/>
  <c r="K947" i="1" s="1"/>
  <c r="K948" i="1" a="1"/>
  <c r="K948" i="1" s="1"/>
  <c r="K949" i="1" a="1"/>
  <c r="K949" i="1" s="1"/>
  <c r="K950" i="1" a="1"/>
  <c r="K950" i="1" s="1"/>
  <c r="K951" i="1" a="1"/>
  <c r="K951" i="1" s="1"/>
  <c r="K952" i="1" a="1"/>
  <c r="K952" i="1" s="1"/>
  <c r="K953" i="1" a="1"/>
  <c r="K953" i="1" s="1"/>
  <c r="K954" i="1" a="1"/>
  <c r="K954" i="1" s="1"/>
  <c r="K955" i="1" a="1"/>
  <c r="K955" i="1" s="1"/>
  <c r="K956" i="1" a="1"/>
  <c r="K956" i="1" s="1"/>
  <c r="K957" i="1" a="1"/>
  <c r="K957" i="1" s="1"/>
  <c r="K958" i="1" a="1"/>
  <c r="K958" i="1" s="1"/>
  <c r="K959" i="1" a="1"/>
  <c r="K959" i="1" s="1"/>
  <c r="K960" i="1" a="1"/>
  <c r="K960" i="1" s="1"/>
  <c r="K961" i="1" a="1"/>
  <c r="K961" i="1" s="1"/>
  <c r="K962" i="1" a="1"/>
  <c r="K962" i="1" s="1"/>
  <c r="K963" i="1" a="1"/>
  <c r="K963" i="1" s="1"/>
  <c r="K964" i="1" a="1"/>
  <c r="K964" i="1" s="1"/>
  <c r="K965" i="1" a="1"/>
  <c r="K965" i="1" s="1"/>
  <c r="K966" i="1" a="1"/>
  <c r="K966" i="1" s="1"/>
  <c r="K967" i="1" a="1"/>
  <c r="K967" i="1" s="1"/>
  <c r="K968" i="1" a="1"/>
  <c r="K968" i="1" s="1"/>
  <c r="K969" i="1" a="1"/>
  <c r="K969" i="1" s="1"/>
  <c r="K970" i="1" a="1"/>
  <c r="K970" i="1" s="1"/>
  <c r="K971" i="1" a="1"/>
  <c r="K971" i="1" s="1"/>
  <c r="K972" i="1" a="1"/>
  <c r="K972" i="1" s="1"/>
  <c r="K973" i="1" a="1"/>
  <c r="K973" i="1" s="1"/>
  <c r="K974" i="1" a="1"/>
  <c r="K974" i="1" s="1"/>
  <c r="K975" i="1" a="1"/>
  <c r="K975" i="1" s="1"/>
  <c r="K976" i="1" a="1"/>
  <c r="K976" i="1" s="1"/>
  <c r="K977" i="1" a="1"/>
  <c r="K977" i="1" s="1"/>
  <c r="K978" i="1" a="1"/>
  <c r="K978" i="1" s="1"/>
  <c r="K979" i="1" a="1"/>
  <c r="K979" i="1" s="1"/>
  <c r="K980" i="1" a="1"/>
  <c r="K980" i="1" s="1"/>
  <c r="K981" i="1" a="1"/>
  <c r="K981" i="1" s="1"/>
  <c r="K982" i="1" a="1"/>
  <c r="K982" i="1" s="1"/>
  <c r="K983" i="1" a="1"/>
  <c r="K983" i="1" s="1"/>
  <c r="K984" i="1" a="1"/>
  <c r="K984" i="1" s="1"/>
  <c r="K985" i="1" a="1"/>
  <c r="K985" i="1" s="1"/>
  <c r="K986" i="1" a="1"/>
  <c r="K986" i="1" s="1"/>
  <c r="K987" i="1" a="1"/>
  <c r="K987" i="1" s="1"/>
  <c r="K988" i="1" a="1"/>
  <c r="K988" i="1" s="1"/>
  <c r="K989" i="1" a="1"/>
  <c r="K989" i="1" s="1"/>
  <c r="K990" i="1" a="1"/>
  <c r="K990" i="1" s="1"/>
  <c r="K991" i="1" a="1"/>
  <c r="K991" i="1" s="1"/>
  <c r="K992" i="1" a="1"/>
  <c r="K992" i="1" s="1"/>
  <c r="K993" i="1" a="1"/>
  <c r="K993" i="1" s="1"/>
  <c r="K994" i="1" a="1"/>
  <c r="K994" i="1" s="1"/>
  <c r="K995" i="1" a="1"/>
  <c r="K995" i="1" s="1"/>
  <c r="K996" i="1" a="1"/>
  <c r="K996" i="1" s="1"/>
  <c r="K997" i="1" a="1"/>
  <c r="K997" i="1" s="1"/>
  <c r="K998" i="1" a="1"/>
  <c r="K998" i="1" s="1"/>
  <c r="K999" i="1" a="1"/>
  <c r="K999" i="1" s="1"/>
  <c r="K1000" i="1" a="1"/>
  <c r="K1000" i="1" s="1"/>
  <c r="K1001" i="1" a="1"/>
  <c r="K1001" i="1" s="1"/>
  <c r="K1002" i="1" a="1"/>
  <c r="K1002" i="1" s="1"/>
  <c r="K1003" i="1" a="1"/>
  <c r="K1003" i="1" s="1"/>
  <c r="K1004" i="1" a="1"/>
  <c r="K1004" i="1" s="1"/>
  <c r="K1005" i="1" a="1"/>
  <c r="K1005" i="1" s="1"/>
  <c r="K1006" i="1" a="1"/>
  <c r="K1006" i="1" s="1"/>
  <c r="K1007" i="1" a="1"/>
  <c r="K1007" i="1" s="1"/>
  <c r="K1008" i="1" a="1"/>
  <c r="K1008" i="1" s="1"/>
  <c r="K1009" i="1" a="1"/>
  <c r="K1009" i="1" s="1"/>
  <c r="K1010" i="1" a="1"/>
  <c r="K1010" i="1" s="1"/>
  <c r="K1011" i="1" a="1"/>
  <c r="K1011" i="1" s="1"/>
  <c r="K1012" i="1" a="1"/>
  <c r="K1012" i="1" s="1"/>
  <c r="K1013" i="1" a="1"/>
  <c r="K1013" i="1" s="1"/>
  <c r="K1014" i="1" a="1"/>
  <c r="K1014" i="1" s="1"/>
  <c r="K1015" i="1" a="1"/>
  <c r="K1015" i="1" s="1"/>
  <c r="K1016" i="1" a="1"/>
  <c r="K1016" i="1" s="1"/>
  <c r="K1017" i="1" a="1"/>
  <c r="K1017" i="1" s="1"/>
  <c r="K1018" i="1" a="1"/>
  <c r="K1018" i="1" s="1"/>
  <c r="K1019" i="1" a="1"/>
  <c r="K1019" i="1" s="1"/>
  <c r="K1020" i="1" a="1"/>
  <c r="K1020" i="1" s="1"/>
  <c r="K1021" i="1" a="1"/>
  <c r="K1021" i="1" s="1"/>
  <c r="K1022" i="1" a="1"/>
  <c r="K1022" i="1" s="1"/>
  <c r="K1023" i="1" a="1"/>
  <c r="K1023" i="1" s="1"/>
  <c r="K1024" i="1" a="1"/>
  <c r="K1024" i="1" s="1"/>
  <c r="K1025" i="1" a="1"/>
  <c r="K1025" i="1" s="1"/>
  <c r="K1026" i="1" a="1"/>
  <c r="K1026" i="1" s="1"/>
  <c r="K1027" i="1" a="1"/>
  <c r="K1027" i="1" s="1"/>
  <c r="K1028" i="1" a="1"/>
  <c r="K1028" i="1" s="1"/>
  <c r="K1029" i="1" a="1"/>
  <c r="K1029" i="1" s="1"/>
  <c r="K1030" i="1" a="1"/>
  <c r="K1030" i="1" s="1"/>
  <c r="K1031" i="1" a="1"/>
  <c r="K1031" i="1" s="1"/>
  <c r="K1032" i="1" a="1"/>
  <c r="K1032" i="1" s="1"/>
  <c r="K1033" i="1" a="1"/>
  <c r="K1033" i="1" s="1"/>
  <c r="K1034" i="1" a="1"/>
  <c r="K1034" i="1" s="1"/>
  <c r="K1035" i="1" a="1"/>
  <c r="K1035" i="1" s="1"/>
  <c r="K1036" i="1" a="1"/>
  <c r="K1036" i="1" s="1"/>
  <c r="K1037" i="1" a="1"/>
  <c r="K1037" i="1" s="1"/>
  <c r="K1038" i="1" a="1"/>
  <c r="K1038" i="1" s="1"/>
  <c r="K1039" i="1" a="1"/>
  <c r="K1039" i="1" s="1"/>
  <c r="K1040" i="1" a="1"/>
  <c r="K1040" i="1" s="1"/>
  <c r="K1041" i="1" a="1"/>
  <c r="K1041" i="1" s="1"/>
  <c r="K1042" i="1" a="1"/>
  <c r="K1042" i="1" s="1"/>
  <c r="K1043" i="1" a="1"/>
  <c r="K1043" i="1" s="1"/>
  <c r="K1044" i="1" a="1"/>
  <c r="K1044" i="1" s="1"/>
  <c r="K1045" i="1" a="1"/>
  <c r="K1045" i="1" s="1"/>
  <c r="K1046" i="1" a="1"/>
  <c r="K1046" i="1" s="1"/>
  <c r="K1047" i="1" a="1"/>
  <c r="K1047" i="1" s="1"/>
  <c r="K1048" i="1" a="1"/>
  <c r="K1048" i="1" s="1"/>
  <c r="K1049" i="1" a="1"/>
  <c r="K1049" i="1" s="1"/>
  <c r="K1050" i="1" a="1"/>
  <c r="K1050" i="1" s="1"/>
  <c r="K1051" i="1" a="1"/>
  <c r="K1051" i="1" s="1"/>
  <c r="K1052" i="1" a="1"/>
  <c r="K1052" i="1" s="1"/>
  <c r="K1053" i="1" a="1"/>
  <c r="K1053" i="1" s="1"/>
  <c r="K1054" i="1" a="1"/>
  <c r="K1054" i="1" s="1"/>
  <c r="K1055" i="1" a="1"/>
  <c r="K1055" i="1" s="1"/>
  <c r="K1056" i="1" a="1"/>
  <c r="K1056" i="1" s="1"/>
  <c r="K1057" i="1" a="1"/>
  <c r="K1057" i="1" s="1"/>
  <c r="K1058" i="1" a="1"/>
  <c r="K1058" i="1" s="1"/>
  <c r="K1059" i="1" a="1"/>
  <c r="K1059" i="1" s="1"/>
  <c r="K1060" i="1" a="1"/>
  <c r="K1060" i="1" s="1"/>
  <c r="K1061" i="1" a="1"/>
  <c r="K1061" i="1" s="1"/>
  <c r="K1062" i="1" a="1"/>
  <c r="K1062" i="1" s="1"/>
  <c r="K1063" i="1" a="1"/>
  <c r="K1063" i="1" s="1"/>
  <c r="K1064" i="1" a="1"/>
  <c r="K1064" i="1" s="1"/>
  <c r="K1065" i="1" a="1"/>
  <c r="K1065" i="1" s="1"/>
  <c r="K1066" i="1" a="1"/>
  <c r="K1066" i="1" s="1"/>
  <c r="K1067" i="1" a="1"/>
  <c r="K1067" i="1" s="1"/>
  <c r="K1068" i="1" a="1"/>
  <c r="K1068" i="1" s="1"/>
  <c r="K1069" i="1" a="1"/>
  <c r="K1069" i="1" s="1"/>
  <c r="K1070" i="1" a="1"/>
  <c r="K1070" i="1" s="1"/>
  <c r="K1071" i="1" a="1"/>
  <c r="K1071" i="1" s="1"/>
  <c r="K1072" i="1" a="1"/>
  <c r="K1072" i="1" s="1"/>
  <c r="K1073" i="1" a="1"/>
  <c r="K1073" i="1" s="1"/>
  <c r="K1074" i="1" a="1"/>
  <c r="K1074" i="1" s="1"/>
  <c r="K1075" i="1" a="1"/>
  <c r="K1075" i="1" s="1"/>
  <c r="K1076" i="1" a="1"/>
  <c r="K1076" i="1" s="1"/>
  <c r="K1077" i="1" a="1"/>
  <c r="K1077" i="1" s="1"/>
  <c r="K1078" i="1" a="1"/>
  <c r="K1078" i="1" s="1"/>
  <c r="K1079" i="1" a="1"/>
  <c r="K1079" i="1" s="1"/>
  <c r="K1080" i="1" a="1"/>
  <c r="K1080" i="1" s="1"/>
  <c r="K1081" i="1" a="1"/>
  <c r="K1081" i="1" s="1"/>
  <c r="K1082" i="1" a="1"/>
  <c r="K1082" i="1" s="1"/>
  <c r="K1083" i="1" a="1"/>
  <c r="K1083" i="1" s="1"/>
  <c r="K1084" i="1" a="1"/>
  <c r="K1084" i="1" s="1"/>
  <c r="K1085" i="1" a="1"/>
  <c r="K1085" i="1" s="1"/>
  <c r="K1086" i="1" a="1"/>
  <c r="K1086" i="1" s="1"/>
  <c r="K1087" i="1" a="1"/>
  <c r="K1087" i="1" s="1"/>
  <c r="K1088" i="1" a="1"/>
  <c r="K1088" i="1" s="1"/>
  <c r="K1089" i="1" a="1"/>
  <c r="K1089" i="1" s="1"/>
  <c r="K1090" i="1" a="1"/>
  <c r="K1090" i="1" s="1"/>
  <c r="K1091" i="1" a="1"/>
  <c r="K1091" i="1" s="1"/>
  <c r="K1092" i="1" a="1"/>
  <c r="K1092" i="1" s="1"/>
  <c r="K1093" i="1" a="1"/>
  <c r="K1093" i="1" s="1"/>
  <c r="K1094" i="1" a="1"/>
  <c r="K1094" i="1" s="1"/>
  <c r="K1095" i="1" a="1"/>
  <c r="K1095" i="1" s="1"/>
  <c r="K1096" i="1" a="1"/>
  <c r="K1096" i="1" s="1"/>
  <c r="K1097" i="1" a="1"/>
  <c r="K1097" i="1" s="1"/>
  <c r="K1098" i="1" a="1"/>
  <c r="K1098" i="1" s="1"/>
  <c r="K1099" i="1" a="1"/>
  <c r="K1099" i="1" s="1"/>
  <c r="K1100" i="1" a="1"/>
  <c r="K1100" i="1" s="1"/>
  <c r="K1101" i="1" a="1"/>
  <c r="K1101" i="1" s="1"/>
  <c r="K1102" i="1" a="1"/>
  <c r="K1102" i="1" s="1"/>
  <c r="K1103" i="1" a="1"/>
  <c r="K1103" i="1" s="1"/>
  <c r="K1104" i="1" a="1"/>
  <c r="K1104" i="1" s="1"/>
  <c r="K1105" i="1" a="1"/>
  <c r="K1105" i="1" s="1"/>
  <c r="K1106" i="1" a="1"/>
  <c r="K1106" i="1" s="1"/>
  <c r="K1107" i="1" a="1"/>
  <c r="K1107" i="1" s="1"/>
  <c r="K1108" i="1" a="1"/>
  <c r="K1108" i="1" s="1"/>
  <c r="K1109" i="1" a="1"/>
  <c r="K1109" i="1" s="1"/>
  <c r="K1110" i="1" a="1"/>
  <c r="K1110" i="1" s="1"/>
  <c r="K1111" i="1" a="1"/>
  <c r="K1111" i="1" s="1"/>
  <c r="K1112" i="1" a="1"/>
  <c r="K1112" i="1" s="1"/>
  <c r="K1113" i="1" a="1"/>
  <c r="K1113" i="1" s="1"/>
  <c r="K1114" i="1" a="1"/>
  <c r="K1114" i="1" s="1"/>
  <c r="K1115" i="1" a="1"/>
  <c r="K1115" i="1" s="1"/>
  <c r="K1116" i="1" a="1"/>
  <c r="K1116" i="1" s="1"/>
  <c r="K1117" i="1" a="1"/>
  <c r="K1117" i="1" s="1"/>
  <c r="K1118" i="1" a="1"/>
  <c r="K1118" i="1" s="1"/>
  <c r="K1119" i="1" a="1"/>
  <c r="K1119" i="1" s="1"/>
  <c r="K1120" i="1" a="1"/>
  <c r="K1120" i="1" s="1"/>
  <c r="K1121" i="1" a="1"/>
  <c r="K1121" i="1" s="1"/>
  <c r="K1122" i="1" a="1"/>
  <c r="K1122" i="1" s="1"/>
  <c r="K1123" i="1" a="1"/>
  <c r="K1123" i="1" s="1"/>
  <c r="K1124" i="1" a="1"/>
  <c r="K1124" i="1" s="1"/>
  <c r="K1125" i="1" a="1"/>
  <c r="K1125" i="1" s="1"/>
  <c r="K1126" i="1" a="1"/>
  <c r="K1126" i="1" s="1"/>
  <c r="K1127" i="1" a="1"/>
  <c r="K1127" i="1" s="1"/>
  <c r="K1128" i="1" a="1"/>
  <c r="K1128" i="1" s="1"/>
  <c r="K1129" i="1" a="1"/>
  <c r="K1129" i="1" s="1"/>
  <c r="K1130" i="1" a="1"/>
  <c r="K1130" i="1" s="1"/>
  <c r="K1131" i="1" a="1"/>
  <c r="K1131" i="1" s="1"/>
  <c r="K1132" i="1" a="1"/>
  <c r="K1132" i="1" s="1"/>
  <c r="K1133" i="1" a="1"/>
  <c r="K1133" i="1" s="1"/>
  <c r="K1134" i="1" a="1"/>
  <c r="K1134" i="1" s="1"/>
  <c r="K1135" i="1" a="1"/>
  <c r="K1135" i="1" s="1"/>
  <c r="K1136" i="1" a="1"/>
  <c r="K1136" i="1" s="1"/>
  <c r="K1137" i="1" a="1"/>
  <c r="K1137" i="1" s="1"/>
  <c r="K1138" i="1" a="1"/>
  <c r="K1138" i="1" s="1"/>
  <c r="K1139" i="1" a="1"/>
  <c r="K1139" i="1" s="1"/>
  <c r="K1140" i="1" a="1"/>
  <c r="K1140" i="1" s="1"/>
  <c r="K1141" i="1" a="1"/>
  <c r="K1141" i="1" s="1"/>
  <c r="K1142" i="1" a="1"/>
  <c r="K1142" i="1" s="1"/>
  <c r="K1143" i="1" a="1"/>
  <c r="K1143" i="1" s="1"/>
  <c r="K1144" i="1" a="1"/>
  <c r="K1144" i="1" s="1"/>
  <c r="K1145" i="1" a="1"/>
  <c r="K1145" i="1" s="1"/>
  <c r="K1146" i="1" a="1"/>
  <c r="K1146" i="1" s="1"/>
  <c r="K1147" i="1" a="1"/>
  <c r="K1147" i="1" s="1"/>
  <c r="K1148" i="1" a="1"/>
  <c r="K1148" i="1" s="1"/>
  <c r="K1149" i="1" a="1"/>
  <c r="K1149" i="1" s="1"/>
  <c r="K1150" i="1" a="1"/>
  <c r="K1150" i="1" s="1"/>
  <c r="K1151" i="1" a="1"/>
  <c r="K1151" i="1" s="1"/>
  <c r="K1152" i="1" a="1"/>
  <c r="K1152" i="1" s="1"/>
  <c r="K1153" i="1" a="1"/>
  <c r="K1153" i="1" s="1"/>
  <c r="K1154" i="1" a="1"/>
  <c r="K1154" i="1" s="1"/>
  <c r="K1155" i="1" a="1"/>
  <c r="K1155" i="1" s="1"/>
  <c r="K1156" i="1" a="1"/>
  <c r="K1156" i="1" s="1"/>
  <c r="K1157" i="1" a="1"/>
  <c r="K1157" i="1" s="1"/>
  <c r="K1158" i="1" a="1"/>
  <c r="K1158" i="1" s="1"/>
  <c r="K1159" i="1" a="1"/>
  <c r="K1159" i="1" s="1"/>
  <c r="K1160" i="1" a="1"/>
  <c r="K1160" i="1" s="1"/>
  <c r="K1161" i="1" a="1"/>
  <c r="K1161" i="1" s="1"/>
  <c r="K1162" i="1" a="1"/>
  <c r="K1162" i="1" s="1"/>
  <c r="K1163" i="1" a="1"/>
  <c r="K1163" i="1" s="1"/>
  <c r="K1164" i="1" a="1"/>
  <c r="K1164" i="1" s="1"/>
  <c r="K1165" i="1" a="1"/>
  <c r="K1165" i="1" s="1"/>
  <c r="K1166" i="1" a="1"/>
  <c r="K1166" i="1" s="1"/>
  <c r="K1167" i="1" a="1"/>
  <c r="K1167" i="1" s="1"/>
  <c r="K1168" i="1" a="1"/>
  <c r="K1168" i="1" s="1"/>
  <c r="K1169" i="1" a="1"/>
  <c r="K1169" i="1" s="1"/>
  <c r="K1170" i="1" a="1"/>
  <c r="K1170" i="1" s="1"/>
  <c r="K1171" i="1" a="1"/>
  <c r="K1171" i="1" s="1"/>
  <c r="K1172" i="1" a="1"/>
  <c r="K1172" i="1" s="1"/>
  <c r="K1173" i="1" a="1"/>
  <c r="K1173" i="1" s="1"/>
  <c r="K1174" i="1" a="1"/>
  <c r="K1174" i="1" s="1"/>
  <c r="K1175" i="1" a="1"/>
  <c r="K1175" i="1" s="1"/>
  <c r="K1176" i="1" a="1"/>
  <c r="K1176" i="1" s="1"/>
  <c r="K1177" i="1" a="1"/>
  <c r="K1177" i="1" s="1"/>
  <c r="K1178" i="1" a="1"/>
  <c r="K1178" i="1" s="1"/>
  <c r="K1179" i="1" a="1"/>
  <c r="K1179" i="1" s="1"/>
  <c r="K1180" i="1" a="1"/>
  <c r="K1180" i="1" s="1"/>
  <c r="K1181" i="1" a="1"/>
  <c r="K1181" i="1" s="1"/>
  <c r="K1182" i="1" a="1"/>
  <c r="K1182" i="1" s="1"/>
  <c r="K1183" i="1" a="1"/>
  <c r="K1183" i="1" s="1"/>
  <c r="K1184" i="1" a="1"/>
  <c r="K1184" i="1" s="1"/>
  <c r="K1185" i="1" a="1"/>
  <c r="K1185" i="1" s="1"/>
  <c r="K1186" i="1" a="1"/>
  <c r="K1186" i="1" s="1"/>
  <c r="K1187" i="1" a="1"/>
  <c r="K1187" i="1" s="1"/>
  <c r="K1188" i="1" a="1"/>
  <c r="K1188" i="1" s="1"/>
  <c r="K1189" i="1" a="1"/>
  <c r="K1189" i="1" s="1"/>
  <c r="K1190" i="1" a="1"/>
  <c r="K1190" i="1" s="1"/>
  <c r="K1191" i="1" a="1"/>
  <c r="K1191" i="1" s="1"/>
  <c r="K1192" i="1" a="1"/>
  <c r="K1192" i="1" s="1"/>
  <c r="K1193" i="1" a="1"/>
  <c r="K1193" i="1" s="1"/>
  <c r="K1194" i="1" a="1"/>
  <c r="K1194" i="1" s="1"/>
  <c r="K1195" i="1" a="1"/>
  <c r="K1195" i="1" s="1"/>
  <c r="K1196" i="1" a="1"/>
  <c r="K1196" i="1" s="1"/>
  <c r="K1197" i="1" a="1"/>
  <c r="K1197" i="1" s="1"/>
  <c r="K1198" i="1" a="1"/>
  <c r="K1198" i="1" s="1"/>
  <c r="K1199" i="1" a="1"/>
  <c r="K1199" i="1" s="1"/>
  <c r="K1200" i="1" a="1"/>
  <c r="K1200" i="1" s="1"/>
  <c r="K1201" i="1" a="1"/>
  <c r="K1201" i="1" s="1"/>
  <c r="K1202" i="1" a="1"/>
  <c r="K1202" i="1" s="1"/>
  <c r="K1203" i="1" a="1"/>
  <c r="K1203" i="1" s="1"/>
  <c r="K1204" i="1" a="1"/>
  <c r="K1204" i="1" s="1"/>
  <c r="K1205" i="1" a="1"/>
  <c r="K1205" i="1" s="1"/>
  <c r="K1206" i="1" a="1"/>
  <c r="K1206" i="1" s="1"/>
  <c r="K1207" i="1" a="1"/>
  <c r="K1207" i="1" s="1"/>
  <c r="K1208" i="1" a="1"/>
  <c r="K1208" i="1" s="1"/>
  <c r="K1209" i="1" a="1"/>
  <c r="K1209" i="1" s="1"/>
  <c r="K1210" i="1" a="1"/>
  <c r="K1210" i="1" s="1"/>
  <c r="K1211" i="1" a="1"/>
  <c r="K1211" i="1" s="1"/>
  <c r="K1212" i="1" a="1"/>
  <c r="K1212" i="1" s="1"/>
  <c r="K1213" i="1" a="1"/>
  <c r="K1213" i="1" s="1"/>
  <c r="K1214" i="1" a="1"/>
  <c r="K1214" i="1" s="1"/>
  <c r="K1215" i="1" a="1"/>
  <c r="K1215" i="1" s="1"/>
  <c r="K1216" i="1" a="1"/>
  <c r="K1216" i="1" s="1"/>
  <c r="K1217" i="1" a="1"/>
  <c r="K1217" i="1" s="1"/>
  <c r="K1218" i="1" a="1"/>
  <c r="K1218" i="1" s="1"/>
  <c r="K1219" i="1" a="1"/>
  <c r="K1219" i="1" s="1"/>
  <c r="K1220" i="1" a="1"/>
  <c r="K1220" i="1" s="1"/>
  <c r="K1221" i="1" a="1"/>
  <c r="K1221" i="1" s="1"/>
  <c r="K1222" i="1" a="1"/>
  <c r="K1222" i="1" s="1"/>
  <c r="K1223" i="1" a="1"/>
  <c r="K1223" i="1" s="1"/>
  <c r="K1224" i="1" a="1"/>
  <c r="K1224" i="1" s="1"/>
  <c r="K1225" i="1" a="1"/>
  <c r="K1225" i="1" s="1"/>
  <c r="K1226" i="1" a="1"/>
  <c r="K1226" i="1" s="1"/>
  <c r="K1227" i="1" a="1"/>
  <c r="K1227" i="1" s="1"/>
  <c r="K1228" i="1" a="1"/>
  <c r="K1228" i="1" s="1"/>
  <c r="K1229" i="1" a="1"/>
  <c r="K1229" i="1" s="1"/>
  <c r="K1230" i="1" a="1"/>
  <c r="K1230" i="1" s="1"/>
  <c r="K1231" i="1" a="1"/>
  <c r="K1231" i="1" s="1"/>
  <c r="K1232" i="1" a="1"/>
  <c r="K1232" i="1" s="1"/>
  <c r="K1233" i="1" a="1"/>
  <c r="K1233" i="1" s="1"/>
  <c r="K1234" i="1" a="1"/>
  <c r="K1234" i="1" s="1"/>
  <c r="K1235" i="1" a="1"/>
  <c r="K1235" i="1" s="1"/>
  <c r="K1236" i="1" a="1"/>
  <c r="K1236" i="1" s="1"/>
  <c r="K1237" i="1" a="1"/>
  <c r="K1237" i="1" s="1"/>
  <c r="K1238" i="1" a="1"/>
  <c r="K1238" i="1" s="1"/>
  <c r="K1239" i="1" a="1"/>
  <c r="K1239" i="1" s="1"/>
  <c r="K1240" i="1" a="1"/>
  <c r="K1240" i="1" s="1"/>
  <c r="K1241" i="1" a="1"/>
  <c r="K1241" i="1" s="1"/>
  <c r="K1242" i="1" a="1"/>
  <c r="K1242" i="1" s="1"/>
  <c r="K1243" i="1" a="1"/>
  <c r="K1243" i="1" s="1"/>
  <c r="K1244" i="1" a="1"/>
  <c r="K1244" i="1" s="1"/>
  <c r="K1245" i="1" a="1"/>
  <c r="K1245" i="1" s="1"/>
  <c r="K1246" i="1" a="1"/>
  <c r="K1246" i="1" s="1"/>
  <c r="K1247" i="1" a="1"/>
  <c r="K1247" i="1" s="1"/>
  <c r="K1248" i="1" a="1"/>
  <c r="K1248" i="1" s="1"/>
  <c r="K1249" i="1" a="1"/>
  <c r="K1249" i="1" s="1"/>
  <c r="K1250" i="1" a="1"/>
  <c r="K1250" i="1" s="1"/>
  <c r="K1251" i="1" a="1"/>
  <c r="K1251" i="1" s="1"/>
  <c r="K1252" i="1" a="1"/>
  <c r="K1252" i="1" s="1"/>
  <c r="K1253" i="1" a="1"/>
  <c r="K1253" i="1" s="1"/>
  <c r="K1254" i="1" a="1"/>
  <c r="K1254" i="1" s="1"/>
  <c r="K1255" i="1" a="1"/>
  <c r="K1255" i="1" s="1"/>
  <c r="K1256" i="1" a="1"/>
  <c r="K1256" i="1" s="1"/>
  <c r="K1257" i="1" a="1"/>
  <c r="K1257" i="1" s="1"/>
  <c r="K1258" i="1" a="1"/>
  <c r="K1258" i="1" s="1"/>
  <c r="K1259" i="1" a="1"/>
  <c r="K1259" i="1" s="1"/>
  <c r="K1260" i="1" a="1"/>
  <c r="K1260" i="1" s="1"/>
  <c r="K1261" i="1" a="1"/>
  <c r="K1261" i="1" s="1"/>
  <c r="K1262" i="1" a="1"/>
  <c r="K1262" i="1" s="1"/>
  <c r="K1263" i="1" a="1"/>
  <c r="K1263" i="1" s="1"/>
  <c r="K1264" i="1" a="1"/>
  <c r="K1264" i="1" s="1"/>
  <c r="K1265" i="1" a="1"/>
  <c r="K1265" i="1" s="1"/>
  <c r="K1266" i="1" a="1"/>
  <c r="K1266" i="1" s="1"/>
  <c r="K1267" i="1" a="1"/>
  <c r="K1267" i="1" s="1"/>
  <c r="K1268" i="1" a="1"/>
  <c r="K1268" i="1" s="1"/>
  <c r="K1269" i="1" a="1"/>
  <c r="K1269" i="1" s="1"/>
  <c r="K1270" i="1" a="1"/>
  <c r="K1270" i="1" s="1"/>
  <c r="K1271" i="1" a="1"/>
  <c r="K1271" i="1" s="1"/>
  <c r="K1272" i="1" a="1"/>
  <c r="K1272" i="1" s="1"/>
  <c r="K1273" i="1" a="1"/>
  <c r="K1273" i="1" s="1"/>
  <c r="K1274" i="1" a="1"/>
  <c r="K1274" i="1" s="1"/>
  <c r="K1275" i="1" a="1"/>
  <c r="K1275" i="1" s="1"/>
  <c r="K1276" i="1" a="1"/>
  <c r="K1276" i="1" s="1"/>
  <c r="K1277" i="1" a="1"/>
  <c r="K1277" i="1" s="1"/>
  <c r="K1278" i="1" a="1"/>
  <c r="K1278" i="1" s="1"/>
  <c r="K1279" i="1" a="1"/>
  <c r="K1279" i="1" s="1"/>
  <c r="K1280" i="1" a="1"/>
  <c r="K1280" i="1" s="1"/>
  <c r="K1281" i="1" a="1"/>
  <c r="K1281" i="1" s="1"/>
  <c r="K1282" i="1" a="1"/>
  <c r="K1282" i="1" s="1"/>
  <c r="K1283" i="1" a="1"/>
  <c r="K1283" i="1" s="1"/>
  <c r="K1284" i="1" a="1"/>
  <c r="K1284" i="1" s="1"/>
  <c r="K1285" i="1" a="1"/>
  <c r="K1285" i="1" s="1"/>
  <c r="K1286" i="1" a="1"/>
  <c r="K1286" i="1" s="1"/>
  <c r="K1287" i="1" a="1"/>
  <c r="K1287" i="1" s="1"/>
  <c r="K1288" i="1" a="1"/>
  <c r="K1288" i="1" s="1"/>
  <c r="K1289" i="1" a="1"/>
  <c r="K1289" i="1" s="1"/>
  <c r="K1290" i="1" a="1"/>
  <c r="K1290" i="1" s="1"/>
  <c r="K1291" i="1" a="1"/>
  <c r="K1291" i="1" s="1"/>
  <c r="K1292" i="1" a="1"/>
  <c r="K1292" i="1" s="1"/>
  <c r="K1293" i="1" a="1"/>
  <c r="K1293" i="1" s="1"/>
  <c r="K1294" i="1" a="1"/>
  <c r="K1294" i="1" s="1"/>
  <c r="K1295" i="1" a="1"/>
  <c r="K1295" i="1" s="1"/>
  <c r="K1296" i="1" a="1"/>
  <c r="K1296" i="1" s="1"/>
  <c r="K1297" i="1" a="1"/>
  <c r="K1297" i="1" s="1"/>
  <c r="K1298" i="1" a="1"/>
  <c r="K1298" i="1" s="1"/>
  <c r="K1299" i="1" a="1"/>
  <c r="K1299" i="1" s="1"/>
  <c r="K1300" i="1" a="1"/>
  <c r="K1300" i="1" s="1"/>
  <c r="K1301" i="1" a="1"/>
  <c r="K1301" i="1" s="1"/>
  <c r="K1302" i="1" a="1"/>
  <c r="K1302" i="1" s="1"/>
  <c r="K1303" i="1" a="1"/>
  <c r="K1303" i="1" s="1"/>
  <c r="K1304" i="1" a="1"/>
  <c r="K1304" i="1" s="1"/>
  <c r="K1305" i="1" a="1"/>
  <c r="K1305" i="1" s="1"/>
  <c r="K1306" i="1" a="1"/>
  <c r="K1306" i="1" s="1"/>
  <c r="K1307" i="1" a="1"/>
  <c r="K1307" i="1" s="1"/>
  <c r="K1308" i="1" a="1"/>
  <c r="K1308" i="1" s="1"/>
  <c r="K1309" i="1" a="1"/>
  <c r="K1309" i="1" s="1"/>
  <c r="K1310" i="1" a="1"/>
  <c r="K1310" i="1" s="1"/>
  <c r="K1311" i="1" a="1"/>
  <c r="K1311" i="1" s="1"/>
  <c r="K1312" i="1" a="1"/>
  <c r="K1312" i="1" s="1"/>
  <c r="K1313" i="1" a="1"/>
  <c r="K1313" i="1" s="1"/>
  <c r="K1314" i="1" a="1"/>
  <c r="K1314" i="1" s="1"/>
  <c r="K1315" i="1" a="1"/>
  <c r="K1315" i="1" s="1"/>
  <c r="K1316" i="1" a="1"/>
  <c r="K1316" i="1" s="1"/>
  <c r="K1317" i="1" a="1"/>
  <c r="K1317" i="1" s="1"/>
  <c r="K1318" i="1" a="1"/>
  <c r="K1318" i="1" s="1"/>
  <c r="K1319" i="1" a="1"/>
  <c r="K1319" i="1" s="1"/>
  <c r="K1320" i="1" a="1"/>
  <c r="K1320" i="1" s="1"/>
  <c r="K1321" i="1" a="1"/>
  <c r="K1321" i="1" s="1"/>
  <c r="K1322" i="1" a="1"/>
  <c r="K1322" i="1" s="1"/>
  <c r="K1323" i="1" a="1"/>
  <c r="K1323" i="1" s="1"/>
  <c r="K1324" i="1" a="1"/>
  <c r="K1324" i="1" s="1"/>
  <c r="K1325" i="1" a="1"/>
  <c r="K1325" i="1" s="1"/>
  <c r="K1326" i="1" a="1"/>
  <c r="K1326" i="1" s="1"/>
  <c r="K1327" i="1" a="1"/>
  <c r="K1327" i="1" s="1"/>
  <c r="K1328" i="1" a="1"/>
  <c r="K1328" i="1" s="1"/>
  <c r="K1329" i="1" a="1"/>
  <c r="K1329" i="1" s="1"/>
  <c r="K1330" i="1" a="1"/>
  <c r="K1330" i="1" s="1"/>
  <c r="K1331" i="1" a="1"/>
  <c r="K1331" i="1" s="1"/>
  <c r="K1332" i="1" a="1"/>
  <c r="K1332" i="1" s="1"/>
  <c r="K1333" i="1" a="1"/>
  <c r="K1333" i="1" s="1"/>
  <c r="K1334" i="1" a="1"/>
  <c r="K1334" i="1" s="1"/>
  <c r="K1335" i="1" a="1"/>
  <c r="K1335" i="1" s="1"/>
  <c r="K1336" i="1" a="1"/>
  <c r="K1336" i="1" s="1"/>
  <c r="K1337" i="1" a="1"/>
  <c r="K1337" i="1" s="1"/>
  <c r="K1338" i="1" a="1"/>
  <c r="K1338" i="1" s="1"/>
  <c r="K1339" i="1" a="1"/>
  <c r="K1339" i="1" s="1"/>
  <c r="K1340" i="1" a="1"/>
  <c r="K1340" i="1" s="1"/>
  <c r="K1341" i="1" a="1"/>
  <c r="K1341" i="1" s="1"/>
  <c r="K1342" i="1" a="1"/>
  <c r="K1342" i="1" s="1"/>
  <c r="K1343" i="1" a="1"/>
  <c r="K1343" i="1" s="1"/>
  <c r="K1344" i="1" a="1"/>
  <c r="K1344" i="1" s="1"/>
  <c r="K1345" i="1" a="1"/>
  <c r="K1345" i="1" s="1"/>
  <c r="K1346" i="1" a="1"/>
  <c r="K1346" i="1" s="1"/>
  <c r="K1347" i="1" a="1"/>
  <c r="K1347" i="1" s="1"/>
  <c r="K1348" i="1" a="1"/>
  <c r="K1348" i="1" s="1"/>
  <c r="K1349" i="1" a="1"/>
  <c r="K1349" i="1" s="1"/>
  <c r="K1350" i="1" a="1"/>
  <c r="K1350" i="1" s="1"/>
  <c r="K1351" i="1" a="1"/>
  <c r="K1351" i="1" s="1"/>
  <c r="K1352" i="1" a="1"/>
  <c r="K1352" i="1" s="1"/>
  <c r="K1353" i="1" a="1"/>
  <c r="K1353" i="1" s="1"/>
  <c r="K1354" i="1" a="1"/>
  <c r="K1354" i="1" s="1"/>
  <c r="K1355" i="1" a="1"/>
  <c r="K1355" i="1" s="1"/>
  <c r="K1356" i="1" a="1"/>
  <c r="K1356" i="1" s="1"/>
  <c r="K1357" i="1" a="1"/>
  <c r="K1357" i="1" s="1"/>
  <c r="K1358" i="1" a="1"/>
  <c r="K1358" i="1" s="1"/>
  <c r="K1359" i="1" a="1"/>
  <c r="K1359" i="1" s="1"/>
  <c r="K1360" i="1" a="1"/>
  <c r="K1360" i="1" s="1"/>
  <c r="K1361" i="1" a="1"/>
  <c r="K1361" i="1" s="1"/>
  <c r="K1362" i="1" a="1"/>
  <c r="K1362" i="1" s="1"/>
  <c r="K1363" i="1" a="1"/>
  <c r="K1363" i="1" s="1"/>
  <c r="K1364" i="1" a="1"/>
  <c r="K1364" i="1" s="1"/>
  <c r="K1365" i="1" a="1"/>
  <c r="K1365" i="1" s="1"/>
  <c r="K1366" i="1" a="1"/>
  <c r="K1366" i="1" s="1"/>
  <c r="K1367" i="1" a="1"/>
  <c r="K1367" i="1" s="1"/>
  <c r="K1368" i="1" a="1"/>
  <c r="K1368" i="1" s="1"/>
  <c r="K1369" i="1" a="1"/>
  <c r="K1369" i="1" s="1"/>
  <c r="K1370" i="1" a="1"/>
  <c r="K1370" i="1" s="1"/>
  <c r="K1371" i="1" a="1"/>
  <c r="K1371" i="1" s="1"/>
  <c r="K1372" i="1" a="1"/>
  <c r="K1372" i="1" s="1"/>
  <c r="K1373" i="1" a="1"/>
  <c r="K1373" i="1" s="1"/>
  <c r="K1374" i="1" a="1"/>
  <c r="K1374" i="1" s="1"/>
  <c r="K1375" i="1" a="1"/>
  <c r="K1375" i="1" s="1"/>
  <c r="K1376" i="1" a="1"/>
  <c r="K1376" i="1" s="1"/>
  <c r="K1377" i="1" a="1"/>
  <c r="K1377" i="1" s="1"/>
  <c r="K1378" i="1" a="1"/>
  <c r="K1378" i="1" s="1"/>
  <c r="K1379" i="1" a="1"/>
  <c r="K1379" i="1" s="1"/>
  <c r="K1380" i="1" a="1"/>
  <c r="K1380" i="1" s="1"/>
  <c r="K1381" i="1" a="1"/>
  <c r="K1381" i="1" s="1"/>
  <c r="K1382" i="1" a="1"/>
  <c r="K1382" i="1" s="1"/>
  <c r="K1383" i="1" a="1"/>
  <c r="K1383" i="1" s="1"/>
  <c r="K1384" i="1" a="1"/>
  <c r="K1384" i="1" s="1"/>
  <c r="K1385" i="1" a="1"/>
  <c r="K1385" i="1" s="1"/>
  <c r="K1386" i="1" a="1"/>
  <c r="K1386" i="1" s="1"/>
  <c r="K1387" i="1" a="1"/>
  <c r="K1387" i="1" s="1"/>
  <c r="K1388" i="1" a="1"/>
  <c r="K1388" i="1" s="1"/>
  <c r="K1389" i="1" a="1"/>
  <c r="K1389" i="1" s="1"/>
  <c r="K1390" i="1" a="1"/>
  <c r="K1390" i="1" s="1"/>
  <c r="K1391" i="1" a="1"/>
  <c r="K1391" i="1" s="1"/>
  <c r="K1392" i="1" a="1"/>
  <c r="K1392" i="1" s="1"/>
  <c r="K1393" i="1" a="1"/>
  <c r="K1393" i="1" s="1"/>
  <c r="K1394" i="1" a="1"/>
  <c r="K1394" i="1" s="1"/>
  <c r="K1395" i="1" a="1"/>
  <c r="K1395" i="1" s="1"/>
  <c r="K1396" i="1" a="1"/>
  <c r="K1396" i="1" s="1"/>
  <c r="K1397" i="1" a="1"/>
  <c r="K1397" i="1" s="1"/>
  <c r="K1398" i="1" a="1"/>
  <c r="K1398" i="1" s="1"/>
  <c r="K1399" i="1" a="1"/>
  <c r="K1399" i="1" s="1"/>
  <c r="K1400" i="1" a="1"/>
  <c r="K1400" i="1" s="1"/>
  <c r="K1401" i="1" a="1"/>
  <c r="K1401" i="1" s="1"/>
  <c r="K1402" i="1" a="1"/>
  <c r="K1402" i="1" s="1"/>
  <c r="K1403" i="1" a="1"/>
  <c r="K1403" i="1" s="1"/>
  <c r="K1404" i="1" a="1"/>
  <c r="K1404" i="1" s="1"/>
  <c r="K1405" i="1" a="1"/>
  <c r="K1405" i="1" s="1"/>
  <c r="K1406" i="1" a="1"/>
  <c r="K1406" i="1" s="1"/>
  <c r="K1407" i="1" a="1"/>
  <c r="K1407" i="1" s="1"/>
  <c r="K1408" i="1" a="1"/>
  <c r="K1408" i="1" s="1"/>
  <c r="K1409" i="1" a="1"/>
  <c r="K1409" i="1" s="1"/>
  <c r="K1410" i="1" a="1"/>
  <c r="K1410" i="1" s="1"/>
  <c r="K1411" i="1" a="1"/>
  <c r="K1411" i="1" s="1"/>
  <c r="K1412" i="1" a="1"/>
  <c r="K1412" i="1" s="1"/>
  <c r="K1413" i="1" a="1"/>
  <c r="K1413" i="1" s="1"/>
  <c r="K1414" i="1" a="1"/>
  <c r="K1414" i="1" s="1"/>
  <c r="K1415" i="1" a="1"/>
  <c r="K1415" i="1" s="1"/>
  <c r="K1416" i="1" a="1"/>
  <c r="K1416" i="1" s="1"/>
  <c r="K1417" i="1" a="1"/>
  <c r="K1417" i="1" s="1"/>
  <c r="K1418" i="1" a="1"/>
  <c r="K1418" i="1" s="1"/>
  <c r="K1419" i="1" a="1"/>
  <c r="K1419" i="1" s="1"/>
  <c r="K1420" i="1" a="1"/>
  <c r="K1420" i="1" s="1"/>
  <c r="K1421" i="1" a="1"/>
  <c r="K1421" i="1" s="1"/>
  <c r="K1422" i="1" a="1"/>
  <c r="K1422" i="1" s="1"/>
  <c r="K1423" i="1" a="1"/>
  <c r="K1423" i="1" s="1"/>
  <c r="K1424" i="1" a="1"/>
  <c r="K1424" i="1" s="1"/>
  <c r="K1425" i="1" a="1"/>
  <c r="K1425" i="1" s="1"/>
  <c r="K1426" i="1" a="1"/>
  <c r="K1426" i="1" s="1"/>
  <c r="K1427" i="1" a="1"/>
  <c r="K1427" i="1" s="1"/>
  <c r="K1428" i="1" a="1"/>
  <c r="K1428" i="1" s="1"/>
  <c r="K1429" i="1" a="1"/>
  <c r="K1429" i="1" s="1"/>
  <c r="K1430" i="1" a="1"/>
  <c r="K1430" i="1" s="1"/>
  <c r="K1431" i="1" a="1"/>
  <c r="K1431" i="1" s="1"/>
  <c r="K1432" i="1" a="1"/>
  <c r="K1432" i="1" s="1"/>
  <c r="K1433" i="1" a="1"/>
  <c r="K1433" i="1" s="1"/>
  <c r="K1434" i="1" a="1"/>
  <c r="K1434" i="1" s="1"/>
  <c r="K1435" i="1" a="1"/>
  <c r="K1435" i="1" s="1"/>
  <c r="K1436" i="1" a="1"/>
  <c r="K1436" i="1" s="1"/>
  <c r="K1437" i="1" a="1"/>
  <c r="K1437" i="1" s="1"/>
  <c r="K1438" i="1" a="1"/>
  <c r="K1438" i="1" s="1"/>
  <c r="K1439" i="1" a="1"/>
  <c r="K1439" i="1" s="1"/>
  <c r="K1440" i="1" a="1"/>
  <c r="K1440" i="1" s="1"/>
  <c r="K1441" i="1" a="1"/>
  <c r="K1441" i="1" s="1"/>
  <c r="K1442" i="1" a="1"/>
  <c r="K1442" i="1" s="1"/>
  <c r="K1443" i="1" a="1"/>
  <c r="K1443" i="1" s="1"/>
  <c r="K1444" i="1" a="1"/>
  <c r="K1444" i="1" s="1"/>
  <c r="K1445" i="1" a="1"/>
  <c r="K1445" i="1" s="1"/>
  <c r="K1446" i="1" a="1"/>
  <c r="K1446" i="1" s="1"/>
  <c r="K1447" i="1" a="1"/>
  <c r="K1447" i="1" s="1"/>
  <c r="K1448" i="1" a="1"/>
  <c r="K1448" i="1" s="1"/>
  <c r="K1449" i="1" a="1"/>
  <c r="K1449" i="1" s="1"/>
  <c r="K1450" i="1" a="1"/>
  <c r="K1450" i="1" s="1"/>
  <c r="K1451" i="1" a="1"/>
  <c r="K1451" i="1" s="1"/>
  <c r="K1452" i="1" a="1"/>
  <c r="K1452" i="1" s="1"/>
  <c r="K1453" i="1" a="1"/>
  <c r="K1453" i="1" s="1"/>
  <c r="K1454" i="1" a="1"/>
  <c r="K1454" i="1" s="1"/>
  <c r="K1455" i="1" a="1"/>
  <c r="K1455" i="1" s="1"/>
  <c r="K1456" i="1" a="1"/>
  <c r="K1456" i="1" s="1"/>
  <c r="K1457" i="1" a="1"/>
  <c r="K1457" i="1" s="1"/>
  <c r="K1458" i="1" a="1"/>
  <c r="K1458" i="1" s="1"/>
  <c r="K1459" i="1" a="1"/>
  <c r="K1459" i="1" s="1"/>
  <c r="K1460" i="1" a="1"/>
  <c r="K1460" i="1" s="1"/>
  <c r="K1461" i="1" a="1"/>
  <c r="K1461" i="1" s="1"/>
  <c r="K1462" i="1" a="1"/>
  <c r="K1462" i="1" s="1"/>
  <c r="K1463" i="1" a="1"/>
  <c r="K1463" i="1" s="1"/>
  <c r="K1464" i="1" a="1"/>
  <c r="K1464" i="1" s="1"/>
  <c r="K1465" i="1" a="1"/>
  <c r="K1465" i="1" s="1"/>
  <c r="K1466" i="1" a="1"/>
  <c r="K1466" i="1" s="1"/>
  <c r="K1467" i="1" a="1"/>
  <c r="K1467" i="1" s="1"/>
  <c r="K1468" i="1" a="1"/>
  <c r="K1468" i="1" s="1"/>
  <c r="K1469" i="1" a="1"/>
  <c r="K1469" i="1" s="1"/>
  <c r="K1470" i="1" a="1"/>
  <c r="K1470" i="1" s="1"/>
  <c r="K1471" i="1" a="1"/>
  <c r="K1471" i="1" s="1"/>
  <c r="K1472" i="1" a="1"/>
  <c r="K1472" i="1" s="1"/>
  <c r="K1473" i="1" a="1"/>
  <c r="K1473" i="1" s="1"/>
  <c r="K1474" i="1" a="1"/>
  <c r="K1474" i="1" s="1"/>
  <c r="K1475" i="1" a="1"/>
  <c r="K1475" i="1" s="1"/>
  <c r="K1476" i="1" a="1"/>
  <c r="K1476" i="1" s="1"/>
  <c r="K1477" i="1" a="1"/>
  <c r="K1477" i="1" s="1"/>
  <c r="K1478" i="1" a="1"/>
  <c r="K1478" i="1" s="1"/>
  <c r="K1479" i="1" a="1"/>
  <c r="K1479" i="1" s="1"/>
  <c r="K1480" i="1" a="1"/>
  <c r="K1480" i="1" s="1"/>
  <c r="K1481" i="1" a="1"/>
  <c r="K1481" i="1" s="1"/>
  <c r="K1482" i="1" a="1"/>
  <c r="K1482" i="1" s="1"/>
  <c r="K1483" i="1" a="1"/>
  <c r="K1483" i="1" s="1"/>
  <c r="K1484" i="1" a="1"/>
  <c r="K1484" i="1" s="1"/>
  <c r="K1485" i="1" a="1"/>
  <c r="K1485" i="1" s="1"/>
  <c r="K1486" i="1" a="1"/>
  <c r="K1486" i="1" s="1"/>
  <c r="K1487" i="1" a="1"/>
  <c r="K1487" i="1" s="1"/>
  <c r="K1488" i="1" a="1"/>
  <c r="K1488" i="1" s="1"/>
  <c r="K1489" i="1" a="1"/>
  <c r="K1489" i="1" s="1"/>
  <c r="K1490" i="1" a="1"/>
  <c r="K1490" i="1" s="1"/>
  <c r="K1491" i="1" a="1"/>
  <c r="K1491" i="1" s="1"/>
  <c r="K1492" i="1" a="1"/>
  <c r="K1492" i="1" s="1"/>
  <c r="K1493" i="1" a="1"/>
  <c r="K1493" i="1" s="1"/>
  <c r="K1494" i="1" a="1"/>
  <c r="K1494" i="1" s="1"/>
  <c r="K1495" i="1" a="1"/>
  <c r="K1495" i="1" s="1"/>
  <c r="K1496" i="1" a="1"/>
  <c r="K1496" i="1" s="1"/>
  <c r="K1497" i="1" a="1"/>
  <c r="K1497" i="1" s="1"/>
  <c r="K1498" i="1" a="1"/>
  <c r="K1498" i="1" s="1"/>
  <c r="K1499" i="1" a="1"/>
  <c r="K1499" i="1" s="1"/>
  <c r="K1500" i="1" a="1"/>
  <c r="K1500" i="1" s="1"/>
  <c r="K1501" i="1" a="1"/>
  <c r="K1501" i="1" s="1"/>
  <c r="K1502" i="1" a="1"/>
  <c r="K1502" i="1" s="1"/>
  <c r="K1503" i="1" a="1"/>
  <c r="K1503" i="1" s="1"/>
  <c r="K1504" i="1" a="1"/>
  <c r="K1504" i="1" s="1"/>
  <c r="K1505" i="1" a="1"/>
  <c r="K1505" i="1" s="1"/>
  <c r="K1506" i="1" a="1"/>
  <c r="K1506" i="1" s="1"/>
  <c r="K1507" i="1" a="1"/>
  <c r="K1507" i="1" s="1"/>
  <c r="K1508" i="1" a="1"/>
  <c r="K1508" i="1" s="1"/>
  <c r="K1509" i="1" a="1"/>
  <c r="K1509" i="1" s="1"/>
  <c r="K1510" i="1" a="1"/>
  <c r="K1510" i="1" s="1"/>
  <c r="K1511" i="1" a="1"/>
  <c r="K1511" i="1" s="1"/>
  <c r="K1512" i="1" a="1"/>
  <c r="K1512" i="1" s="1"/>
  <c r="K1513" i="1" a="1"/>
  <c r="K1513" i="1" s="1"/>
  <c r="K1514" i="1" a="1"/>
  <c r="K1514" i="1" s="1"/>
  <c r="K1515" i="1" a="1"/>
  <c r="K1515" i="1" s="1"/>
  <c r="K1516" i="1" a="1"/>
  <c r="K1516" i="1" s="1"/>
  <c r="K1517" i="1" a="1"/>
  <c r="K1517" i="1" s="1"/>
  <c r="K1518" i="1" a="1"/>
  <c r="K1518" i="1" s="1"/>
  <c r="K1519" i="1" a="1"/>
  <c r="K1519" i="1" s="1"/>
  <c r="K1520" i="1" a="1"/>
  <c r="K1520" i="1" s="1"/>
  <c r="K1521" i="1" a="1"/>
  <c r="K1521" i="1" s="1"/>
  <c r="K1522" i="1" a="1"/>
  <c r="K1522" i="1" s="1"/>
  <c r="K1523" i="1" a="1"/>
  <c r="K1523" i="1" s="1"/>
  <c r="K1524" i="1" a="1"/>
  <c r="K1524" i="1" s="1"/>
  <c r="K1525" i="1" a="1"/>
  <c r="K1525" i="1" s="1"/>
  <c r="K1526" i="1" a="1"/>
  <c r="K1526" i="1" s="1"/>
  <c r="K1527" i="1" a="1"/>
  <c r="K1527" i="1" s="1"/>
  <c r="K1528" i="1" a="1"/>
  <c r="K1528" i="1" s="1"/>
  <c r="K1529" i="1" a="1"/>
  <c r="K1529" i="1" s="1"/>
  <c r="K1530" i="1" a="1"/>
  <c r="K1530" i="1" s="1"/>
  <c r="K1531" i="1" a="1"/>
  <c r="K1531" i="1" s="1"/>
  <c r="K1532" i="1" a="1"/>
  <c r="K1532" i="1" s="1"/>
  <c r="K1533" i="1" a="1"/>
  <c r="K1533" i="1" s="1"/>
  <c r="K1534" i="1" a="1"/>
  <c r="K1534" i="1" s="1"/>
  <c r="K1535" i="1" a="1"/>
  <c r="K1535" i="1" s="1"/>
  <c r="K1536" i="1" a="1"/>
  <c r="K1536" i="1" s="1"/>
  <c r="K1537" i="1" a="1"/>
  <c r="K1537" i="1" s="1"/>
  <c r="K1538" i="1" a="1"/>
  <c r="K1538" i="1" s="1"/>
  <c r="K1539" i="1" a="1"/>
  <c r="K1539" i="1" s="1"/>
  <c r="K1540" i="1" a="1"/>
  <c r="K1540" i="1" s="1"/>
  <c r="K1541" i="1" a="1"/>
  <c r="K1541" i="1" s="1"/>
  <c r="K1542" i="1" a="1"/>
  <c r="K1542" i="1" s="1"/>
  <c r="K1543" i="1" a="1"/>
  <c r="K1543" i="1" s="1"/>
  <c r="K1544" i="1" a="1"/>
  <c r="K1544" i="1" s="1"/>
  <c r="K1545" i="1" a="1"/>
  <c r="K1545" i="1" s="1"/>
  <c r="K1546" i="1" a="1"/>
  <c r="K1546" i="1" s="1"/>
  <c r="K1547" i="1" a="1"/>
  <c r="K1547" i="1" s="1"/>
  <c r="K1548" i="1" a="1"/>
  <c r="K1548" i="1" s="1"/>
  <c r="K1549" i="1" a="1"/>
  <c r="K1549" i="1" s="1"/>
  <c r="K1550" i="1" a="1"/>
  <c r="K1550" i="1" s="1"/>
  <c r="K1551" i="1" a="1"/>
  <c r="K1551" i="1" s="1"/>
  <c r="K1552" i="1" a="1"/>
  <c r="K1552" i="1" s="1"/>
  <c r="K1553" i="1" a="1"/>
  <c r="K1553" i="1" s="1"/>
  <c r="K1554" i="1" a="1"/>
  <c r="K1554" i="1" s="1"/>
  <c r="K1555" i="1" a="1"/>
  <c r="K1555" i="1" s="1"/>
  <c r="K1556" i="1" a="1"/>
  <c r="K1556" i="1" s="1"/>
  <c r="K1557" i="1" a="1"/>
  <c r="K1557" i="1" s="1"/>
  <c r="K1558" i="1" a="1"/>
  <c r="K1558" i="1" s="1"/>
  <c r="K1559" i="1" a="1"/>
  <c r="K1559" i="1" s="1"/>
  <c r="K1560" i="1" a="1"/>
  <c r="K1560" i="1" s="1"/>
  <c r="K1561" i="1" a="1"/>
  <c r="K1561" i="1" s="1"/>
  <c r="K1562" i="1" a="1"/>
  <c r="K1562" i="1" s="1"/>
  <c r="K1563" i="1" a="1"/>
  <c r="K1563" i="1" s="1"/>
  <c r="K1564" i="1" a="1"/>
  <c r="K1564" i="1" s="1"/>
  <c r="K1565" i="1" a="1"/>
  <c r="K1565" i="1" s="1"/>
  <c r="K1566" i="1" a="1"/>
  <c r="K1566" i="1" s="1"/>
  <c r="K1567" i="1" a="1"/>
  <c r="K1567" i="1" s="1"/>
  <c r="K1568" i="1" a="1"/>
  <c r="K1568" i="1" s="1"/>
  <c r="K1569" i="1" a="1"/>
  <c r="K1569" i="1" s="1"/>
  <c r="K1570" i="1" a="1"/>
  <c r="K1570" i="1" s="1"/>
  <c r="K1571" i="1" a="1"/>
  <c r="K1571" i="1" s="1"/>
  <c r="K1572" i="1" a="1"/>
  <c r="K1572" i="1" s="1"/>
  <c r="K1573" i="1" a="1"/>
  <c r="K1573" i="1" s="1"/>
  <c r="K1574" i="1" a="1"/>
  <c r="K1574" i="1" s="1"/>
  <c r="K1575" i="1" a="1"/>
  <c r="K1575" i="1" s="1"/>
  <c r="K1576" i="1" a="1"/>
  <c r="K1576" i="1" s="1"/>
  <c r="K1577" i="1" a="1"/>
  <c r="K1577" i="1" s="1"/>
  <c r="K1578" i="1" a="1"/>
  <c r="K1578" i="1" s="1"/>
  <c r="K1579" i="1" a="1"/>
  <c r="K1579" i="1" s="1"/>
  <c r="K1580" i="1" a="1"/>
  <c r="K1580" i="1" s="1"/>
  <c r="K1581" i="1" a="1"/>
  <c r="K1581" i="1" s="1"/>
  <c r="K1582" i="1" a="1"/>
  <c r="K1582" i="1" s="1"/>
  <c r="K1583" i="1" a="1"/>
  <c r="K1583" i="1" s="1"/>
  <c r="K1584" i="1" a="1"/>
  <c r="K1584" i="1" s="1"/>
  <c r="K1585" i="1" a="1"/>
  <c r="K1585" i="1" s="1"/>
  <c r="K1586" i="1" a="1"/>
  <c r="K1586" i="1" s="1"/>
  <c r="K1587" i="1" a="1"/>
  <c r="K1587" i="1" s="1"/>
  <c r="K1588" i="1" a="1"/>
  <c r="K1588" i="1" s="1"/>
  <c r="K1589" i="1" a="1"/>
  <c r="K1589" i="1" s="1"/>
  <c r="K1590" i="1" a="1"/>
  <c r="K1590" i="1" s="1"/>
  <c r="K1591" i="1" a="1"/>
  <c r="K1591" i="1" s="1"/>
  <c r="K1592" i="1" a="1"/>
  <c r="K1592" i="1" s="1"/>
  <c r="K1593" i="1" a="1"/>
  <c r="K1593" i="1" s="1"/>
  <c r="K1594" i="1" a="1"/>
  <c r="K1594" i="1" s="1"/>
  <c r="K1595" i="1" a="1"/>
  <c r="K1595" i="1" s="1"/>
  <c r="K1596" i="1" a="1"/>
  <c r="K1596" i="1" s="1"/>
  <c r="K1597" i="1" a="1"/>
  <c r="K1597" i="1" s="1"/>
  <c r="K1598" i="1" a="1"/>
  <c r="K1598" i="1" s="1"/>
  <c r="K1599" i="1" a="1"/>
  <c r="K1599" i="1" s="1"/>
  <c r="K1600" i="1" a="1"/>
  <c r="K1600" i="1" s="1"/>
  <c r="K1601" i="1" a="1"/>
  <c r="K1601" i="1" s="1"/>
  <c r="K1602" i="1" a="1"/>
  <c r="K1602" i="1" s="1"/>
  <c r="K1603" i="1" a="1"/>
  <c r="K1603" i="1" s="1"/>
  <c r="K1604" i="1" a="1"/>
  <c r="K1604" i="1" s="1"/>
  <c r="K1605" i="1" a="1"/>
  <c r="K1605" i="1" s="1"/>
  <c r="K1606" i="1" a="1"/>
  <c r="K1606" i="1" s="1"/>
  <c r="K1607" i="1" a="1"/>
  <c r="K1607" i="1" s="1"/>
  <c r="K1608" i="1" a="1"/>
  <c r="K1608" i="1" s="1"/>
  <c r="K1609" i="1" a="1"/>
  <c r="K1609" i="1" s="1"/>
  <c r="K1610" i="1" a="1"/>
  <c r="K1610" i="1" s="1"/>
  <c r="K1611" i="1" a="1"/>
  <c r="K1611" i="1" s="1"/>
  <c r="K1612" i="1" a="1"/>
  <c r="K1612" i="1" s="1"/>
  <c r="K1613" i="1" a="1"/>
  <c r="K1613" i="1" s="1"/>
  <c r="K1614" i="1" a="1"/>
  <c r="K1614" i="1" s="1"/>
  <c r="K1615" i="1" a="1"/>
  <c r="K1615" i="1" s="1"/>
  <c r="K1616" i="1" a="1"/>
  <c r="K1616" i="1" s="1"/>
  <c r="K1617" i="1" a="1"/>
  <c r="K1617" i="1" s="1"/>
  <c r="K1618" i="1" a="1"/>
  <c r="K1618" i="1" s="1"/>
  <c r="K1619" i="1" a="1"/>
  <c r="K1619" i="1" s="1"/>
  <c r="K1620" i="1" a="1"/>
  <c r="K1620" i="1" s="1"/>
  <c r="K1621" i="1" a="1"/>
  <c r="K1621" i="1" s="1"/>
  <c r="K1622" i="1" a="1"/>
  <c r="K1622" i="1" s="1"/>
  <c r="K1623" i="1" a="1"/>
  <c r="K1623" i="1" s="1"/>
  <c r="K1624" i="1" a="1"/>
  <c r="K1624" i="1" s="1"/>
  <c r="K1625" i="1" a="1"/>
  <c r="K1625" i="1" s="1"/>
  <c r="K1626" i="1" a="1"/>
  <c r="K1626" i="1" s="1"/>
  <c r="K1627" i="1" a="1"/>
  <c r="K1627" i="1" s="1"/>
  <c r="K1628" i="1" a="1"/>
  <c r="K1628" i="1" s="1"/>
  <c r="K1629" i="1" a="1"/>
  <c r="K1629" i="1" s="1"/>
  <c r="K1630" i="1" a="1"/>
  <c r="K1630" i="1" s="1"/>
  <c r="K1631" i="1" a="1"/>
  <c r="K1631" i="1" s="1"/>
  <c r="K1632" i="1" a="1"/>
  <c r="K1632" i="1" s="1"/>
  <c r="K1633" i="1" a="1"/>
  <c r="K1633" i="1" s="1"/>
  <c r="K1634" i="1" a="1"/>
  <c r="K1634" i="1" s="1"/>
  <c r="K1635" i="1" a="1"/>
  <c r="K1635" i="1" s="1"/>
  <c r="K1636" i="1" a="1"/>
  <c r="K1636" i="1" s="1"/>
  <c r="K1637" i="1" a="1"/>
  <c r="K1637" i="1" s="1"/>
  <c r="K1638" i="1" a="1"/>
  <c r="K1638" i="1" s="1"/>
  <c r="K1639" i="1" a="1"/>
  <c r="K1639" i="1" s="1"/>
  <c r="K1640" i="1" a="1"/>
  <c r="K1640" i="1" s="1"/>
  <c r="K1641" i="1" a="1"/>
  <c r="K1641" i="1" s="1"/>
  <c r="K1642" i="1" a="1"/>
  <c r="K1642" i="1" s="1"/>
  <c r="K1643" i="1" a="1"/>
  <c r="K1643" i="1" s="1"/>
  <c r="K1644" i="1" a="1"/>
  <c r="K1644" i="1" s="1"/>
  <c r="K1645" i="1" a="1"/>
  <c r="K1645" i="1" s="1"/>
  <c r="K1646" i="1" a="1"/>
  <c r="K1646" i="1" s="1"/>
  <c r="K1647" i="1" a="1"/>
  <c r="K1647" i="1" s="1"/>
  <c r="K1648" i="1" a="1"/>
  <c r="K1648" i="1" s="1"/>
  <c r="K1649" i="1" a="1"/>
  <c r="K1649" i="1" s="1"/>
  <c r="K1650" i="1" a="1"/>
  <c r="K1650" i="1" s="1"/>
  <c r="K1651" i="1" a="1"/>
  <c r="K1651" i="1" s="1"/>
  <c r="K1652" i="1" a="1"/>
  <c r="K1652" i="1" s="1"/>
  <c r="K1653" i="1" a="1"/>
  <c r="K1653" i="1" s="1"/>
  <c r="K1654" i="1" a="1"/>
  <c r="K1654" i="1" s="1"/>
  <c r="K1655" i="1" a="1"/>
  <c r="K1655" i="1" s="1"/>
  <c r="K1656" i="1" a="1"/>
  <c r="K1656" i="1" s="1"/>
  <c r="K1657" i="1" a="1"/>
  <c r="K1657" i="1" s="1"/>
  <c r="K1658" i="1" a="1"/>
  <c r="K1658" i="1" s="1"/>
  <c r="K1659" i="1" a="1"/>
  <c r="K1659" i="1" s="1"/>
  <c r="K1660" i="1" a="1"/>
  <c r="K1660" i="1" s="1"/>
  <c r="K1661" i="1" a="1"/>
  <c r="K1661" i="1" s="1"/>
  <c r="K1662" i="1" a="1"/>
  <c r="K1662" i="1" s="1"/>
  <c r="K1663" i="1" a="1"/>
  <c r="K1663" i="1" s="1"/>
  <c r="K1664" i="1" a="1"/>
  <c r="K1664" i="1" s="1"/>
  <c r="K1665" i="1" a="1"/>
  <c r="K1665" i="1" s="1"/>
  <c r="K1666" i="1" a="1"/>
  <c r="K1666" i="1" s="1"/>
  <c r="K1667" i="1" a="1"/>
  <c r="K1667" i="1" s="1"/>
  <c r="K1668" i="1" a="1"/>
  <c r="K1668" i="1" s="1"/>
  <c r="K1669" i="1" a="1"/>
  <c r="K1669" i="1" s="1"/>
  <c r="K1670" i="1" a="1"/>
  <c r="K1670" i="1" s="1"/>
  <c r="K1671" i="1" a="1"/>
  <c r="K1671" i="1" s="1"/>
  <c r="K1672" i="1" a="1"/>
  <c r="K1672" i="1" s="1"/>
  <c r="K1673" i="1" a="1"/>
  <c r="K1673" i="1" s="1"/>
  <c r="K1674" i="1" a="1"/>
  <c r="K1674" i="1" s="1"/>
  <c r="K1675" i="1" a="1"/>
  <c r="K1675" i="1" s="1"/>
  <c r="K1676" i="1" a="1"/>
  <c r="K1676" i="1" s="1"/>
  <c r="K1677" i="1" a="1"/>
  <c r="K1677" i="1" s="1"/>
  <c r="K1678" i="1" a="1"/>
  <c r="K1678" i="1" s="1"/>
  <c r="K1679" i="1" a="1"/>
  <c r="K1679" i="1" s="1"/>
  <c r="K1680" i="1" a="1"/>
  <c r="K1680" i="1" s="1"/>
  <c r="K1681" i="1" a="1"/>
  <c r="K1681" i="1" s="1"/>
  <c r="K1682" i="1" a="1"/>
  <c r="K1682" i="1" s="1"/>
  <c r="K1683" i="1" a="1"/>
  <c r="K1683" i="1" s="1"/>
  <c r="K1684" i="1" a="1"/>
  <c r="K1684" i="1" s="1"/>
  <c r="K1685" i="1" a="1"/>
  <c r="K1685" i="1" s="1"/>
  <c r="K1686" i="1" a="1"/>
  <c r="K1686" i="1" s="1"/>
  <c r="K1687" i="1" a="1"/>
  <c r="K1687" i="1" s="1"/>
  <c r="K1688" i="1" a="1"/>
  <c r="K1688" i="1" s="1"/>
  <c r="K1689" i="1" a="1"/>
  <c r="K1689" i="1" s="1"/>
  <c r="K1690" i="1" a="1"/>
  <c r="K1690" i="1" s="1"/>
  <c r="K1691" i="1" a="1"/>
  <c r="K1691" i="1" s="1"/>
  <c r="K1692" i="1" a="1"/>
  <c r="K1692" i="1" s="1"/>
  <c r="K1693" i="1" a="1"/>
  <c r="K1693" i="1" s="1"/>
  <c r="K1694" i="1" a="1"/>
  <c r="K1694" i="1" s="1"/>
  <c r="K1695" i="1" a="1"/>
  <c r="K1695" i="1" s="1"/>
  <c r="K1696" i="1" a="1"/>
  <c r="K1696" i="1" s="1"/>
  <c r="K1697" i="1" a="1"/>
  <c r="K1697" i="1" s="1"/>
  <c r="K1698" i="1" a="1"/>
  <c r="K1698" i="1" s="1"/>
  <c r="K1699" i="1" a="1"/>
  <c r="K1699" i="1" s="1"/>
  <c r="K1700" i="1" a="1"/>
  <c r="K1700" i="1" s="1"/>
  <c r="K1701" i="1" a="1"/>
  <c r="K1701" i="1" s="1"/>
  <c r="K1702" i="1" a="1"/>
  <c r="K1702" i="1" s="1"/>
  <c r="K1703" i="1" a="1"/>
  <c r="K1703" i="1" s="1"/>
  <c r="K1704" i="1" a="1"/>
  <c r="K1704" i="1" s="1"/>
  <c r="K1705" i="1" a="1"/>
  <c r="K1705" i="1" s="1"/>
  <c r="K1706" i="1" a="1"/>
  <c r="K1706" i="1" s="1"/>
  <c r="K1707" i="1" a="1"/>
  <c r="K1707" i="1" s="1"/>
  <c r="K1708" i="1" a="1"/>
  <c r="K1708" i="1" s="1"/>
  <c r="K1709" i="1" a="1"/>
  <c r="K1709" i="1" s="1"/>
  <c r="K1710" i="1" a="1"/>
  <c r="K1710" i="1" s="1"/>
  <c r="K1711" i="1" a="1"/>
  <c r="K1711" i="1" s="1"/>
  <c r="K1712" i="1" a="1"/>
  <c r="K1712" i="1" s="1"/>
  <c r="K1713" i="1" a="1"/>
  <c r="K1713" i="1" s="1"/>
  <c r="K1714" i="1" a="1"/>
  <c r="K1714" i="1" s="1"/>
  <c r="K1715" i="1" a="1"/>
  <c r="K1715" i="1" s="1"/>
  <c r="K1716" i="1" a="1"/>
  <c r="K1716" i="1" s="1"/>
  <c r="K1717" i="1" a="1"/>
  <c r="K1717" i="1" s="1"/>
  <c r="K1718" i="1" a="1"/>
  <c r="K1718" i="1" s="1"/>
  <c r="K1719" i="1" a="1"/>
  <c r="K1719" i="1" s="1"/>
  <c r="K1720" i="1" a="1"/>
  <c r="K1720" i="1" s="1"/>
  <c r="K1721" i="1" a="1"/>
  <c r="K1721" i="1" s="1"/>
  <c r="K1722" i="1" a="1"/>
  <c r="K1722" i="1" s="1"/>
  <c r="K1723" i="1" a="1"/>
  <c r="K1723" i="1" s="1"/>
  <c r="K1724" i="1" a="1"/>
  <c r="K1724" i="1" s="1"/>
  <c r="K1725" i="1" a="1"/>
  <c r="K1725" i="1" s="1"/>
  <c r="K1726" i="1" a="1"/>
  <c r="K1726" i="1" s="1"/>
  <c r="K1727" i="1" a="1"/>
  <c r="K1727" i="1" s="1"/>
  <c r="K1728" i="1" a="1"/>
  <c r="K1728" i="1" s="1"/>
  <c r="K1729" i="1" a="1"/>
  <c r="K1729" i="1" s="1"/>
  <c r="K1730" i="1" a="1"/>
  <c r="K1730" i="1" s="1"/>
  <c r="K1731" i="1" a="1"/>
  <c r="K1731" i="1" s="1"/>
  <c r="K1732" i="1" a="1"/>
  <c r="K1732" i="1" s="1"/>
  <c r="K1733" i="1" a="1"/>
  <c r="K1733" i="1" s="1"/>
  <c r="K1734" i="1" a="1"/>
  <c r="K1734" i="1" s="1"/>
  <c r="K1735" i="1" a="1"/>
  <c r="K1735" i="1" s="1"/>
  <c r="K1736" i="1" a="1"/>
  <c r="K1736" i="1" s="1"/>
  <c r="K1737" i="1" a="1"/>
  <c r="K1737" i="1" s="1"/>
  <c r="K1738" i="1" a="1"/>
  <c r="K1738" i="1" s="1"/>
  <c r="K1739" i="1" a="1"/>
  <c r="K1739" i="1" s="1"/>
  <c r="K1740" i="1" a="1"/>
  <c r="K1740" i="1" s="1"/>
  <c r="K1741" i="1" a="1"/>
  <c r="K1741" i="1" s="1"/>
  <c r="K1742" i="1" a="1"/>
  <c r="K1742" i="1" s="1"/>
  <c r="K1743" i="1" a="1"/>
  <c r="K1743" i="1" s="1"/>
  <c r="K1744" i="1" a="1"/>
  <c r="K1744" i="1" s="1"/>
  <c r="K1745" i="1" a="1"/>
  <c r="K1745" i="1" s="1"/>
  <c r="K1746" i="1" a="1"/>
  <c r="K1746" i="1" s="1"/>
  <c r="K1747" i="1" a="1"/>
  <c r="K1747" i="1" s="1"/>
  <c r="K1748" i="1" a="1"/>
  <c r="K1748" i="1" s="1"/>
  <c r="K1749" i="1" a="1"/>
  <c r="K1749" i="1" s="1"/>
  <c r="K1750" i="1" a="1"/>
  <c r="K1750" i="1" s="1"/>
  <c r="K1751" i="1" a="1"/>
  <c r="K1751" i="1" s="1"/>
  <c r="K1752" i="1" a="1"/>
  <c r="K1752" i="1" s="1"/>
  <c r="K1753" i="1" a="1"/>
  <c r="K1753" i="1" s="1"/>
  <c r="K1754" i="1" a="1"/>
  <c r="K1754" i="1" s="1"/>
  <c r="K1755" i="1" a="1"/>
  <c r="K1755" i="1" s="1"/>
  <c r="K1756" i="1" a="1"/>
  <c r="K1756" i="1" s="1"/>
  <c r="K1757" i="1" a="1"/>
  <c r="K1757" i="1" s="1"/>
  <c r="K1758" i="1" a="1"/>
  <c r="K1758" i="1" s="1"/>
  <c r="K1759" i="1" a="1"/>
  <c r="K1759" i="1" s="1"/>
  <c r="K1760" i="1" a="1"/>
  <c r="K1760" i="1" s="1"/>
  <c r="K1761" i="1" a="1"/>
  <c r="K1761" i="1" s="1"/>
  <c r="K1762" i="1" a="1"/>
  <c r="K1762" i="1" s="1"/>
  <c r="K1763" i="1" a="1"/>
  <c r="K1763" i="1" s="1"/>
  <c r="K1764" i="1" a="1"/>
  <c r="K1764" i="1" s="1"/>
  <c r="K1765" i="1" a="1"/>
  <c r="K1765" i="1" s="1"/>
  <c r="K1766" i="1" a="1"/>
  <c r="K1766" i="1" s="1"/>
  <c r="K1767" i="1" a="1"/>
  <c r="K1767" i="1" s="1"/>
  <c r="K1768" i="1" a="1"/>
  <c r="K1768" i="1" s="1"/>
  <c r="K1769" i="1" a="1"/>
  <c r="K1769" i="1" s="1"/>
  <c r="K1770" i="1" a="1"/>
  <c r="K1770" i="1" s="1"/>
  <c r="K1771" i="1" a="1"/>
  <c r="K1771" i="1" s="1"/>
  <c r="K1772" i="1" a="1"/>
  <c r="K1772" i="1" s="1"/>
  <c r="K1773" i="1" a="1"/>
  <c r="K1773" i="1" s="1"/>
  <c r="K1774" i="1" a="1"/>
  <c r="K1774" i="1" s="1"/>
  <c r="K1775" i="1" a="1"/>
  <c r="K1775" i="1" s="1"/>
  <c r="K1776" i="1" a="1"/>
  <c r="K1776" i="1" s="1"/>
  <c r="K1777" i="1" a="1"/>
  <c r="K1777" i="1" s="1"/>
  <c r="K1778" i="1" a="1"/>
  <c r="K1778" i="1" s="1"/>
  <c r="K1779" i="1" a="1"/>
  <c r="K1779" i="1" s="1"/>
  <c r="K1780" i="1" a="1"/>
  <c r="K1780" i="1" s="1"/>
  <c r="K1781" i="1" a="1"/>
  <c r="K1781" i="1" s="1"/>
  <c r="K1782" i="1" a="1"/>
  <c r="K1782" i="1" s="1"/>
  <c r="K1783" i="1" a="1"/>
  <c r="K1783" i="1" s="1"/>
  <c r="K1784" i="1" a="1"/>
  <c r="K1784" i="1" s="1"/>
  <c r="K1785" i="1" a="1"/>
  <c r="K1785" i="1" s="1"/>
  <c r="K1786" i="1" a="1"/>
  <c r="K1786" i="1" s="1"/>
  <c r="K1787" i="1" a="1"/>
  <c r="K1787" i="1" s="1"/>
  <c r="K1788" i="1" a="1"/>
  <c r="K1788" i="1" s="1"/>
  <c r="K1789" i="1" a="1"/>
  <c r="K1789" i="1" s="1"/>
  <c r="K1790" i="1" a="1"/>
  <c r="K1790" i="1" s="1"/>
  <c r="K1791" i="1" a="1"/>
  <c r="K1791" i="1" s="1"/>
  <c r="K1792" i="1" a="1"/>
  <c r="K1792" i="1" s="1"/>
  <c r="K1793" i="1" a="1"/>
  <c r="K1793" i="1" s="1"/>
  <c r="K1794" i="1" a="1"/>
  <c r="K1794" i="1" s="1"/>
  <c r="K1795" i="1" a="1"/>
  <c r="K1795" i="1" s="1"/>
  <c r="K1796" i="1" a="1"/>
  <c r="K1796" i="1" s="1"/>
  <c r="K1797" i="1" a="1"/>
  <c r="K1797" i="1" s="1"/>
  <c r="K1798" i="1" a="1"/>
  <c r="K1798" i="1" s="1"/>
  <c r="K1799" i="1" a="1"/>
  <c r="K1799" i="1" s="1"/>
  <c r="K1800" i="1" a="1"/>
  <c r="K1800" i="1" s="1"/>
  <c r="K1801" i="1" a="1"/>
  <c r="K1801" i="1" s="1"/>
  <c r="K1802" i="1" a="1"/>
  <c r="K1802" i="1" s="1"/>
  <c r="K1803" i="1" a="1"/>
  <c r="K1803" i="1" s="1"/>
  <c r="K1804" i="1" a="1"/>
  <c r="K1804" i="1" s="1"/>
  <c r="K1805" i="1" a="1"/>
  <c r="K1805" i="1" s="1"/>
  <c r="K1806" i="1" a="1"/>
  <c r="K1806" i="1" s="1"/>
  <c r="K1807" i="1" a="1"/>
  <c r="K1807" i="1" s="1"/>
  <c r="K1808" i="1" a="1"/>
  <c r="K1808" i="1" s="1"/>
  <c r="K1809" i="1" a="1"/>
  <c r="K1809" i="1" s="1"/>
  <c r="K1810" i="1" a="1"/>
  <c r="K1810" i="1" s="1"/>
  <c r="K1811" i="1" a="1"/>
  <c r="K1811" i="1" s="1"/>
  <c r="K1812" i="1" a="1"/>
  <c r="K1812" i="1" s="1"/>
  <c r="K1813" i="1" a="1"/>
  <c r="K1813" i="1" s="1"/>
  <c r="K1814" i="1" a="1"/>
  <c r="K1814" i="1" s="1"/>
  <c r="K1815" i="1" a="1"/>
  <c r="K1815" i="1" s="1"/>
  <c r="K1816" i="1" a="1"/>
  <c r="K1816" i="1" s="1"/>
  <c r="K1817" i="1" a="1"/>
  <c r="K1817" i="1" s="1"/>
  <c r="K1818" i="1" a="1"/>
  <c r="K1818" i="1" s="1"/>
  <c r="K1819" i="1" a="1"/>
  <c r="K1819" i="1" s="1"/>
  <c r="K1820" i="1" a="1"/>
  <c r="K1820" i="1" s="1"/>
  <c r="K1821" i="1" a="1"/>
  <c r="K1821" i="1" s="1"/>
  <c r="K1822" i="1" a="1"/>
  <c r="K1822" i="1" s="1"/>
  <c r="K1823" i="1" a="1"/>
  <c r="K1823" i="1" s="1"/>
  <c r="K1824" i="1" a="1"/>
  <c r="K1824" i="1" s="1"/>
  <c r="K1825" i="1" a="1"/>
  <c r="K1825" i="1" s="1"/>
  <c r="K1826" i="1" a="1"/>
  <c r="K1826" i="1" s="1"/>
  <c r="K1827" i="1" a="1"/>
  <c r="K1827" i="1" s="1"/>
  <c r="K1828" i="1" a="1"/>
  <c r="K1828" i="1" s="1"/>
  <c r="K1829" i="1" a="1"/>
  <c r="K1829" i="1" s="1"/>
  <c r="K1830" i="1" a="1"/>
  <c r="K1830" i="1" s="1"/>
  <c r="K1831" i="1" a="1"/>
  <c r="K1831" i="1" s="1"/>
  <c r="K1832" i="1" a="1"/>
  <c r="K1832" i="1" s="1"/>
  <c r="K1833" i="1" a="1"/>
  <c r="K1833" i="1" s="1"/>
  <c r="K1834" i="1" a="1"/>
  <c r="K1834" i="1" s="1"/>
  <c r="K1835" i="1" a="1"/>
  <c r="K1835" i="1" s="1"/>
  <c r="K1836" i="1" a="1"/>
  <c r="K1836" i="1" s="1"/>
  <c r="K1837" i="1" a="1"/>
  <c r="K1837" i="1" s="1"/>
  <c r="K1838" i="1" a="1"/>
  <c r="K1838" i="1" s="1"/>
  <c r="K1839" i="1" a="1"/>
  <c r="K1839" i="1" s="1"/>
  <c r="K1840" i="1" a="1"/>
  <c r="K1840" i="1" s="1"/>
  <c r="K1841" i="1" a="1"/>
  <c r="K1841" i="1" s="1"/>
  <c r="K1842" i="1" a="1"/>
  <c r="K1842" i="1" s="1"/>
  <c r="K1843" i="1" a="1"/>
  <c r="K1843" i="1" s="1"/>
  <c r="K1844" i="1" a="1"/>
  <c r="K1844" i="1" s="1"/>
  <c r="K1845" i="1" a="1"/>
  <c r="K1845" i="1" s="1"/>
  <c r="K1846" i="1" a="1"/>
  <c r="K1846" i="1" s="1"/>
  <c r="K1847" i="1" a="1"/>
  <c r="K1847" i="1" s="1"/>
  <c r="K1848" i="1" a="1"/>
  <c r="K1848" i="1" s="1"/>
  <c r="K1849" i="1" a="1"/>
  <c r="K1849" i="1" s="1"/>
  <c r="K1850" i="1" a="1"/>
  <c r="K1850" i="1" s="1"/>
  <c r="K1851" i="1" a="1"/>
  <c r="K1851" i="1" s="1"/>
  <c r="K1852" i="1" a="1"/>
  <c r="K1852" i="1" s="1"/>
  <c r="K1853" i="1" a="1"/>
  <c r="K1853" i="1" s="1"/>
  <c r="K1854" i="1" a="1"/>
  <c r="K1854" i="1" s="1"/>
  <c r="K1855" i="1" a="1"/>
  <c r="K1855" i="1" s="1"/>
  <c r="K1856" i="1" a="1"/>
  <c r="K1856" i="1" s="1"/>
  <c r="K1857" i="1" a="1"/>
  <c r="K1857" i="1" s="1"/>
  <c r="K1858" i="1" a="1"/>
  <c r="K1858" i="1" s="1"/>
  <c r="K1859" i="1" a="1"/>
  <c r="K1859" i="1" s="1"/>
  <c r="K1860" i="1" a="1"/>
  <c r="K1860" i="1" s="1"/>
  <c r="K1861" i="1" a="1"/>
  <c r="K1861" i="1" s="1"/>
  <c r="K1862" i="1" a="1"/>
  <c r="K1862" i="1" s="1"/>
  <c r="K1863" i="1" a="1"/>
  <c r="K1863" i="1" s="1"/>
  <c r="K1864" i="1" a="1"/>
  <c r="K1864" i="1" s="1"/>
  <c r="K1865" i="1" a="1"/>
  <c r="K1865" i="1" s="1"/>
  <c r="K1866" i="1" a="1"/>
  <c r="K1866" i="1" s="1"/>
  <c r="K1867" i="1" a="1"/>
  <c r="K1867" i="1" s="1"/>
  <c r="K1868" i="1" a="1"/>
  <c r="K1868" i="1" s="1"/>
  <c r="K1869" i="1" a="1"/>
  <c r="K1869" i="1" s="1"/>
  <c r="K1870" i="1" a="1"/>
  <c r="K1870" i="1" s="1"/>
  <c r="K1871" i="1" a="1"/>
  <c r="K1871" i="1" s="1"/>
  <c r="K1872" i="1" a="1"/>
  <c r="K1872" i="1" s="1"/>
  <c r="K1873" i="1" a="1"/>
  <c r="K1873" i="1" s="1"/>
  <c r="K1874" i="1" a="1"/>
  <c r="K1874" i="1" s="1"/>
  <c r="K1875" i="1" a="1"/>
  <c r="K1875" i="1" s="1"/>
  <c r="K1876" i="1" a="1"/>
  <c r="K1876" i="1" s="1"/>
  <c r="K1877" i="1" a="1"/>
  <c r="K1877" i="1" s="1"/>
  <c r="K1878" i="1" a="1"/>
  <c r="K1878" i="1" s="1"/>
  <c r="K1879" i="1" a="1"/>
  <c r="K1879" i="1" s="1"/>
  <c r="K1880" i="1" a="1"/>
  <c r="K1880" i="1" s="1"/>
  <c r="K1881" i="1" a="1"/>
  <c r="K1881" i="1" s="1"/>
  <c r="K1882" i="1" a="1"/>
  <c r="K1882" i="1" s="1"/>
  <c r="K1883" i="1" a="1"/>
  <c r="K1883" i="1" s="1"/>
  <c r="K1884" i="1" a="1"/>
  <c r="K1884" i="1" s="1"/>
  <c r="K1885" i="1" a="1"/>
  <c r="K1885" i="1" s="1"/>
  <c r="K1886" i="1" a="1"/>
  <c r="K1886" i="1" s="1"/>
  <c r="K1887" i="1" a="1"/>
  <c r="K1887" i="1" s="1"/>
  <c r="K1888" i="1" a="1"/>
  <c r="K1888" i="1" s="1"/>
  <c r="K1889" i="1" a="1"/>
  <c r="K1889" i="1" s="1"/>
  <c r="K1890" i="1" a="1"/>
  <c r="K1890" i="1" s="1"/>
  <c r="K1891" i="1" a="1"/>
  <c r="K1891" i="1" s="1"/>
  <c r="K1892" i="1" a="1"/>
  <c r="K1892" i="1" s="1"/>
  <c r="K1893" i="1" a="1"/>
  <c r="K1893" i="1" s="1"/>
  <c r="K1894" i="1" a="1"/>
  <c r="K1894" i="1" s="1"/>
  <c r="K1895" i="1" a="1"/>
  <c r="K1895" i="1" s="1"/>
  <c r="K1896" i="1" a="1"/>
  <c r="K1896" i="1" s="1"/>
  <c r="K1897" i="1" a="1"/>
  <c r="K1897" i="1" s="1"/>
  <c r="K1898" i="1" a="1"/>
  <c r="K1898" i="1" s="1"/>
  <c r="K1899" i="1" a="1"/>
  <c r="K1899" i="1" s="1"/>
  <c r="K1900" i="1" a="1"/>
  <c r="K1900" i="1" s="1"/>
  <c r="K1901" i="1" a="1"/>
  <c r="K1901" i="1" s="1"/>
  <c r="K1902" i="1" a="1"/>
  <c r="K1902" i="1" s="1"/>
  <c r="K1903" i="1" a="1"/>
  <c r="K1903" i="1" s="1"/>
  <c r="K1904" i="1" a="1"/>
  <c r="K1904" i="1" s="1"/>
  <c r="K1905" i="1" a="1"/>
  <c r="K1905" i="1" s="1"/>
  <c r="K1906" i="1" a="1"/>
  <c r="K1906" i="1" s="1"/>
  <c r="K1907" i="1" a="1"/>
  <c r="K1907" i="1" s="1"/>
  <c r="K1908" i="1" a="1"/>
  <c r="K1908" i="1" s="1"/>
  <c r="K1909" i="1" a="1"/>
  <c r="K1909" i="1" s="1"/>
  <c r="K1910" i="1" a="1"/>
  <c r="K1910" i="1" s="1"/>
  <c r="K1911" i="1" a="1"/>
  <c r="K1911" i="1" s="1"/>
  <c r="K1912" i="1" a="1"/>
  <c r="K1912" i="1" s="1"/>
  <c r="K1913" i="1" a="1"/>
  <c r="K1913" i="1" s="1"/>
  <c r="K1914" i="1" a="1"/>
  <c r="K1914" i="1" s="1"/>
  <c r="K1915" i="1" a="1"/>
  <c r="K1915" i="1" s="1"/>
  <c r="K1916" i="1" a="1"/>
  <c r="K1916" i="1" s="1"/>
  <c r="K1917" i="1" a="1"/>
  <c r="K1917" i="1" s="1"/>
  <c r="K1918" i="1" a="1"/>
  <c r="K1918" i="1" s="1"/>
  <c r="K1919" i="1" a="1"/>
  <c r="K1919" i="1" s="1"/>
  <c r="K1920" i="1" a="1"/>
  <c r="K1920" i="1" s="1"/>
  <c r="K1921" i="1" a="1"/>
  <c r="K1921" i="1" s="1"/>
  <c r="K1922" i="1" a="1"/>
  <c r="K1922" i="1" s="1"/>
  <c r="K1923" i="1" a="1"/>
  <c r="K1923" i="1" s="1"/>
  <c r="K1924" i="1" a="1"/>
  <c r="K1924" i="1" s="1"/>
  <c r="K1925" i="1" a="1"/>
  <c r="K1925" i="1" s="1"/>
  <c r="K1926" i="1" a="1"/>
  <c r="K1926" i="1" s="1"/>
  <c r="K1927" i="1" a="1"/>
  <c r="K1927" i="1" s="1"/>
  <c r="K1928" i="1" a="1"/>
  <c r="K1928" i="1" s="1"/>
  <c r="K1929" i="1" a="1"/>
  <c r="K1929" i="1" s="1"/>
  <c r="K1930" i="1" a="1"/>
  <c r="K1930" i="1" s="1"/>
  <c r="K1931" i="1" a="1"/>
  <c r="K1931" i="1" s="1"/>
  <c r="K1932" i="1" a="1"/>
  <c r="K1932" i="1" s="1"/>
  <c r="K1933" i="1" a="1"/>
  <c r="K1933" i="1" s="1"/>
  <c r="K1934" i="1" a="1"/>
  <c r="K1934" i="1" s="1"/>
  <c r="K1935" i="1" a="1"/>
  <c r="K1935" i="1" s="1"/>
  <c r="K1936" i="1" a="1"/>
  <c r="K1936" i="1" s="1"/>
  <c r="K1937" i="1" a="1"/>
  <c r="K1937" i="1" s="1"/>
  <c r="K1938" i="1" a="1"/>
  <c r="K1938" i="1" s="1"/>
  <c r="K1939" i="1" a="1"/>
  <c r="K1939" i="1" s="1"/>
  <c r="K1940" i="1" a="1"/>
  <c r="K1940" i="1" s="1"/>
  <c r="K1941" i="1" a="1"/>
  <c r="K1941" i="1" s="1"/>
  <c r="K1942" i="1" a="1"/>
  <c r="K1942" i="1" s="1"/>
  <c r="K1943" i="1" a="1"/>
  <c r="K1943" i="1" s="1"/>
  <c r="K1944" i="1" a="1"/>
  <c r="K1944" i="1" s="1"/>
  <c r="K1945" i="1" a="1"/>
  <c r="K1945" i="1" s="1"/>
  <c r="K1946" i="1" a="1"/>
  <c r="K1946" i="1" s="1"/>
  <c r="K1947" i="1" a="1"/>
  <c r="K1947" i="1" s="1"/>
  <c r="K1948" i="1" a="1"/>
  <c r="K1948" i="1" s="1"/>
  <c r="K1949" i="1" a="1"/>
  <c r="K1949" i="1" s="1"/>
  <c r="K1950" i="1" a="1"/>
  <c r="K1950" i="1" s="1"/>
  <c r="K1951" i="1" a="1"/>
  <c r="K1951" i="1" s="1"/>
  <c r="K1952" i="1" a="1"/>
  <c r="K1952" i="1" s="1"/>
  <c r="K1953" i="1" a="1"/>
  <c r="K1953" i="1" s="1"/>
  <c r="K1954" i="1" a="1"/>
  <c r="K1954" i="1" s="1"/>
  <c r="K1955" i="1" a="1"/>
  <c r="K1955" i="1" s="1"/>
  <c r="K1956" i="1" a="1"/>
  <c r="K1956" i="1" s="1"/>
  <c r="K1957" i="1" a="1"/>
  <c r="K1957" i="1" s="1"/>
  <c r="K1958" i="1" a="1"/>
  <c r="K1958" i="1" s="1"/>
  <c r="K1959" i="1" a="1"/>
  <c r="K1959" i="1" s="1"/>
  <c r="K1960" i="1" a="1"/>
  <c r="K1960" i="1" s="1"/>
  <c r="K1961" i="1" a="1"/>
  <c r="K1961" i="1" s="1"/>
  <c r="K1962" i="1" a="1"/>
  <c r="K1962" i="1" s="1"/>
  <c r="K1963" i="1" a="1"/>
  <c r="K1963" i="1" s="1"/>
  <c r="K1964" i="1" a="1"/>
  <c r="K1964" i="1" s="1"/>
  <c r="K1965" i="1" a="1"/>
  <c r="K1965" i="1" s="1"/>
  <c r="K1966" i="1" a="1"/>
  <c r="K1966" i="1" s="1"/>
  <c r="K1967" i="1" a="1"/>
  <c r="K1967" i="1" s="1"/>
  <c r="K1968" i="1" a="1"/>
  <c r="K1968" i="1" s="1"/>
  <c r="K1969" i="1" a="1"/>
  <c r="K1969" i="1" s="1"/>
  <c r="K1970" i="1" a="1"/>
  <c r="K1970" i="1" s="1"/>
  <c r="K1971" i="1" a="1"/>
  <c r="K1971" i="1" s="1"/>
  <c r="K1972" i="1" a="1"/>
  <c r="K1972" i="1" s="1"/>
  <c r="K1973" i="1" a="1"/>
  <c r="K1973" i="1" s="1"/>
  <c r="K1974" i="1" a="1"/>
  <c r="K1974" i="1" s="1"/>
  <c r="K1975" i="1" a="1"/>
  <c r="K1975" i="1" s="1"/>
  <c r="K1976" i="1" a="1"/>
  <c r="K1976" i="1" s="1"/>
  <c r="K1977" i="1" a="1"/>
  <c r="K1977" i="1" s="1"/>
  <c r="K1978" i="1" a="1"/>
  <c r="K1978" i="1" s="1"/>
  <c r="K1979" i="1" a="1"/>
  <c r="K1979" i="1" s="1"/>
  <c r="K1980" i="1" a="1"/>
  <c r="K1980" i="1" s="1"/>
  <c r="K1981" i="1" a="1"/>
  <c r="K1981" i="1" s="1"/>
  <c r="K1982" i="1" a="1"/>
  <c r="K1982" i="1" s="1"/>
  <c r="K1983" i="1" a="1"/>
  <c r="K1983" i="1" s="1"/>
  <c r="K1984" i="1" a="1"/>
  <c r="K1984" i="1" s="1"/>
  <c r="K1985" i="1" a="1"/>
  <c r="K1985" i="1" s="1"/>
  <c r="K1986" i="1" a="1"/>
  <c r="K1986" i="1" s="1"/>
  <c r="K1987" i="1" a="1"/>
  <c r="K1987" i="1" s="1"/>
  <c r="K1988" i="1" a="1"/>
  <c r="K1988" i="1" s="1"/>
  <c r="K1989" i="1" a="1"/>
  <c r="K1989" i="1" s="1"/>
  <c r="K1990" i="1" a="1"/>
  <c r="K1990" i="1" s="1"/>
  <c r="K1991" i="1" a="1"/>
  <c r="K1991" i="1" s="1"/>
  <c r="K1992" i="1" a="1"/>
  <c r="K1992" i="1" s="1"/>
  <c r="K1993" i="1" a="1"/>
  <c r="K1993" i="1" s="1"/>
  <c r="K1994" i="1" a="1"/>
  <c r="K1994" i="1" s="1"/>
  <c r="K1995" i="1" a="1"/>
  <c r="K1995" i="1" s="1"/>
  <c r="K1996" i="1" a="1"/>
  <c r="K1996" i="1" s="1"/>
  <c r="K1997" i="1" a="1"/>
  <c r="K1997" i="1" s="1"/>
  <c r="K1998" i="1" a="1"/>
  <c r="K1998" i="1" s="1"/>
  <c r="K1999" i="1" a="1"/>
  <c r="K1999" i="1" s="1"/>
  <c r="K2000" i="1" a="1"/>
  <c r="K2000" i="1" s="1"/>
  <c r="K2001" i="1" a="1"/>
  <c r="K2001" i="1" s="1"/>
  <c r="K2002" i="1" a="1"/>
  <c r="K2002" i="1" s="1"/>
  <c r="K2003" i="1" a="1"/>
  <c r="K2003" i="1" s="1"/>
  <c r="K2004" i="1" a="1"/>
  <c r="K2004" i="1" s="1"/>
  <c r="K2" i="1" a="1"/>
  <c r="K2" i="1" s="1"/>
  <c r="O2000" i="1"/>
  <c r="N2000" i="1"/>
  <c r="M2000" i="1"/>
  <c r="F2000" i="1"/>
  <c r="P2000" i="1" s="1"/>
  <c r="C2000" i="1"/>
  <c r="A2000" i="1"/>
  <c r="O1999" i="1"/>
  <c r="N1999" i="1"/>
  <c r="M1999" i="1"/>
  <c r="F1999" i="1"/>
  <c r="P1999" i="1" s="1"/>
  <c r="C1999" i="1"/>
  <c r="A1999" i="1"/>
  <c r="P1998" i="1"/>
  <c r="O1998" i="1"/>
  <c r="N1998" i="1"/>
  <c r="M1998" i="1"/>
  <c r="F1998" i="1"/>
  <c r="C1998" i="1"/>
  <c r="A1998" i="1"/>
  <c r="O1997" i="1"/>
  <c r="N1997" i="1"/>
  <c r="M1997" i="1"/>
  <c r="F1997" i="1"/>
  <c r="P1997" i="1" s="1"/>
  <c r="C1997" i="1"/>
  <c r="A1997" i="1"/>
  <c r="O1996" i="1"/>
  <c r="N1996" i="1"/>
  <c r="M1996" i="1"/>
  <c r="F1996" i="1"/>
  <c r="C1996" i="1"/>
  <c r="A1996" i="1"/>
  <c r="O1995" i="1"/>
  <c r="N1995" i="1"/>
  <c r="M1995" i="1"/>
  <c r="F1995" i="1"/>
  <c r="P1995" i="1" s="1"/>
  <c r="C1995" i="1"/>
  <c r="A1995" i="1"/>
  <c r="O1994" i="1"/>
  <c r="N1994" i="1"/>
  <c r="M1994" i="1"/>
  <c r="F1994" i="1"/>
  <c r="P1994" i="1" s="1"/>
  <c r="C1994" i="1"/>
  <c r="A1994" i="1"/>
  <c r="P1993" i="1"/>
  <c r="O1993" i="1"/>
  <c r="N1993" i="1"/>
  <c r="M1993" i="1"/>
  <c r="F1993" i="1"/>
  <c r="C1993" i="1"/>
  <c r="A1993" i="1"/>
  <c r="O1992" i="1"/>
  <c r="N1992" i="1"/>
  <c r="M1992" i="1"/>
  <c r="F1992" i="1"/>
  <c r="P1992" i="1" s="1"/>
  <c r="C1992" i="1"/>
  <c r="A1992" i="1"/>
  <c r="O1991" i="1"/>
  <c r="N1991" i="1"/>
  <c r="M1991" i="1"/>
  <c r="F1991" i="1"/>
  <c r="P1991" i="1" s="1"/>
  <c r="C1991" i="1"/>
  <c r="A1991" i="1"/>
  <c r="O1990" i="1"/>
  <c r="N1990" i="1"/>
  <c r="M1990" i="1"/>
  <c r="F1990" i="1"/>
  <c r="P1990" i="1" s="1"/>
  <c r="C1990" i="1"/>
  <c r="A1990" i="1"/>
  <c r="O1989" i="1"/>
  <c r="N1989" i="1"/>
  <c r="M1989" i="1"/>
  <c r="F1989" i="1"/>
  <c r="P1989" i="1" s="1"/>
  <c r="C1989" i="1"/>
  <c r="A1989" i="1"/>
  <c r="P1988" i="1"/>
  <c r="O1988" i="1"/>
  <c r="N1988" i="1"/>
  <c r="M1988" i="1"/>
  <c r="F1988" i="1"/>
  <c r="C1988" i="1"/>
  <c r="A1988" i="1"/>
  <c r="O1987" i="1"/>
  <c r="N1987" i="1"/>
  <c r="M1987" i="1"/>
  <c r="F1987" i="1"/>
  <c r="P1987" i="1" s="1"/>
  <c r="C1987" i="1"/>
  <c r="A1987" i="1"/>
  <c r="O1986" i="1"/>
  <c r="N1986" i="1"/>
  <c r="M1986" i="1"/>
  <c r="F1986" i="1"/>
  <c r="P1986" i="1" s="1"/>
  <c r="C1986" i="1"/>
  <c r="A1986" i="1"/>
  <c r="O1985" i="1"/>
  <c r="N1985" i="1"/>
  <c r="M1985" i="1"/>
  <c r="F1985" i="1"/>
  <c r="P1985" i="1" s="1"/>
  <c r="C1985" i="1"/>
  <c r="A1985" i="1"/>
  <c r="O1984" i="1"/>
  <c r="N1984" i="1"/>
  <c r="M1984" i="1"/>
  <c r="F1984" i="1"/>
  <c r="P1984" i="1" s="1"/>
  <c r="C1984" i="1"/>
  <c r="A1984" i="1"/>
  <c r="P1983" i="1"/>
  <c r="O1983" i="1"/>
  <c r="N1983" i="1"/>
  <c r="M1983" i="1"/>
  <c r="F1983" i="1"/>
  <c r="C1983" i="1"/>
  <c r="A1983" i="1"/>
  <c r="O1982" i="1"/>
  <c r="N1982" i="1"/>
  <c r="M1982" i="1"/>
  <c r="F1982" i="1"/>
  <c r="P1982" i="1" s="1"/>
  <c r="C1982" i="1"/>
  <c r="A1982" i="1"/>
  <c r="O1981" i="1"/>
  <c r="N1981" i="1"/>
  <c r="M1981" i="1"/>
  <c r="F1981" i="1"/>
  <c r="P1981" i="1" s="1"/>
  <c r="C1981" i="1"/>
  <c r="A1981" i="1"/>
  <c r="O1980" i="1"/>
  <c r="N1980" i="1"/>
  <c r="M1980" i="1"/>
  <c r="F1980" i="1"/>
  <c r="P1980" i="1" s="1"/>
  <c r="C1980" i="1"/>
  <c r="A1980" i="1"/>
  <c r="O1979" i="1"/>
  <c r="N1979" i="1"/>
  <c r="M1979" i="1"/>
  <c r="F1979" i="1"/>
  <c r="P1979" i="1" s="1"/>
  <c r="C1979" i="1"/>
  <c r="A1979" i="1"/>
  <c r="P1978" i="1"/>
  <c r="O1978" i="1"/>
  <c r="N1978" i="1"/>
  <c r="M1978" i="1"/>
  <c r="F1978" i="1"/>
  <c r="C1978" i="1"/>
  <c r="A1978" i="1"/>
  <c r="O1977" i="1"/>
  <c r="N1977" i="1"/>
  <c r="M1977" i="1"/>
  <c r="F1977" i="1"/>
  <c r="P1977" i="1" s="1"/>
  <c r="C1977" i="1"/>
  <c r="A1977" i="1"/>
  <c r="O1976" i="1"/>
  <c r="N1976" i="1"/>
  <c r="M1976" i="1"/>
  <c r="F1976" i="1"/>
  <c r="P1976" i="1" s="1"/>
  <c r="C1976" i="1"/>
  <c r="A1976" i="1"/>
  <c r="O1975" i="1"/>
  <c r="N1975" i="1"/>
  <c r="M1975" i="1"/>
  <c r="F1975" i="1"/>
  <c r="P1975" i="1" s="1"/>
  <c r="C1975" i="1"/>
  <c r="A1975" i="1"/>
  <c r="O1974" i="1"/>
  <c r="N1974" i="1"/>
  <c r="M1974" i="1"/>
  <c r="F1974" i="1"/>
  <c r="P1974" i="1" s="1"/>
  <c r="C1974" i="1"/>
  <c r="A1974" i="1"/>
  <c r="P1973" i="1"/>
  <c r="O1973" i="1"/>
  <c r="N1973" i="1"/>
  <c r="M1973" i="1"/>
  <c r="F1973" i="1"/>
  <c r="C1973" i="1"/>
  <c r="A1973" i="1"/>
  <c r="O1972" i="1"/>
  <c r="N1972" i="1"/>
  <c r="M1972" i="1"/>
  <c r="F1972" i="1"/>
  <c r="P1972" i="1" s="1"/>
  <c r="C1972" i="1"/>
  <c r="A1972" i="1"/>
  <c r="O1971" i="1"/>
  <c r="N1971" i="1"/>
  <c r="M1971" i="1"/>
  <c r="F1971" i="1"/>
  <c r="P1971" i="1" s="1"/>
  <c r="C1971" i="1"/>
  <c r="A1971" i="1"/>
  <c r="O1970" i="1"/>
  <c r="N1970" i="1"/>
  <c r="M1970" i="1"/>
  <c r="F1970" i="1"/>
  <c r="P1970" i="1" s="1"/>
  <c r="C1970" i="1"/>
  <c r="A1970" i="1"/>
  <c r="O1969" i="1"/>
  <c r="N1969" i="1"/>
  <c r="M1969" i="1"/>
  <c r="F1969" i="1"/>
  <c r="P1969" i="1" s="1"/>
  <c r="C1969" i="1"/>
  <c r="A1969" i="1"/>
  <c r="P1968" i="1"/>
  <c r="O1968" i="1"/>
  <c r="N1968" i="1"/>
  <c r="M1968" i="1"/>
  <c r="F1968" i="1"/>
  <c r="C1968" i="1"/>
  <c r="A1968" i="1"/>
  <c r="O1967" i="1"/>
  <c r="N1967" i="1"/>
  <c r="M1967" i="1"/>
  <c r="F1967" i="1"/>
  <c r="P1967" i="1" s="1"/>
  <c r="C1967" i="1"/>
  <c r="A1967" i="1"/>
  <c r="O1966" i="1"/>
  <c r="N1966" i="1"/>
  <c r="M1966" i="1"/>
  <c r="F1966" i="1"/>
  <c r="P1966" i="1" s="1"/>
  <c r="C1966" i="1"/>
  <c r="A1966" i="1"/>
  <c r="O1965" i="1"/>
  <c r="N1965" i="1"/>
  <c r="M1965" i="1"/>
  <c r="F1965" i="1"/>
  <c r="P1965" i="1" s="1"/>
  <c r="C1965" i="1"/>
  <c r="A1965" i="1"/>
  <c r="O1964" i="1"/>
  <c r="N1964" i="1"/>
  <c r="M1964" i="1"/>
  <c r="F1964" i="1"/>
  <c r="P1964" i="1" s="1"/>
  <c r="C1964" i="1"/>
  <c r="A1964" i="1"/>
  <c r="P1963" i="1"/>
  <c r="O1963" i="1"/>
  <c r="N1963" i="1"/>
  <c r="M1963" i="1"/>
  <c r="F1963" i="1"/>
  <c r="C1963" i="1"/>
  <c r="A1963" i="1"/>
  <c r="O1962" i="1"/>
  <c r="N1962" i="1"/>
  <c r="M1962" i="1"/>
  <c r="F1962" i="1"/>
  <c r="P1962" i="1" s="1"/>
  <c r="C1962" i="1"/>
  <c r="A1962" i="1"/>
  <c r="O1961" i="1"/>
  <c r="N1961" i="1"/>
  <c r="M1961" i="1"/>
  <c r="F1961" i="1"/>
  <c r="P1961" i="1" s="1"/>
  <c r="C1961" i="1"/>
  <c r="A1961" i="1"/>
  <c r="O1960" i="1"/>
  <c r="N1960" i="1"/>
  <c r="M1960" i="1"/>
  <c r="F1960" i="1"/>
  <c r="P1960" i="1" s="1"/>
  <c r="C1960" i="1"/>
  <c r="A1960" i="1"/>
  <c r="O1959" i="1"/>
  <c r="N1959" i="1"/>
  <c r="M1959" i="1"/>
  <c r="F1959" i="1"/>
  <c r="P1959" i="1" s="1"/>
  <c r="C1959" i="1"/>
  <c r="A1959" i="1"/>
  <c r="P1958" i="1"/>
  <c r="O1958" i="1"/>
  <c r="N1958" i="1"/>
  <c r="M1958" i="1"/>
  <c r="F1958" i="1"/>
  <c r="C1958" i="1"/>
  <c r="A1958" i="1"/>
  <c r="O1957" i="1"/>
  <c r="N1957" i="1"/>
  <c r="M1957" i="1"/>
  <c r="F1957" i="1"/>
  <c r="P1957" i="1" s="1"/>
  <c r="C1957" i="1"/>
  <c r="A1957" i="1"/>
  <c r="O1956" i="1"/>
  <c r="N1956" i="1"/>
  <c r="M1956" i="1"/>
  <c r="F1956" i="1"/>
  <c r="P1956" i="1" s="1"/>
  <c r="C1956" i="1"/>
  <c r="A1956" i="1"/>
  <c r="O1955" i="1"/>
  <c r="N1955" i="1"/>
  <c r="M1955" i="1"/>
  <c r="F1955" i="1"/>
  <c r="P1955" i="1" s="1"/>
  <c r="C1955" i="1"/>
  <c r="A1955" i="1"/>
  <c r="O1954" i="1"/>
  <c r="N1954" i="1"/>
  <c r="M1954" i="1"/>
  <c r="F1954" i="1"/>
  <c r="P1954" i="1" s="1"/>
  <c r="C1954" i="1"/>
  <c r="A1954" i="1"/>
  <c r="P1953" i="1"/>
  <c r="O1953" i="1"/>
  <c r="N1953" i="1"/>
  <c r="M1953" i="1"/>
  <c r="F1953" i="1"/>
  <c r="C1953" i="1"/>
  <c r="A1953" i="1"/>
  <c r="O1952" i="1"/>
  <c r="N1952" i="1"/>
  <c r="M1952" i="1"/>
  <c r="F1952" i="1"/>
  <c r="P1952" i="1" s="1"/>
  <c r="C1952" i="1"/>
  <c r="A1952" i="1"/>
  <c r="O1951" i="1"/>
  <c r="N1951" i="1"/>
  <c r="M1951" i="1"/>
  <c r="F1951" i="1"/>
  <c r="P1951" i="1" s="1"/>
  <c r="C1951" i="1"/>
  <c r="A1951" i="1"/>
  <c r="O1950" i="1"/>
  <c r="N1950" i="1"/>
  <c r="M1950" i="1"/>
  <c r="F1950" i="1"/>
  <c r="P1950" i="1" s="1"/>
  <c r="C1950" i="1"/>
  <c r="A1950" i="1"/>
  <c r="O1949" i="1"/>
  <c r="N1949" i="1"/>
  <c r="M1949" i="1"/>
  <c r="F1949" i="1"/>
  <c r="P1949" i="1" s="1"/>
  <c r="C1949" i="1"/>
  <c r="A1949" i="1"/>
  <c r="P1948" i="1"/>
  <c r="O1948" i="1"/>
  <c r="N1948" i="1"/>
  <c r="M1948" i="1"/>
  <c r="F1948" i="1"/>
  <c r="C1948" i="1"/>
  <c r="A1948" i="1"/>
  <c r="O1947" i="1"/>
  <c r="N1947" i="1"/>
  <c r="M1947" i="1"/>
  <c r="F1947" i="1"/>
  <c r="P1947" i="1" s="1"/>
  <c r="C1947" i="1"/>
  <c r="A1947" i="1"/>
  <c r="O1946" i="1"/>
  <c r="N1946" i="1"/>
  <c r="M1946" i="1"/>
  <c r="F1946" i="1"/>
  <c r="P1946" i="1" s="1"/>
  <c r="C1946" i="1"/>
  <c r="A1946" i="1"/>
  <c r="O1945" i="1"/>
  <c r="N1945" i="1"/>
  <c r="M1945" i="1"/>
  <c r="F1945" i="1"/>
  <c r="P1945" i="1" s="1"/>
  <c r="C1945" i="1"/>
  <c r="A1945" i="1"/>
  <c r="O1944" i="1"/>
  <c r="N1944" i="1"/>
  <c r="M1944" i="1"/>
  <c r="F1944" i="1"/>
  <c r="P1944" i="1" s="1"/>
  <c r="C1944" i="1"/>
  <c r="A1944" i="1"/>
  <c r="P1943" i="1"/>
  <c r="O1943" i="1"/>
  <c r="N1943" i="1"/>
  <c r="M1943" i="1"/>
  <c r="F1943" i="1"/>
  <c r="C1943" i="1"/>
  <c r="A1943" i="1"/>
  <c r="O1942" i="1"/>
  <c r="N1942" i="1"/>
  <c r="M1942" i="1"/>
  <c r="F1942" i="1"/>
  <c r="P1942" i="1" s="1"/>
  <c r="C1942" i="1"/>
  <c r="A1942" i="1"/>
  <c r="O1941" i="1"/>
  <c r="N1941" i="1"/>
  <c r="M1941" i="1"/>
  <c r="F1941" i="1"/>
  <c r="P1941" i="1" s="1"/>
  <c r="C1941" i="1"/>
  <c r="A1941" i="1"/>
  <c r="O1940" i="1"/>
  <c r="N1940" i="1"/>
  <c r="M1940" i="1"/>
  <c r="F1940" i="1"/>
  <c r="P1940" i="1" s="1"/>
  <c r="C1940" i="1"/>
  <c r="A1940" i="1"/>
  <c r="O1939" i="1"/>
  <c r="N1939" i="1"/>
  <c r="M1939" i="1"/>
  <c r="F1939" i="1"/>
  <c r="P1939" i="1" s="1"/>
  <c r="C1939" i="1"/>
  <c r="A1939" i="1"/>
  <c r="P1938" i="1"/>
  <c r="O1938" i="1"/>
  <c r="N1938" i="1"/>
  <c r="M1938" i="1"/>
  <c r="F1938" i="1"/>
  <c r="C1938" i="1"/>
  <c r="A1938" i="1"/>
  <c r="O1937" i="1"/>
  <c r="N1937" i="1"/>
  <c r="M1937" i="1"/>
  <c r="F1937" i="1"/>
  <c r="P1937" i="1" s="1"/>
  <c r="C1937" i="1"/>
  <c r="A1937" i="1"/>
  <c r="O1936" i="1"/>
  <c r="N1936" i="1"/>
  <c r="M1936" i="1"/>
  <c r="F1936" i="1"/>
  <c r="P1936" i="1" s="1"/>
  <c r="C1936" i="1"/>
  <c r="A1936" i="1"/>
  <c r="O1935" i="1"/>
  <c r="N1935" i="1"/>
  <c r="M1935" i="1"/>
  <c r="F1935" i="1"/>
  <c r="P1935" i="1" s="1"/>
  <c r="C1935" i="1"/>
  <c r="A1935" i="1"/>
  <c r="O1934" i="1"/>
  <c r="N1934" i="1"/>
  <c r="M1934" i="1"/>
  <c r="F1934" i="1"/>
  <c r="P1934" i="1" s="1"/>
  <c r="C1934" i="1"/>
  <c r="A1934" i="1"/>
  <c r="P1933" i="1"/>
  <c r="O1933" i="1"/>
  <c r="N1933" i="1"/>
  <c r="M1933" i="1"/>
  <c r="F1933" i="1"/>
  <c r="C1933" i="1"/>
  <c r="A1933" i="1"/>
  <c r="O1932" i="1"/>
  <c r="N1932" i="1"/>
  <c r="M1932" i="1"/>
  <c r="F1932" i="1"/>
  <c r="P1932" i="1" s="1"/>
  <c r="C1932" i="1"/>
  <c r="A1932" i="1"/>
  <c r="O1931" i="1"/>
  <c r="N1931" i="1"/>
  <c r="M1931" i="1"/>
  <c r="F1931" i="1"/>
  <c r="P1931" i="1" s="1"/>
  <c r="C1931" i="1"/>
  <c r="A1931" i="1"/>
  <c r="O1930" i="1"/>
  <c r="N1930" i="1"/>
  <c r="M1930" i="1"/>
  <c r="F1930" i="1"/>
  <c r="P1930" i="1" s="1"/>
  <c r="C1930" i="1"/>
  <c r="A1930" i="1"/>
  <c r="O1929" i="1"/>
  <c r="N1929" i="1"/>
  <c r="M1929" i="1"/>
  <c r="F1929" i="1"/>
  <c r="P1929" i="1" s="1"/>
  <c r="C1929" i="1"/>
  <c r="A1929" i="1"/>
  <c r="P1928" i="1"/>
  <c r="O1928" i="1"/>
  <c r="N1928" i="1"/>
  <c r="M1928" i="1"/>
  <c r="F1928" i="1"/>
  <c r="C1928" i="1"/>
  <c r="A1928" i="1"/>
  <c r="O1927" i="1"/>
  <c r="N1927" i="1"/>
  <c r="M1927" i="1"/>
  <c r="F1927" i="1"/>
  <c r="P1927" i="1" s="1"/>
  <c r="C1927" i="1"/>
  <c r="A1927" i="1"/>
  <c r="O1926" i="1"/>
  <c r="N1926" i="1"/>
  <c r="M1926" i="1"/>
  <c r="F1926" i="1"/>
  <c r="P1926" i="1" s="1"/>
  <c r="C1926" i="1"/>
  <c r="A1926" i="1"/>
  <c r="O1925" i="1"/>
  <c r="N1925" i="1"/>
  <c r="M1925" i="1"/>
  <c r="F1925" i="1"/>
  <c r="P1925" i="1" s="1"/>
  <c r="C1925" i="1"/>
  <c r="A1925" i="1"/>
  <c r="O1924" i="1"/>
  <c r="N1924" i="1"/>
  <c r="M1924" i="1"/>
  <c r="F1924" i="1"/>
  <c r="P1924" i="1" s="1"/>
  <c r="C1924" i="1"/>
  <c r="A1924" i="1"/>
  <c r="P1923" i="1"/>
  <c r="O1923" i="1"/>
  <c r="N1923" i="1"/>
  <c r="M1923" i="1"/>
  <c r="F1923" i="1"/>
  <c r="C1923" i="1"/>
  <c r="A1923" i="1"/>
  <c r="O1922" i="1"/>
  <c r="N1922" i="1"/>
  <c r="M1922" i="1"/>
  <c r="F1922" i="1"/>
  <c r="P1922" i="1" s="1"/>
  <c r="C1922" i="1"/>
  <c r="A1922" i="1"/>
  <c r="O1921" i="1"/>
  <c r="N1921" i="1"/>
  <c r="M1921" i="1"/>
  <c r="F1921" i="1"/>
  <c r="C1921" i="1"/>
  <c r="A1921" i="1"/>
  <c r="O1920" i="1"/>
  <c r="N1920" i="1"/>
  <c r="M1920" i="1"/>
  <c r="F1920" i="1"/>
  <c r="P1920" i="1" s="1"/>
  <c r="C1920" i="1"/>
  <c r="A1920" i="1"/>
  <c r="O1919" i="1"/>
  <c r="N1919" i="1"/>
  <c r="M1919" i="1"/>
  <c r="F1919" i="1"/>
  <c r="P1919" i="1" s="1"/>
  <c r="C1919" i="1"/>
  <c r="A1919" i="1"/>
  <c r="P1918" i="1"/>
  <c r="O1918" i="1"/>
  <c r="N1918" i="1"/>
  <c r="M1918" i="1"/>
  <c r="F1918" i="1"/>
  <c r="C1918" i="1"/>
  <c r="A1918" i="1"/>
  <c r="O1917" i="1"/>
  <c r="N1917" i="1"/>
  <c r="M1917" i="1"/>
  <c r="F1917" i="1"/>
  <c r="P1917" i="1" s="1"/>
  <c r="C1917" i="1"/>
  <c r="A1917" i="1"/>
  <c r="O1916" i="1"/>
  <c r="N1916" i="1"/>
  <c r="M1916" i="1"/>
  <c r="F1916" i="1"/>
  <c r="P1916" i="1" s="1"/>
  <c r="C1916" i="1"/>
  <c r="A1916" i="1"/>
  <c r="O1915" i="1"/>
  <c r="N1915" i="1"/>
  <c r="M1915" i="1"/>
  <c r="F1915" i="1"/>
  <c r="P1915" i="1" s="1"/>
  <c r="C1915" i="1"/>
  <c r="A1915" i="1"/>
  <c r="O1914" i="1"/>
  <c r="N1914" i="1"/>
  <c r="M1914" i="1"/>
  <c r="F1914" i="1"/>
  <c r="P1914" i="1" s="1"/>
  <c r="C1914" i="1"/>
  <c r="A1914" i="1"/>
  <c r="P1913" i="1"/>
  <c r="O1913" i="1"/>
  <c r="N1913" i="1"/>
  <c r="M1913" i="1"/>
  <c r="F1913" i="1"/>
  <c r="C1913" i="1"/>
  <c r="A1913" i="1"/>
  <c r="O1912" i="1"/>
  <c r="N1912" i="1"/>
  <c r="M1912" i="1"/>
  <c r="F1912" i="1"/>
  <c r="P1912" i="1" s="1"/>
  <c r="C1912" i="1"/>
  <c r="A1912" i="1"/>
  <c r="O1911" i="1"/>
  <c r="N1911" i="1"/>
  <c r="M1911" i="1"/>
  <c r="F1911" i="1"/>
  <c r="P1911" i="1" s="1"/>
  <c r="C1911" i="1"/>
  <c r="A1911" i="1"/>
  <c r="O1910" i="1"/>
  <c r="N1910" i="1"/>
  <c r="M1910" i="1"/>
  <c r="F1910" i="1"/>
  <c r="P1910" i="1" s="1"/>
  <c r="C1910" i="1"/>
  <c r="A1910" i="1"/>
  <c r="O1909" i="1"/>
  <c r="N1909" i="1"/>
  <c r="M1909" i="1"/>
  <c r="F1909" i="1"/>
  <c r="P1909" i="1" s="1"/>
  <c r="C1909" i="1"/>
  <c r="A1909" i="1"/>
  <c r="P1908" i="1"/>
  <c r="O1908" i="1"/>
  <c r="N1908" i="1"/>
  <c r="M1908" i="1"/>
  <c r="F1908" i="1"/>
  <c r="C1908" i="1"/>
  <c r="A1908" i="1"/>
  <c r="O1907" i="1"/>
  <c r="N1907" i="1"/>
  <c r="M1907" i="1"/>
  <c r="F1907" i="1"/>
  <c r="P1907" i="1" s="1"/>
  <c r="C1907" i="1"/>
  <c r="A1907" i="1"/>
  <c r="O1906" i="1"/>
  <c r="N1906" i="1"/>
  <c r="M1906" i="1"/>
  <c r="F1906" i="1"/>
  <c r="P1906" i="1" s="1"/>
  <c r="C1906" i="1"/>
  <c r="A1906" i="1"/>
  <c r="O1905" i="1"/>
  <c r="N1905" i="1"/>
  <c r="M1905" i="1"/>
  <c r="F1905" i="1"/>
  <c r="P1905" i="1" s="1"/>
  <c r="C1905" i="1"/>
  <c r="A1905" i="1"/>
  <c r="O1904" i="1"/>
  <c r="N1904" i="1"/>
  <c r="M1904" i="1"/>
  <c r="F1904" i="1"/>
  <c r="P1904" i="1" s="1"/>
  <c r="C1904" i="1"/>
  <c r="A1904" i="1"/>
  <c r="P1903" i="1"/>
  <c r="O1903" i="1"/>
  <c r="N1903" i="1"/>
  <c r="M1903" i="1"/>
  <c r="F1903" i="1"/>
  <c r="C1903" i="1"/>
  <c r="A1903" i="1"/>
  <c r="O1902" i="1"/>
  <c r="N1902" i="1"/>
  <c r="M1902" i="1"/>
  <c r="F1902" i="1"/>
  <c r="P1902" i="1" s="1"/>
  <c r="C1902" i="1"/>
  <c r="A1902" i="1"/>
  <c r="O1901" i="1"/>
  <c r="N1901" i="1"/>
  <c r="M1901" i="1"/>
  <c r="F1901" i="1"/>
  <c r="P1901" i="1" s="1"/>
  <c r="C1901" i="1"/>
  <c r="A1901" i="1"/>
  <c r="O1900" i="1"/>
  <c r="N1900" i="1"/>
  <c r="M1900" i="1"/>
  <c r="F1900" i="1"/>
  <c r="P1900" i="1" s="1"/>
  <c r="C1900" i="1"/>
  <c r="A1900" i="1"/>
  <c r="O1899" i="1"/>
  <c r="N1899" i="1"/>
  <c r="M1899" i="1"/>
  <c r="F1899" i="1"/>
  <c r="P1899" i="1" s="1"/>
  <c r="C1899" i="1"/>
  <c r="A1899" i="1"/>
  <c r="P1898" i="1"/>
  <c r="O1898" i="1"/>
  <c r="N1898" i="1"/>
  <c r="M1898" i="1"/>
  <c r="F1898" i="1"/>
  <c r="C1898" i="1"/>
  <c r="A1898" i="1"/>
  <c r="O1897" i="1"/>
  <c r="N1897" i="1"/>
  <c r="M1897" i="1"/>
  <c r="F1897" i="1"/>
  <c r="P1897" i="1" s="1"/>
  <c r="C1897" i="1"/>
  <c r="A1897" i="1"/>
  <c r="O1896" i="1"/>
  <c r="N1896" i="1"/>
  <c r="M1896" i="1"/>
  <c r="F1896" i="1"/>
  <c r="P1896" i="1" s="1"/>
  <c r="C1896" i="1"/>
  <c r="A1896" i="1"/>
  <c r="O1895" i="1"/>
  <c r="N1895" i="1"/>
  <c r="M1895" i="1"/>
  <c r="F1895" i="1"/>
  <c r="P1895" i="1" s="1"/>
  <c r="C1895" i="1"/>
  <c r="A1895" i="1"/>
  <c r="O1894" i="1"/>
  <c r="N1894" i="1"/>
  <c r="M1894" i="1"/>
  <c r="F1894" i="1"/>
  <c r="P1894" i="1" s="1"/>
  <c r="C1894" i="1"/>
  <c r="A1894" i="1"/>
  <c r="P1893" i="1"/>
  <c r="O1893" i="1"/>
  <c r="N1893" i="1"/>
  <c r="M1893" i="1"/>
  <c r="F1893" i="1"/>
  <c r="C1893" i="1"/>
  <c r="A1893" i="1"/>
  <c r="O1892" i="1"/>
  <c r="N1892" i="1"/>
  <c r="M1892" i="1"/>
  <c r="F1892" i="1"/>
  <c r="P1892" i="1" s="1"/>
  <c r="C1892" i="1"/>
  <c r="A1892" i="1"/>
  <c r="O1891" i="1"/>
  <c r="N1891" i="1"/>
  <c r="M1891" i="1"/>
  <c r="F1891" i="1"/>
  <c r="P1891" i="1" s="1"/>
  <c r="C1891" i="1"/>
  <c r="A1891" i="1"/>
  <c r="O1890" i="1"/>
  <c r="N1890" i="1"/>
  <c r="M1890" i="1"/>
  <c r="F1890" i="1"/>
  <c r="P1890" i="1" s="1"/>
  <c r="C1890" i="1"/>
  <c r="A1890" i="1"/>
  <c r="O1889" i="1"/>
  <c r="N1889" i="1"/>
  <c r="M1889" i="1"/>
  <c r="F1889" i="1"/>
  <c r="P1889" i="1" s="1"/>
  <c r="C1889" i="1"/>
  <c r="A1889" i="1"/>
  <c r="P1888" i="1"/>
  <c r="O1888" i="1"/>
  <c r="N1888" i="1"/>
  <c r="M1888" i="1"/>
  <c r="F1888" i="1"/>
  <c r="C1888" i="1"/>
  <c r="A1888" i="1"/>
  <c r="O1887" i="1"/>
  <c r="N1887" i="1"/>
  <c r="M1887" i="1"/>
  <c r="F1887" i="1"/>
  <c r="P1887" i="1" s="1"/>
  <c r="C1887" i="1"/>
  <c r="A1887" i="1"/>
  <c r="O1886" i="1"/>
  <c r="N1886" i="1"/>
  <c r="M1886" i="1"/>
  <c r="F1886" i="1"/>
  <c r="P1886" i="1" s="1"/>
  <c r="C1886" i="1"/>
  <c r="A1886" i="1"/>
  <c r="O1885" i="1"/>
  <c r="N1885" i="1"/>
  <c r="M1885" i="1"/>
  <c r="F1885" i="1"/>
  <c r="P1885" i="1" s="1"/>
  <c r="C1885" i="1"/>
  <c r="A1885" i="1"/>
  <c r="O1884" i="1"/>
  <c r="N1884" i="1"/>
  <c r="M1884" i="1"/>
  <c r="F1884" i="1"/>
  <c r="P1884" i="1" s="1"/>
  <c r="C1884" i="1"/>
  <c r="A1884" i="1"/>
  <c r="P1883" i="1"/>
  <c r="O1883" i="1"/>
  <c r="N1883" i="1"/>
  <c r="M1883" i="1"/>
  <c r="F1883" i="1"/>
  <c r="C1883" i="1"/>
  <c r="A1883" i="1"/>
  <c r="O1882" i="1"/>
  <c r="N1882" i="1"/>
  <c r="M1882" i="1"/>
  <c r="F1882" i="1"/>
  <c r="P1882" i="1" s="1"/>
  <c r="C1882" i="1"/>
  <c r="A1882" i="1"/>
  <c r="O1881" i="1"/>
  <c r="N1881" i="1"/>
  <c r="M1881" i="1"/>
  <c r="F1881" i="1"/>
  <c r="P1881" i="1" s="1"/>
  <c r="C1881" i="1"/>
  <c r="A1881" i="1"/>
  <c r="O1880" i="1"/>
  <c r="N1880" i="1"/>
  <c r="M1880" i="1"/>
  <c r="F1880" i="1"/>
  <c r="P1880" i="1" s="1"/>
  <c r="C1880" i="1"/>
  <c r="A1880" i="1"/>
  <c r="O1879" i="1"/>
  <c r="N1879" i="1"/>
  <c r="M1879" i="1"/>
  <c r="F1879" i="1"/>
  <c r="P1879" i="1" s="1"/>
  <c r="C1879" i="1"/>
  <c r="A1879" i="1"/>
  <c r="P1878" i="1"/>
  <c r="O1878" i="1"/>
  <c r="N1878" i="1"/>
  <c r="M1878" i="1"/>
  <c r="F1878" i="1"/>
  <c r="C1878" i="1"/>
  <c r="A1878" i="1"/>
  <c r="O1877" i="1"/>
  <c r="N1877" i="1"/>
  <c r="M1877" i="1"/>
  <c r="F1877" i="1"/>
  <c r="P1877" i="1" s="1"/>
  <c r="C1877" i="1"/>
  <c r="A1877" i="1"/>
  <c r="O1876" i="1"/>
  <c r="N1876" i="1"/>
  <c r="M1876" i="1"/>
  <c r="F1876" i="1"/>
  <c r="P1876" i="1" s="1"/>
  <c r="C1876" i="1"/>
  <c r="A1876" i="1"/>
  <c r="O1875" i="1"/>
  <c r="N1875" i="1"/>
  <c r="M1875" i="1"/>
  <c r="F1875" i="1"/>
  <c r="P1875" i="1" s="1"/>
  <c r="C1875" i="1"/>
  <c r="A1875" i="1"/>
  <c r="P1874" i="1"/>
  <c r="O1874" i="1"/>
  <c r="N1874" i="1"/>
  <c r="M1874" i="1"/>
  <c r="F1874" i="1"/>
  <c r="C1874" i="1"/>
  <c r="A1874" i="1"/>
  <c r="P1873" i="1"/>
  <c r="O1873" i="1"/>
  <c r="N1873" i="1"/>
  <c r="M1873" i="1"/>
  <c r="F1873" i="1"/>
  <c r="C1873" i="1"/>
  <c r="A1873" i="1"/>
  <c r="O1872" i="1"/>
  <c r="N1872" i="1"/>
  <c r="M1872" i="1"/>
  <c r="F1872" i="1"/>
  <c r="P1872" i="1" s="1"/>
  <c r="C1872" i="1"/>
  <c r="A1872" i="1"/>
  <c r="O1871" i="1"/>
  <c r="N1871" i="1"/>
  <c r="M1871" i="1"/>
  <c r="F1871" i="1"/>
  <c r="P1871" i="1" s="1"/>
  <c r="C1871" i="1"/>
  <c r="A1871" i="1"/>
  <c r="O1870" i="1"/>
  <c r="N1870" i="1"/>
  <c r="M1870" i="1"/>
  <c r="F1870" i="1"/>
  <c r="C1870" i="1"/>
  <c r="A1870" i="1"/>
  <c r="P1869" i="1"/>
  <c r="O1869" i="1"/>
  <c r="N1869" i="1"/>
  <c r="M1869" i="1"/>
  <c r="F1869" i="1"/>
  <c r="C1869" i="1"/>
  <c r="A1869" i="1"/>
  <c r="P1868" i="1"/>
  <c r="O1868" i="1"/>
  <c r="N1868" i="1"/>
  <c r="M1868" i="1"/>
  <c r="F1868" i="1"/>
  <c r="C1868" i="1"/>
  <c r="A1868" i="1"/>
  <c r="P1867" i="1"/>
  <c r="O1867" i="1"/>
  <c r="N1867" i="1"/>
  <c r="M1867" i="1"/>
  <c r="F1867" i="1"/>
  <c r="C1867" i="1"/>
  <c r="A1867" i="1"/>
  <c r="O1866" i="1"/>
  <c r="N1866" i="1"/>
  <c r="M1866" i="1"/>
  <c r="F1866" i="1"/>
  <c r="P1866" i="1" s="1"/>
  <c r="C1866" i="1"/>
  <c r="A1866" i="1"/>
  <c r="O1865" i="1"/>
  <c r="N1865" i="1"/>
  <c r="M1865" i="1"/>
  <c r="F1865" i="1"/>
  <c r="P1865" i="1" s="1"/>
  <c r="C1865" i="1"/>
  <c r="A1865" i="1"/>
  <c r="P1864" i="1"/>
  <c r="O1864" i="1"/>
  <c r="N1864" i="1"/>
  <c r="M1864" i="1"/>
  <c r="F1864" i="1"/>
  <c r="C1864" i="1"/>
  <c r="A1864" i="1"/>
  <c r="O1863" i="1"/>
  <c r="N1863" i="1"/>
  <c r="M1863" i="1"/>
  <c r="F1863" i="1"/>
  <c r="P1863" i="1" s="1"/>
  <c r="C1863" i="1"/>
  <c r="A1863" i="1"/>
  <c r="O1862" i="1"/>
  <c r="N1862" i="1"/>
  <c r="M1862" i="1"/>
  <c r="F1862" i="1"/>
  <c r="P1862" i="1" s="1"/>
  <c r="C1862" i="1"/>
  <c r="A1862" i="1"/>
  <c r="O1861" i="1"/>
  <c r="N1861" i="1"/>
  <c r="M1861" i="1"/>
  <c r="F1861" i="1"/>
  <c r="P1861" i="1" s="1"/>
  <c r="C1861" i="1"/>
  <c r="A1861" i="1"/>
  <c r="O1860" i="1"/>
  <c r="N1860" i="1"/>
  <c r="M1860" i="1"/>
  <c r="F1860" i="1"/>
  <c r="P1860" i="1" s="1"/>
  <c r="C1860" i="1"/>
  <c r="A1860" i="1"/>
  <c r="O1859" i="1"/>
  <c r="N1859" i="1"/>
  <c r="M1859" i="1"/>
  <c r="F1859" i="1"/>
  <c r="P1859" i="1" s="1"/>
  <c r="C1859" i="1"/>
  <c r="A1859" i="1"/>
  <c r="O1858" i="1"/>
  <c r="N1858" i="1"/>
  <c r="M1858" i="1"/>
  <c r="F1858" i="1"/>
  <c r="P1858" i="1" s="1"/>
  <c r="C1858" i="1"/>
  <c r="A1858" i="1"/>
  <c r="P1857" i="1"/>
  <c r="O1857" i="1"/>
  <c r="N1857" i="1"/>
  <c r="M1857" i="1"/>
  <c r="F1857" i="1"/>
  <c r="C1857" i="1"/>
  <c r="A1857" i="1"/>
  <c r="O1856" i="1"/>
  <c r="N1856" i="1"/>
  <c r="M1856" i="1"/>
  <c r="F1856" i="1"/>
  <c r="P1856" i="1" s="1"/>
  <c r="C1856" i="1"/>
  <c r="A1856" i="1"/>
  <c r="O1855" i="1"/>
  <c r="N1855" i="1"/>
  <c r="M1855" i="1"/>
  <c r="F1855" i="1"/>
  <c r="P1855" i="1" s="1"/>
  <c r="C1855" i="1"/>
  <c r="A1855" i="1"/>
  <c r="P1854" i="1"/>
  <c r="O1854" i="1"/>
  <c r="N1854" i="1"/>
  <c r="M1854" i="1"/>
  <c r="F1854" i="1"/>
  <c r="C1854" i="1"/>
  <c r="A1854" i="1"/>
  <c r="P1853" i="1"/>
  <c r="O1853" i="1"/>
  <c r="N1853" i="1"/>
  <c r="M1853" i="1"/>
  <c r="F1853" i="1"/>
  <c r="C1853" i="1"/>
  <c r="A1853" i="1"/>
  <c r="O1852" i="1"/>
  <c r="N1852" i="1"/>
  <c r="M1852" i="1"/>
  <c r="F1852" i="1"/>
  <c r="C1852" i="1"/>
  <c r="A1852" i="1"/>
  <c r="O1851" i="1"/>
  <c r="N1851" i="1"/>
  <c r="M1851" i="1"/>
  <c r="F1851" i="1"/>
  <c r="P1851" i="1" s="1"/>
  <c r="C1851" i="1"/>
  <c r="A1851" i="1"/>
  <c r="O1850" i="1"/>
  <c r="N1850" i="1"/>
  <c r="M1850" i="1"/>
  <c r="F1850" i="1"/>
  <c r="P1850" i="1" s="1"/>
  <c r="C1850" i="1"/>
  <c r="A1850" i="1"/>
  <c r="O1849" i="1"/>
  <c r="N1849" i="1"/>
  <c r="M1849" i="1"/>
  <c r="F1849" i="1"/>
  <c r="P1849" i="1" s="1"/>
  <c r="C1849" i="1"/>
  <c r="A1849" i="1"/>
  <c r="O1848" i="1"/>
  <c r="N1848" i="1"/>
  <c r="M1848" i="1"/>
  <c r="F1848" i="1"/>
  <c r="P1848" i="1" s="1"/>
  <c r="C1848" i="1"/>
  <c r="A1848" i="1"/>
  <c r="P1847" i="1"/>
  <c r="O1847" i="1"/>
  <c r="N1847" i="1"/>
  <c r="M1847" i="1"/>
  <c r="F1847" i="1"/>
  <c r="C1847" i="1"/>
  <c r="A1847" i="1"/>
  <c r="O1846" i="1"/>
  <c r="N1846" i="1"/>
  <c r="M1846" i="1"/>
  <c r="F1846" i="1"/>
  <c r="P1846" i="1" s="1"/>
  <c r="C1846" i="1"/>
  <c r="A1846" i="1"/>
  <c r="O1845" i="1"/>
  <c r="N1845" i="1"/>
  <c r="M1845" i="1"/>
  <c r="F1845" i="1"/>
  <c r="C1845" i="1"/>
  <c r="A1845" i="1"/>
  <c r="P1844" i="1"/>
  <c r="O1844" i="1"/>
  <c r="N1844" i="1"/>
  <c r="M1844" i="1"/>
  <c r="F1844" i="1"/>
  <c r="C1844" i="1"/>
  <c r="A1844" i="1"/>
  <c r="P1843" i="1"/>
  <c r="O1843" i="1"/>
  <c r="N1843" i="1"/>
  <c r="M1843" i="1"/>
  <c r="F1843" i="1"/>
  <c r="C1843" i="1"/>
  <c r="A1843" i="1"/>
  <c r="P1842" i="1"/>
  <c r="O1842" i="1"/>
  <c r="N1842" i="1"/>
  <c r="M1842" i="1"/>
  <c r="F1842" i="1"/>
  <c r="C1842" i="1"/>
  <c r="A1842" i="1"/>
  <c r="O1841" i="1"/>
  <c r="N1841" i="1"/>
  <c r="M1841" i="1"/>
  <c r="F1841" i="1"/>
  <c r="P1841" i="1" s="1"/>
  <c r="C1841" i="1"/>
  <c r="A1841" i="1"/>
  <c r="O1840" i="1"/>
  <c r="N1840" i="1"/>
  <c r="M1840" i="1"/>
  <c r="F1840" i="1"/>
  <c r="P1840" i="1" s="1"/>
  <c r="C1840" i="1"/>
  <c r="A1840" i="1"/>
  <c r="O1839" i="1"/>
  <c r="N1839" i="1"/>
  <c r="M1839" i="1"/>
  <c r="F1839" i="1"/>
  <c r="P1839" i="1" s="1"/>
  <c r="C1839" i="1"/>
  <c r="A1839" i="1"/>
  <c r="O1838" i="1"/>
  <c r="N1838" i="1"/>
  <c r="M1838" i="1"/>
  <c r="F1838" i="1"/>
  <c r="P1838" i="1" s="1"/>
  <c r="C1838" i="1"/>
  <c r="A1838" i="1"/>
  <c r="O1837" i="1"/>
  <c r="N1837" i="1"/>
  <c r="M1837" i="1"/>
  <c r="F1837" i="1"/>
  <c r="P1837" i="1" s="1"/>
  <c r="C1837" i="1"/>
  <c r="A1837" i="1"/>
  <c r="O1836" i="1"/>
  <c r="N1836" i="1"/>
  <c r="M1836" i="1"/>
  <c r="F1836" i="1"/>
  <c r="P1836" i="1" s="1"/>
  <c r="C1836" i="1"/>
  <c r="A1836" i="1"/>
  <c r="O1835" i="1"/>
  <c r="N1835" i="1"/>
  <c r="M1835" i="1"/>
  <c r="F1835" i="1"/>
  <c r="P1835" i="1" s="1"/>
  <c r="C1835" i="1"/>
  <c r="A1835" i="1"/>
  <c r="O1834" i="1"/>
  <c r="N1834" i="1"/>
  <c r="M1834" i="1"/>
  <c r="F1834" i="1"/>
  <c r="P1834" i="1" s="1"/>
  <c r="C1834" i="1"/>
  <c r="A1834" i="1"/>
  <c r="O1833" i="1"/>
  <c r="N1833" i="1"/>
  <c r="M1833" i="1"/>
  <c r="F1833" i="1"/>
  <c r="P1833" i="1" s="1"/>
  <c r="C1833" i="1"/>
  <c r="A1833" i="1"/>
  <c r="P1832" i="1"/>
  <c r="O1832" i="1"/>
  <c r="N1832" i="1"/>
  <c r="M1832" i="1"/>
  <c r="F1832" i="1"/>
  <c r="C1832" i="1"/>
  <c r="A1832" i="1"/>
  <c r="P1831" i="1"/>
  <c r="O1831" i="1"/>
  <c r="N1831" i="1"/>
  <c r="M1831" i="1"/>
  <c r="F1831" i="1"/>
  <c r="C1831" i="1"/>
  <c r="A1831" i="1"/>
  <c r="O1830" i="1"/>
  <c r="N1830" i="1"/>
  <c r="M1830" i="1"/>
  <c r="F1830" i="1"/>
  <c r="P1830" i="1" s="1"/>
  <c r="C1830" i="1"/>
  <c r="A1830" i="1"/>
  <c r="O1829" i="1"/>
  <c r="N1829" i="1"/>
  <c r="M1829" i="1"/>
  <c r="F1829" i="1"/>
  <c r="P1829" i="1" s="1"/>
  <c r="C1829" i="1"/>
  <c r="A1829" i="1"/>
  <c r="P1828" i="1"/>
  <c r="O1828" i="1"/>
  <c r="N1828" i="1"/>
  <c r="M1828" i="1"/>
  <c r="F1828" i="1"/>
  <c r="C1828" i="1"/>
  <c r="A1828" i="1"/>
  <c r="P1827" i="1"/>
  <c r="O1827" i="1"/>
  <c r="N1827" i="1"/>
  <c r="M1827" i="1"/>
  <c r="F1827" i="1"/>
  <c r="C1827" i="1"/>
  <c r="A1827" i="1"/>
  <c r="O1826" i="1"/>
  <c r="N1826" i="1"/>
  <c r="M1826" i="1"/>
  <c r="F1826" i="1"/>
  <c r="C1826" i="1"/>
  <c r="A1826" i="1"/>
  <c r="O1825" i="1"/>
  <c r="N1825" i="1"/>
  <c r="M1825" i="1"/>
  <c r="F1825" i="1"/>
  <c r="P1825" i="1" s="1"/>
  <c r="C1825" i="1"/>
  <c r="A1825" i="1"/>
  <c r="P1824" i="1"/>
  <c r="O1824" i="1"/>
  <c r="N1824" i="1"/>
  <c r="M1824" i="1"/>
  <c r="F1824" i="1"/>
  <c r="C1824" i="1"/>
  <c r="A1824" i="1"/>
  <c r="P1823" i="1"/>
  <c r="O1823" i="1"/>
  <c r="N1823" i="1"/>
  <c r="M1823" i="1"/>
  <c r="F1823" i="1"/>
  <c r="C1823" i="1"/>
  <c r="A1823" i="1"/>
  <c r="O1822" i="1"/>
  <c r="N1822" i="1"/>
  <c r="M1822" i="1"/>
  <c r="F1822" i="1"/>
  <c r="C1822" i="1"/>
  <c r="A1822" i="1"/>
  <c r="O1821" i="1"/>
  <c r="N1821" i="1"/>
  <c r="M1821" i="1"/>
  <c r="F1821" i="1"/>
  <c r="P1821" i="1" s="1"/>
  <c r="C1821" i="1"/>
  <c r="A1821" i="1"/>
  <c r="O1820" i="1"/>
  <c r="N1820" i="1"/>
  <c r="M1820" i="1"/>
  <c r="F1820" i="1"/>
  <c r="P1820" i="1" s="1"/>
  <c r="C1820" i="1"/>
  <c r="A1820" i="1"/>
  <c r="P1819" i="1"/>
  <c r="O1819" i="1"/>
  <c r="N1819" i="1"/>
  <c r="M1819" i="1"/>
  <c r="F1819" i="1"/>
  <c r="C1819" i="1"/>
  <c r="A1819" i="1"/>
  <c r="O1818" i="1"/>
  <c r="N1818" i="1"/>
  <c r="M1818" i="1"/>
  <c r="F1818" i="1"/>
  <c r="P1818" i="1" s="1"/>
  <c r="C1818" i="1"/>
  <c r="A1818" i="1"/>
  <c r="O1817" i="1"/>
  <c r="N1817" i="1"/>
  <c r="M1817" i="1"/>
  <c r="F1817" i="1"/>
  <c r="P1817" i="1" s="1"/>
  <c r="C1817" i="1"/>
  <c r="A1817" i="1"/>
  <c r="P1816" i="1"/>
  <c r="O1816" i="1"/>
  <c r="N1816" i="1"/>
  <c r="M1816" i="1"/>
  <c r="F1816" i="1"/>
  <c r="C1816" i="1"/>
  <c r="A1816" i="1"/>
  <c r="O1815" i="1"/>
  <c r="N1815" i="1"/>
  <c r="M1815" i="1"/>
  <c r="F1815" i="1"/>
  <c r="P1815" i="1" s="1"/>
  <c r="C1815" i="1"/>
  <c r="A1815" i="1"/>
  <c r="O1814" i="1"/>
  <c r="N1814" i="1"/>
  <c r="M1814" i="1"/>
  <c r="F1814" i="1"/>
  <c r="P1814" i="1" s="1"/>
  <c r="C1814" i="1"/>
  <c r="A1814" i="1"/>
  <c r="O1813" i="1"/>
  <c r="N1813" i="1"/>
  <c r="M1813" i="1"/>
  <c r="F1813" i="1"/>
  <c r="P1813" i="1" s="1"/>
  <c r="C1813" i="1"/>
  <c r="A1813" i="1"/>
  <c r="P1812" i="1"/>
  <c r="O1812" i="1"/>
  <c r="N1812" i="1"/>
  <c r="M1812" i="1"/>
  <c r="F1812" i="1"/>
  <c r="C1812" i="1"/>
  <c r="A1812" i="1"/>
  <c r="P1811" i="1"/>
  <c r="O1811" i="1"/>
  <c r="N1811" i="1"/>
  <c r="M1811" i="1"/>
  <c r="F1811" i="1"/>
  <c r="C1811" i="1"/>
  <c r="A1811" i="1"/>
  <c r="O1810" i="1"/>
  <c r="N1810" i="1"/>
  <c r="M1810" i="1"/>
  <c r="F1810" i="1"/>
  <c r="P1810" i="1" s="1"/>
  <c r="C1810" i="1"/>
  <c r="A1810" i="1"/>
  <c r="O1809" i="1"/>
  <c r="N1809" i="1"/>
  <c r="M1809" i="1"/>
  <c r="F1809" i="1"/>
  <c r="P1809" i="1" s="1"/>
  <c r="C1809" i="1"/>
  <c r="A1809" i="1"/>
  <c r="O1808" i="1"/>
  <c r="N1808" i="1"/>
  <c r="M1808" i="1"/>
  <c r="F1808" i="1"/>
  <c r="P1808" i="1" s="1"/>
  <c r="C1808" i="1"/>
  <c r="A1808" i="1"/>
  <c r="P1807" i="1"/>
  <c r="O1807" i="1"/>
  <c r="N1807" i="1"/>
  <c r="M1807" i="1"/>
  <c r="F1807" i="1"/>
  <c r="C1807" i="1"/>
  <c r="A1807" i="1"/>
  <c r="P1806" i="1"/>
  <c r="O1806" i="1"/>
  <c r="N1806" i="1"/>
  <c r="M1806" i="1"/>
  <c r="F1806" i="1"/>
  <c r="C1806" i="1"/>
  <c r="A1806" i="1"/>
  <c r="O1805" i="1"/>
  <c r="N1805" i="1"/>
  <c r="M1805" i="1"/>
  <c r="F1805" i="1"/>
  <c r="P1805" i="1" s="1"/>
  <c r="C1805" i="1"/>
  <c r="A1805" i="1"/>
  <c r="O1804" i="1"/>
  <c r="N1804" i="1"/>
  <c r="M1804" i="1"/>
  <c r="F1804" i="1"/>
  <c r="P1804" i="1" s="1"/>
  <c r="C1804" i="1"/>
  <c r="A1804" i="1"/>
  <c r="P1803" i="1"/>
  <c r="O1803" i="1"/>
  <c r="N1803" i="1"/>
  <c r="M1803" i="1"/>
  <c r="F1803" i="1"/>
  <c r="C1803" i="1"/>
  <c r="A1803" i="1"/>
  <c r="P1802" i="1"/>
  <c r="O1802" i="1"/>
  <c r="N1802" i="1"/>
  <c r="M1802" i="1"/>
  <c r="F1802" i="1"/>
  <c r="C1802" i="1"/>
  <c r="A1802" i="1"/>
  <c r="O1801" i="1"/>
  <c r="N1801" i="1"/>
  <c r="M1801" i="1"/>
  <c r="F1801" i="1"/>
  <c r="C1801" i="1"/>
  <c r="A1801" i="1"/>
  <c r="O1800" i="1"/>
  <c r="N1800" i="1"/>
  <c r="M1800" i="1"/>
  <c r="F1800" i="1"/>
  <c r="P1800" i="1" s="1"/>
  <c r="C1800" i="1"/>
  <c r="A1800" i="1"/>
  <c r="P1799" i="1"/>
  <c r="O1799" i="1"/>
  <c r="N1799" i="1"/>
  <c r="M1799" i="1"/>
  <c r="F1799" i="1"/>
  <c r="C1799" i="1"/>
  <c r="A1799" i="1"/>
  <c r="P1798" i="1"/>
  <c r="O1798" i="1"/>
  <c r="N1798" i="1"/>
  <c r="M1798" i="1"/>
  <c r="F1798" i="1"/>
  <c r="C1798" i="1"/>
  <c r="A1798" i="1"/>
  <c r="O1797" i="1"/>
  <c r="N1797" i="1"/>
  <c r="M1797" i="1"/>
  <c r="F1797" i="1"/>
  <c r="C1797" i="1"/>
  <c r="A1797" i="1"/>
  <c r="O1796" i="1"/>
  <c r="N1796" i="1"/>
  <c r="M1796" i="1"/>
  <c r="F1796" i="1"/>
  <c r="P1796" i="1" s="1"/>
  <c r="C1796" i="1"/>
  <c r="A1796" i="1"/>
  <c r="O1795" i="1"/>
  <c r="N1795" i="1"/>
  <c r="M1795" i="1"/>
  <c r="F1795" i="1"/>
  <c r="P1795" i="1" s="1"/>
  <c r="C1795" i="1"/>
  <c r="A1795" i="1"/>
  <c r="P1794" i="1"/>
  <c r="O1794" i="1"/>
  <c r="N1794" i="1"/>
  <c r="M1794" i="1"/>
  <c r="F1794" i="1"/>
  <c r="C1794" i="1"/>
  <c r="A1794" i="1"/>
  <c r="O1793" i="1"/>
  <c r="N1793" i="1"/>
  <c r="M1793" i="1"/>
  <c r="F1793" i="1"/>
  <c r="P1793" i="1" s="1"/>
  <c r="C1793" i="1"/>
  <c r="A1793" i="1"/>
  <c r="O1792" i="1"/>
  <c r="N1792" i="1"/>
  <c r="M1792" i="1"/>
  <c r="F1792" i="1"/>
  <c r="P1792" i="1" s="1"/>
  <c r="C1792" i="1"/>
  <c r="A1792" i="1"/>
  <c r="P1791" i="1"/>
  <c r="O1791" i="1"/>
  <c r="N1791" i="1"/>
  <c r="M1791" i="1"/>
  <c r="F1791" i="1"/>
  <c r="C1791" i="1"/>
  <c r="A1791" i="1"/>
  <c r="O1790" i="1"/>
  <c r="N1790" i="1"/>
  <c r="M1790" i="1"/>
  <c r="F1790" i="1"/>
  <c r="P1790" i="1" s="1"/>
  <c r="C1790" i="1"/>
  <c r="A1790" i="1"/>
  <c r="O1789" i="1"/>
  <c r="N1789" i="1"/>
  <c r="M1789" i="1"/>
  <c r="F1789" i="1"/>
  <c r="C1789" i="1"/>
  <c r="A1789" i="1"/>
  <c r="O1788" i="1"/>
  <c r="N1788" i="1"/>
  <c r="M1788" i="1"/>
  <c r="F1788" i="1"/>
  <c r="P1788" i="1" s="1"/>
  <c r="C1788" i="1"/>
  <c r="A1788" i="1"/>
  <c r="O1787" i="1"/>
  <c r="N1787" i="1"/>
  <c r="M1787" i="1"/>
  <c r="F1787" i="1"/>
  <c r="P1787" i="1" s="1"/>
  <c r="C1787" i="1"/>
  <c r="A1787" i="1"/>
  <c r="P1786" i="1"/>
  <c r="O1786" i="1"/>
  <c r="N1786" i="1"/>
  <c r="M1786" i="1"/>
  <c r="F1786" i="1"/>
  <c r="C1786" i="1"/>
  <c r="A1786" i="1"/>
  <c r="P1785" i="1"/>
  <c r="O1785" i="1"/>
  <c r="N1785" i="1"/>
  <c r="M1785" i="1"/>
  <c r="F1785" i="1"/>
  <c r="C1785" i="1"/>
  <c r="A1785" i="1"/>
  <c r="O1784" i="1"/>
  <c r="N1784" i="1"/>
  <c r="M1784" i="1"/>
  <c r="F1784" i="1"/>
  <c r="P1784" i="1" s="1"/>
  <c r="C1784" i="1"/>
  <c r="A1784" i="1"/>
  <c r="O1783" i="1"/>
  <c r="N1783" i="1"/>
  <c r="M1783" i="1"/>
  <c r="F1783" i="1"/>
  <c r="P1783" i="1" s="1"/>
  <c r="C1783" i="1"/>
  <c r="A1783" i="1"/>
  <c r="O1782" i="1"/>
  <c r="N1782" i="1"/>
  <c r="M1782" i="1"/>
  <c r="F1782" i="1"/>
  <c r="P1782" i="1" s="1"/>
  <c r="C1782" i="1"/>
  <c r="A1782" i="1"/>
  <c r="P1781" i="1"/>
  <c r="O1781" i="1"/>
  <c r="N1781" i="1"/>
  <c r="M1781" i="1"/>
  <c r="F1781" i="1"/>
  <c r="C1781" i="1"/>
  <c r="A1781" i="1"/>
  <c r="P1780" i="1"/>
  <c r="O1780" i="1"/>
  <c r="N1780" i="1"/>
  <c r="M1780" i="1"/>
  <c r="F1780" i="1"/>
  <c r="C1780" i="1"/>
  <c r="A1780" i="1"/>
  <c r="O1779" i="1"/>
  <c r="N1779" i="1"/>
  <c r="M1779" i="1"/>
  <c r="F1779" i="1"/>
  <c r="P1779" i="1" s="1"/>
  <c r="C1779" i="1"/>
  <c r="A1779" i="1"/>
  <c r="O1778" i="1"/>
  <c r="N1778" i="1"/>
  <c r="M1778" i="1"/>
  <c r="F1778" i="1"/>
  <c r="P1778" i="1" s="1"/>
  <c r="C1778" i="1"/>
  <c r="A1778" i="1"/>
  <c r="O1777" i="1"/>
  <c r="N1777" i="1"/>
  <c r="M1777" i="1"/>
  <c r="F1777" i="1"/>
  <c r="P1777" i="1" s="1"/>
  <c r="C1777" i="1"/>
  <c r="A1777" i="1"/>
  <c r="P1776" i="1"/>
  <c r="O1776" i="1"/>
  <c r="N1776" i="1"/>
  <c r="M1776" i="1"/>
  <c r="F1776" i="1"/>
  <c r="C1776" i="1"/>
  <c r="A1776" i="1"/>
  <c r="P1775" i="1"/>
  <c r="O1775" i="1"/>
  <c r="N1775" i="1"/>
  <c r="M1775" i="1"/>
  <c r="F1775" i="1"/>
  <c r="C1775" i="1"/>
  <c r="A1775" i="1"/>
  <c r="O1774" i="1"/>
  <c r="N1774" i="1"/>
  <c r="M1774" i="1"/>
  <c r="F1774" i="1"/>
  <c r="P1774" i="1" s="1"/>
  <c r="C1774" i="1"/>
  <c r="A1774" i="1"/>
  <c r="O1773" i="1"/>
  <c r="N1773" i="1"/>
  <c r="M1773" i="1"/>
  <c r="F1773" i="1"/>
  <c r="P1773" i="1" s="1"/>
  <c r="C1773" i="1"/>
  <c r="A1773" i="1"/>
  <c r="O1772" i="1"/>
  <c r="N1772" i="1"/>
  <c r="M1772" i="1"/>
  <c r="F1772" i="1"/>
  <c r="P1772" i="1" s="1"/>
  <c r="C1772" i="1"/>
  <c r="A1772" i="1"/>
  <c r="P1771" i="1"/>
  <c r="O1771" i="1"/>
  <c r="N1771" i="1"/>
  <c r="M1771" i="1"/>
  <c r="F1771" i="1"/>
  <c r="C1771" i="1"/>
  <c r="A1771" i="1"/>
  <c r="P1770" i="1"/>
  <c r="O1770" i="1"/>
  <c r="N1770" i="1"/>
  <c r="M1770" i="1"/>
  <c r="F1770" i="1"/>
  <c r="C1770" i="1"/>
  <c r="A1770" i="1"/>
  <c r="O1769" i="1"/>
  <c r="N1769" i="1"/>
  <c r="M1769" i="1"/>
  <c r="F1769" i="1"/>
  <c r="P1769" i="1" s="1"/>
  <c r="C1769" i="1"/>
  <c r="A1769" i="1"/>
  <c r="O1768" i="1"/>
  <c r="N1768" i="1"/>
  <c r="M1768" i="1"/>
  <c r="F1768" i="1"/>
  <c r="P1768" i="1" s="1"/>
  <c r="C1768" i="1"/>
  <c r="A1768" i="1"/>
  <c r="O1767" i="1"/>
  <c r="N1767" i="1"/>
  <c r="M1767" i="1"/>
  <c r="F1767" i="1"/>
  <c r="P1767" i="1" s="1"/>
  <c r="C1767" i="1"/>
  <c r="A1767" i="1"/>
  <c r="P1766" i="1"/>
  <c r="O1766" i="1"/>
  <c r="N1766" i="1"/>
  <c r="M1766" i="1"/>
  <c r="F1766" i="1"/>
  <c r="C1766" i="1"/>
  <c r="A1766" i="1"/>
  <c r="P1765" i="1"/>
  <c r="O1765" i="1"/>
  <c r="N1765" i="1"/>
  <c r="M1765" i="1"/>
  <c r="F1765" i="1"/>
  <c r="C1765" i="1"/>
  <c r="A1765" i="1"/>
  <c r="O1764" i="1"/>
  <c r="N1764" i="1"/>
  <c r="M1764" i="1"/>
  <c r="F1764" i="1"/>
  <c r="C1764" i="1"/>
  <c r="A1764" i="1"/>
  <c r="O1763" i="1"/>
  <c r="N1763" i="1"/>
  <c r="M1763" i="1"/>
  <c r="F1763" i="1"/>
  <c r="P1763" i="1" s="1"/>
  <c r="C1763" i="1"/>
  <c r="A1763" i="1"/>
  <c r="O1762" i="1"/>
  <c r="N1762" i="1"/>
  <c r="M1762" i="1"/>
  <c r="F1762" i="1"/>
  <c r="P1762" i="1" s="1"/>
  <c r="C1762" i="1"/>
  <c r="A1762" i="1"/>
  <c r="P1761" i="1"/>
  <c r="O1761" i="1"/>
  <c r="N1761" i="1"/>
  <c r="M1761" i="1"/>
  <c r="F1761" i="1"/>
  <c r="C1761" i="1"/>
  <c r="A1761" i="1"/>
  <c r="P1760" i="1"/>
  <c r="O1760" i="1"/>
  <c r="N1760" i="1"/>
  <c r="M1760" i="1"/>
  <c r="F1760" i="1"/>
  <c r="C1760" i="1"/>
  <c r="A1760" i="1"/>
  <c r="O1759" i="1"/>
  <c r="N1759" i="1"/>
  <c r="M1759" i="1"/>
  <c r="F1759" i="1"/>
  <c r="P1759" i="1" s="1"/>
  <c r="C1759" i="1"/>
  <c r="A1759" i="1"/>
  <c r="O1758" i="1"/>
  <c r="N1758" i="1"/>
  <c r="M1758" i="1"/>
  <c r="F1758" i="1"/>
  <c r="P1758" i="1" s="1"/>
  <c r="C1758" i="1"/>
  <c r="A1758" i="1"/>
  <c r="O1757" i="1"/>
  <c r="N1757" i="1"/>
  <c r="M1757" i="1"/>
  <c r="F1757" i="1"/>
  <c r="P1757" i="1" s="1"/>
  <c r="C1757" i="1"/>
  <c r="A1757" i="1"/>
  <c r="P1756" i="1"/>
  <c r="O1756" i="1"/>
  <c r="N1756" i="1"/>
  <c r="M1756" i="1"/>
  <c r="F1756" i="1"/>
  <c r="C1756" i="1"/>
  <c r="A1756" i="1"/>
  <c r="P1755" i="1"/>
  <c r="O1755" i="1"/>
  <c r="N1755" i="1"/>
  <c r="M1755" i="1"/>
  <c r="F1755" i="1"/>
  <c r="C1755" i="1"/>
  <c r="A1755" i="1"/>
  <c r="O1754" i="1"/>
  <c r="N1754" i="1"/>
  <c r="M1754" i="1"/>
  <c r="F1754" i="1"/>
  <c r="P1754" i="1" s="1"/>
  <c r="C1754" i="1"/>
  <c r="A1754" i="1"/>
  <c r="O1753" i="1"/>
  <c r="N1753" i="1"/>
  <c r="M1753" i="1"/>
  <c r="F1753" i="1"/>
  <c r="P1753" i="1" s="1"/>
  <c r="C1753" i="1"/>
  <c r="A1753" i="1"/>
  <c r="O1752" i="1"/>
  <c r="N1752" i="1"/>
  <c r="M1752" i="1"/>
  <c r="F1752" i="1"/>
  <c r="P1752" i="1" s="1"/>
  <c r="C1752" i="1"/>
  <c r="A1752" i="1"/>
  <c r="P1751" i="1"/>
  <c r="O1751" i="1"/>
  <c r="N1751" i="1"/>
  <c r="M1751" i="1"/>
  <c r="F1751" i="1"/>
  <c r="C1751" i="1"/>
  <c r="A1751" i="1"/>
  <c r="P1750" i="1"/>
  <c r="O1750" i="1"/>
  <c r="N1750" i="1"/>
  <c r="M1750" i="1"/>
  <c r="F1750" i="1"/>
  <c r="C1750" i="1"/>
  <c r="A1750" i="1"/>
  <c r="O1749" i="1"/>
  <c r="N1749" i="1"/>
  <c r="M1749" i="1"/>
  <c r="F1749" i="1"/>
  <c r="P1749" i="1" s="1"/>
  <c r="C1749" i="1"/>
  <c r="A1749" i="1"/>
  <c r="O1748" i="1"/>
  <c r="N1748" i="1"/>
  <c r="M1748" i="1"/>
  <c r="F1748" i="1"/>
  <c r="P1748" i="1" s="1"/>
  <c r="C1748" i="1"/>
  <c r="A1748" i="1"/>
  <c r="O1747" i="1"/>
  <c r="N1747" i="1"/>
  <c r="M1747" i="1"/>
  <c r="F1747" i="1"/>
  <c r="P1747" i="1" s="1"/>
  <c r="C1747" i="1"/>
  <c r="A1747" i="1"/>
  <c r="P1746" i="1"/>
  <c r="O1746" i="1"/>
  <c r="N1746" i="1"/>
  <c r="M1746" i="1"/>
  <c r="F1746" i="1"/>
  <c r="C1746" i="1"/>
  <c r="A1746" i="1"/>
  <c r="P1745" i="1"/>
  <c r="O1745" i="1"/>
  <c r="N1745" i="1"/>
  <c r="M1745" i="1"/>
  <c r="F1745" i="1"/>
  <c r="C1745" i="1"/>
  <c r="A1745" i="1"/>
  <c r="O1744" i="1"/>
  <c r="N1744" i="1"/>
  <c r="M1744" i="1"/>
  <c r="F1744" i="1"/>
  <c r="P1744" i="1" s="1"/>
  <c r="C1744" i="1"/>
  <c r="A1744" i="1"/>
  <c r="O1743" i="1"/>
  <c r="N1743" i="1"/>
  <c r="M1743" i="1"/>
  <c r="F1743" i="1"/>
  <c r="P1743" i="1" s="1"/>
  <c r="C1743" i="1"/>
  <c r="A1743" i="1"/>
  <c r="O1742" i="1"/>
  <c r="N1742" i="1"/>
  <c r="M1742" i="1"/>
  <c r="F1742" i="1"/>
  <c r="P1742" i="1" s="1"/>
  <c r="C1742" i="1"/>
  <c r="A1742" i="1"/>
  <c r="P1741" i="1"/>
  <c r="O1741" i="1"/>
  <c r="N1741" i="1"/>
  <c r="M1741" i="1"/>
  <c r="F1741" i="1"/>
  <c r="C1741" i="1"/>
  <c r="A1741" i="1"/>
  <c r="P1740" i="1"/>
  <c r="O1740" i="1"/>
  <c r="N1740" i="1"/>
  <c r="M1740" i="1"/>
  <c r="F1740" i="1"/>
  <c r="C1740" i="1"/>
  <c r="A1740" i="1"/>
  <c r="O1739" i="1"/>
  <c r="N1739" i="1"/>
  <c r="M1739" i="1"/>
  <c r="F1739" i="1"/>
  <c r="P1739" i="1" s="1"/>
  <c r="C1739" i="1"/>
  <c r="A1739" i="1"/>
  <c r="O1738" i="1"/>
  <c r="N1738" i="1"/>
  <c r="M1738" i="1"/>
  <c r="F1738" i="1"/>
  <c r="P1738" i="1" s="1"/>
  <c r="C1738" i="1"/>
  <c r="A1738" i="1"/>
  <c r="O1737" i="1"/>
  <c r="N1737" i="1"/>
  <c r="M1737" i="1"/>
  <c r="F1737" i="1"/>
  <c r="P1737" i="1" s="1"/>
  <c r="C1737" i="1"/>
  <c r="A1737" i="1"/>
  <c r="P1736" i="1"/>
  <c r="O1736" i="1"/>
  <c r="N1736" i="1"/>
  <c r="M1736" i="1"/>
  <c r="F1736" i="1"/>
  <c r="C1736" i="1"/>
  <c r="A1736" i="1"/>
  <c r="P1735" i="1"/>
  <c r="O1735" i="1"/>
  <c r="N1735" i="1"/>
  <c r="M1735" i="1"/>
  <c r="F1735" i="1"/>
  <c r="C1735" i="1"/>
  <c r="A1735" i="1"/>
  <c r="O1734" i="1"/>
  <c r="N1734" i="1"/>
  <c r="M1734" i="1"/>
  <c r="F1734" i="1"/>
  <c r="P1734" i="1" s="1"/>
  <c r="C1734" i="1"/>
  <c r="A1734" i="1"/>
  <c r="O1733" i="1"/>
  <c r="N1733" i="1"/>
  <c r="M1733" i="1"/>
  <c r="F1733" i="1"/>
  <c r="P1733" i="1" s="1"/>
  <c r="C1733" i="1"/>
  <c r="A1733" i="1"/>
  <c r="O1732" i="1"/>
  <c r="N1732" i="1"/>
  <c r="M1732" i="1"/>
  <c r="F1732" i="1"/>
  <c r="P1732" i="1" s="1"/>
  <c r="C1732" i="1"/>
  <c r="A1732" i="1"/>
  <c r="P1731" i="1"/>
  <c r="O1731" i="1"/>
  <c r="N1731" i="1"/>
  <c r="M1731" i="1"/>
  <c r="F1731" i="1"/>
  <c r="C1731" i="1"/>
  <c r="A1731" i="1"/>
  <c r="O1730" i="1"/>
  <c r="N1730" i="1"/>
  <c r="M1730" i="1"/>
  <c r="F1730" i="1"/>
  <c r="P1730" i="1" s="1"/>
  <c r="C1730" i="1"/>
  <c r="A1730" i="1"/>
  <c r="O1729" i="1"/>
  <c r="N1729" i="1"/>
  <c r="M1729" i="1"/>
  <c r="F1729" i="1"/>
  <c r="P1729" i="1" s="1"/>
  <c r="C1729" i="1"/>
  <c r="A1729" i="1"/>
  <c r="O1728" i="1"/>
  <c r="N1728" i="1"/>
  <c r="M1728" i="1"/>
  <c r="F1728" i="1"/>
  <c r="P1728" i="1" s="1"/>
  <c r="C1728" i="1"/>
  <c r="A1728" i="1"/>
  <c r="O1727" i="1"/>
  <c r="N1727" i="1"/>
  <c r="M1727" i="1"/>
  <c r="F1727" i="1"/>
  <c r="P1727" i="1" s="1"/>
  <c r="C1727" i="1"/>
  <c r="A1727" i="1"/>
  <c r="P1726" i="1"/>
  <c r="O1726" i="1"/>
  <c r="N1726" i="1"/>
  <c r="M1726" i="1"/>
  <c r="F1726" i="1"/>
  <c r="C1726" i="1"/>
  <c r="A1726" i="1"/>
  <c r="P1725" i="1"/>
  <c r="O1725" i="1"/>
  <c r="N1725" i="1"/>
  <c r="M1725" i="1"/>
  <c r="F1725" i="1"/>
  <c r="C1725" i="1"/>
  <c r="A1725" i="1"/>
  <c r="O1724" i="1"/>
  <c r="N1724" i="1"/>
  <c r="M1724" i="1"/>
  <c r="F1724" i="1"/>
  <c r="P1724" i="1" s="1"/>
  <c r="C1724" i="1"/>
  <c r="A1724" i="1"/>
  <c r="O1723" i="1"/>
  <c r="N1723" i="1"/>
  <c r="M1723" i="1"/>
  <c r="F1723" i="1"/>
  <c r="P1723" i="1" s="1"/>
  <c r="C1723" i="1"/>
  <c r="A1723" i="1"/>
  <c r="O1722" i="1"/>
  <c r="N1722" i="1"/>
  <c r="M1722" i="1"/>
  <c r="F1722" i="1"/>
  <c r="P1722" i="1" s="1"/>
  <c r="C1722" i="1"/>
  <c r="A1722" i="1"/>
  <c r="P1721" i="1"/>
  <c r="O1721" i="1"/>
  <c r="N1721" i="1"/>
  <c r="M1721" i="1"/>
  <c r="F1721" i="1"/>
  <c r="C1721" i="1"/>
  <c r="A1721" i="1"/>
  <c r="O1720" i="1"/>
  <c r="N1720" i="1"/>
  <c r="M1720" i="1"/>
  <c r="F1720" i="1"/>
  <c r="P1720" i="1" s="1"/>
  <c r="C1720" i="1"/>
  <c r="A1720" i="1"/>
  <c r="O1719" i="1"/>
  <c r="N1719" i="1"/>
  <c r="M1719" i="1"/>
  <c r="F1719" i="1"/>
  <c r="P1719" i="1" s="1"/>
  <c r="C1719" i="1"/>
  <c r="A1719" i="1"/>
  <c r="O1718" i="1"/>
  <c r="N1718" i="1"/>
  <c r="M1718" i="1"/>
  <c r="F1718" i="1"/>
  <c r="C1718" i="1"/>
  <c r="A1718" i="1"/>
  <c r="O1717" i="1"/>
  <c r="N1717" i="1"/>
  <c r="M1717" i="1"/>
  <c r="F1717" i="1"/>
  <c r="P1717" i="1" s="1"/>
  <c r="C1717" i="1"/>
  <c r="A1717" i="1"/>
  <c r="P1716" i="1"/>
  <c r="O1716" i="1"/>
  <c r="N1716" i="1"/>
  <c r="M1716" i="1"/>
  <c r="F1716" i="1"/>
  <c r="C1716" i="1"/>
  <c r="A1716" i="1"/>
  <c r="O1715" i="1"/>
  <c r="N1715" i="1"/>
  <c r="M1715" i="1"/>
  <c r="F1715" i="1"/>
  <c r="P1715" i="1" s="1"/>
  <c r="C1715" i="1"/>
  <c r="A1715" i="1"/>
  <c r="O1714" i="1"/>
  <c r="N1714" i="1"/>
  <c r="M1714" i="1"/>
  <c r="F1714" i="1"/>
  <c r="P1714" i="1" s="1"/>
  <c r="C1714" i="1"/>
  <c r="A1714" i="1"/>
  <c r="O1713" i="1"/>
  <c r="N1713" i="1"/>
  <c r="M1713" i="1"/>
  <c r="F1713" i="1"/>
  <c r="P1713" i="1" s="1"/>
  <c r="C1713" i="1"/>
  <c r="A1713" i="1"/>
  <c r="O1712" i="1"/>
  <c r="N1712" i="1"/>
  <c r="M1712" i="1"/>
  <c r="F1712" i="1"/>
  <c r="P1712" i="1" s="1"/>
  <c r="C1712" i="1"/>
  <c r="A1712" i="1"/>
  <c r="O1711" i="1"/>
  <c r="N1711" i="1"/>
  <c r="M1711" i="1"/>
  <c r="F1711" i="1"/>
  <c r="P1711" i="1" s="1"/>
  <c r="C1711" i="1"/>
  <c r="A1711" i="1"/>
  <c r="P1710" i="1"/>
  <c r="O1710" i="1"/>
  <c r="N1710" i="1"/>
  <c r="M1710" i="1"/>
  <c r="F1710" i="1"/>
  <c r="C1710" i="1"/>
  <c r="A1710" i="1"/>
  <c r="O1709" i="1"/>
  <c r="N1709" i="1"/>
  <c r="M1709" i="1"/>
  <c r="F1709" i="1"/>
  <c r="P1709" i="1" s="1"/>
  <c r="C1709" i="1"/>
  <c r="A1709" i="1"/>
  <c r="O1708" i="1"/>
  <c r="N1708" i="1"/>
  <c r="M1708" i="1"/>
  <c r="F1708" i="1"/>
  <c r="P1708" i="1" s="1"/>
  <c r="C1708" i="1"/>
  <c r="A1708" i="1"/>
  <c r="O1707" i="1"/>
  <c r="N1707" i="1"/>
  <c r="M1707" i="1"/>
  <c r="F1707" i="1"/>
  <c r="P1707" i="1" s="1"/>
  <c r="C1707" i="1"/>
  <c r="A1707" i="1"/>
  <c r="P1706" i="1"/>
  <c r="O1706" i="1"/>
  <c r="N1706" i="1"/>
  <c r="M1706" i="1"/>
  <c r="F1706" i="1"/>
  <c r="C1706" i="1"/>
  <c r="A1706" i="1"/>
  <c r="O1705" i="1"/>
  <c r="N1705" i="1"/>
  <c r="M1705" i="1"/>
  <c r="F1705" i="1"/>
  <c r="P1705" i="1" s="1"/>
  <c r="C1705" i="1"/>
  <c r="A1705" i="1"/>
  <c r="O1704" i="1"/>
  <c r="N1704" i="1"/>
  <c r="M1704" i="1"/>
  <c r="F1704" i="1"/>
  <c r="P1704" i="1" s="1"/>
  <c r="C1704" i="1"/>
  <c r="A1704" i="1"/>
  <c r="O1703" i="1"/>
  <c r="N1703" i="1"/>
  <c r="M1703" i="1"/>
  <c r="F1703" i="1"/>
  <c r="P1703" i="1" s="1"/>
  <c r="C1703" i="1"/>
  <c r="A1703" i="1"/>
  <c r="O1702" i="1"/>
  <c r="N1702" i="1"/>
  <c r="M1702" i="1"/>
  <c r="F1702" i="1"/>
  <c r="P1702" i="1" s="1"/>
  <c r="C1702" i="1"/>
  <c r="A1702" i="1"/>
  <c r="O1701" i="1"/>
  <c r="N1701" i="1"/>
  <c r="M1701" i="1"/>
  <c r="F1701" i="1"/>
  <c r="P1701" i="1" s="1"/>
  <c r="C1701" i="1"/>
  <c r="A1701" i="1"/>
  <c r="P1700" i="1"/>
  <c r="O1700" i="1"/>
  <c r="N1700" i="1"/>
  <c r="M1700" i="1"/>
  <c r="F1700" i="1"/>
  <c r="C1700" i="1"/>
  <c r="A1700" i="1"/>
  <c r="O1699" i="1"/>
  <c r="N1699" i="1"/>
  <c r="M1699" i="1"/>
  <c r="F1699" i="1"/>
  <c r="P1699" i="1" s="1"/>
  <c r="C1699" i="1"/>
  <c r="A1699" i="1"/>
  <c r="O1698" i="1"/>
  <c r="N1698" i="1"/>
  <c r="M1698" i="1"/>
  <c r="F1698" i="1"/>
  <c r="P1698" i="1" s="1"/>
  <c r="C1698" i="1"/>
  <c r="A1698" i="1"/>
  <c r="O1697" i="1"/>
  <c r="N1697" i="1"/>
  <c r="M1697" i="1"/>
  <c r="F1697" i="1"/>
  <c r="P1697" i="1" s="1"/>
  <c r="C1697" i="1"/>
  <c r="A1697" i="1"/>
  <c r="O1696" i="1"/>
  <c r="N1696" i="1"/>
  <c r="M1696" i="1"/>
  <c r="F1696" i="1"/>
  <c r="P1696" i="1" s="1"/>
  <c r="C1696" i="1"/>
  <c r="A1696" i="1"/>
  <c r="O1695" i="1"/>
  <c r="N1695" i="1"/>
  <c r="M1695" i="1"/>
  <c r="F1695" i="1"/>
  <c r="P1695" i="1" s="1"/>
  <c r="C1695" i="1"/>
  <c r="A1695" i="1"/>
  <c r="O1694" i="1"/>
  <c r="N1694" i="1"/>
  <c r="M1694" i="1"/>
  <c r="F1694" i="1"/>
  <c r="P1694" i="1" s="1"/>
  <c r="C1694" i="1"/>
  <c r="A1694" i="1"/>
  <c r="O1693" i="1"/>
  <c r="N1693" i="1"/>
  <c r="M1693" i="1"/>
  <c r="F1693" i="1"/>
  <c r="C1693" i="1"/>
  <c r="A1693" i="1"/>
  <c r="O1692" i="1"/>
  <c r="N1692" i="1"/>
  <c r="M1692" i="1"/>
  <c r="F1692" i="1"/>
  <c r="P1692" i="1" s="1"/>
  <c r="C1692" i="1"/>
  <c r="A1692" i="1"/>
  <c r="P1691" i="1"/>
  <c r="O1691" i="1"/>
  <c r="N1691" i="1"/>
  <c r="M1691" i="1"/>
  <c r="F1691" i="1"/>
  <c r="C1691" i="1"/>
  <c r="A1691" i="1"/>
  <c r="O1690" i="1"/>
  <c r="N1690" i="1"/>
  <c r="M1690" i="1"/>
  <c r="F1690" i="1"/>
  <c r="P1690" i="1" s="1"/>
  <c r="C1690" i="1"/>
  <c r="A1690" i="1"/>
  <c r="O1689" i="1"/>
  <c r="N1689" i="1"/>
  <c r="M1689" i="1"/>
  <c r="F1689" i="1"/>
  <c r="P1689" i="1" s="1"/>
  <c r="C1689" i="1"/>
  <c r="A1689" i="1"/>
  <c r="O1688" i="1"/>
  <c r="N1688" i="1"/>
  <c r="M1688" i="1"/>
  <c r="F1688" i="1"/>
  <c r="P1688" i="1" s="1"/>
  <c r="C1688" i="1"/>
  <c r="A1688" i="1"/>
  <c r="O1687" i="1"/>
  <c r="N1687" i="1"/>
  <c r="M1687" i="1"/>
  <c r="F1687" i="1"/>
  <c r="P1687" i="1" s="1"/>
  <c r="C1687" i="1"/>
  <c r="A1687" i="1"/>
  <c r="O1686" i="1"/>
  <c r="N1686" i="1"/>
  <c r="M1686" i="1"/>
  <c r="F1686" i="1"/>
  <c r="P1686" i="1" s="1"/>
  <c r="C1686" i="1"/>
  <c r="A1686" i="1"/>
  <c r="O1685" i="1"/>
  <c r="N1685" i="1"/>
  <c r="M1685" i="1"/>
  <c r="F1685" i="1"/>
  <c r="P1685" i="1" s="1"/>
  <c r="C1685" i="1"/>
  <c r="A1685" i="1"/>
  <c r="P1684" i="1"/>
  <c r="O1684" i="1"/>
  <c r="N1684" i="1"/>
  <c r="M1684" i="1"/>
  <c r="F1684" i="1"/>
  <c r="C1684" i="1"/>
  <c r="A1684" i="1"/>
  <c r="O1683" i="1"/>
  <c r="N1683" i="1"/>
  <c r="M1683" i="1"/>
  <c r="F1683" i="1"/>
  <c r="C1683" i="1"/>
  <c r="A1683" i="1"/>
  <c r="O1682" i="1"/>
  <c r="N1682" i="1"/>
  <c r="M1682" i="1"/>
  <c r="F1682" i="1"/>
  <c r="P1682" i="1" s="1"/>
  <c r="C1682" i="1"/>
  <c r="A1682" i="1"/>
  <c r="P1681" i="1"/>
  <c r="O1681" i="1"/>
  <c r="N1681" i="1"/>
  <c r="M1681" i="1"/>
  <c r="F1681" i="1"/>
  <c r="C1681" i="1"/>
  <c r="A1681" i="1"/>
  <c r="P1680" i="1"/>
  <c r="O1680" i="1"/>
  <c r="N1680" i="1"/>
  <c r="M1680" i="1"/>
  <c r="F1680" i="1"/>
  <c r="C1680" i="1"/>
  <c r="A1680" i="1"/>
  <c r="O1679" i="1"/>
  <c r="N1679" i="1"/>
  <c r="M1679" i="1"/>
  <c r="F1679" i="1"/>
  <c r="P1679" i="1" s="1"/>
  <c r="C1679" i="1"/>
  <c r="A1679" i="1"/>
  <c r="O1678" i="1"/>
  <c r="N1678" i="1"/>
  <c r="M1678" i="1"/>
  <c r="F1678" i="1"/>
  <c r="P1678" i="1" s="1"/>
  <c r="C1678" i="1"/>
  <c r="A1678" i="1"/>
  <c r="O1677" i="1"/>
  <c r="N1677" i="1"/>
  <c r="M1677" i="1"/>
  <c r="F1677" i="1"/>
  <c r="P1677" i="1" s="1"/>
  <c r="C1677" i="1"/>
  <c r="A1677" i="1"/>
  <c r="O1676" i="1"/>
  <c r="N1676" i="1"/>
  <c r="M1676" i="1"/>
  <c r="F1676" i="1"/>
  <c r="P1676" i="1" s="1"/>
  <c r="C1676" i="1"/>
  <c r="A1676" i="1"/>
  <c r="O1675" i="1"/>
  <c r="N1675" i="1"/>
  <c r="M1675" i="1"/>
  <c r="F1675" i="1"/>
  <c r="P1675" i="1" s="1"/>
  <c r="C1675" i="1"/>
  <c r="A1675" i="1"/>
  <c r="P1674" i="1"/>
  <c r="O1674" i="1"/>
  <c r="N1674" i="1"/>
  <c r="M1674" i="1"/>
  <c r="F1674" i="1"/>
  <c r="C1674" i="1"/>
  <c r="A1674" i="1"/>
  <c r="O1673" i="1"/>
  <c r="N1673" i="1"/>
  <c r="M1673" i="1"/>
  <c r="F1673" i="1"/>
  <c r="P1673" i="1" s="1"/>
  <c r="C1673" i="1"/>
  <c r="A1673" i="1"/>
  <c r="O1672" i="1"/>
  <c r="N1672" i="1"/>
  <c r="M1672" i="1"/>
  <c r="F1672" i="1"/>
  <c r="P1672" i="1" s="1"/>
  <c r="C1672" i="1"/>
  <c r="A1672" i="1"/>
  <c r="O1671" i="1"/>
  <c r="N1671" i="1"/>
  <c r="M1671" i="1"/>
  <c r="F1671" i="1"/>
  <c r="P1671" i="1" s="1"/>
  <c r="C1671" i="1"/>
  <c r="A1671" i="1"/>
  <c r="P1670" i="1"/>
  <c r="O1670" i="1"/>
  <c r="N1670" i="1"/>
  <c r="M1670" i="1"/>
  <c r="F1670" i="1"/>
  <c r="C1670" i="1"/>
  <c r="A1670" i="1"/>
  <c r="P1669" i="1"/>
  <c r="O1669" i="1"/>
  <c r="N1669" i="1"/>
  <c r="M1669" i="1"/>
  <c r="F1669" i="1"/>
  <c r="C1669" i="1"/>
  <c r="A1669" i="1"/>
  <c r="O1668" i="1"/>
  <c r="N1668" i="1"/>
  <c r="M1668" i="1"/>
  <c r="F1668" i="1"/>
  <c r="P1668" i="1" s="1"/>
  <c r="C1668" i="1"/>
  <c r="A1668" i="1"/>
  <c r="O1667" i="1"/>
  <c r="N1667" i="1"/>
  <c r="M1667" i="1"/>
  <c r="F1667" i="1"/>
  <c r="P1667" i="1" s="1"/>
  <c r="C1667" i="1"/>
  <c r="A1667" i="1"/>
  <c r="P1666" i="1"/>
  <c r="O1666" i="1"/>
  <c r="N1666" i="1"/>
  <c r="M1666" i="1"/>
  <c r="F1666" i="1"/>
  <c r="C1666" i="1"/>
  <c r="A1666" i="1"/>
  <c r="O1665" i="1"/>
  <c r="N1665" i="1"/>
  <c r="M1665" i="1"/>
  <c r="F1665" i="1"/>
  <c r="P1665" i="1" s="1"/>
  <c r="C1665" i="1"/>
  <c r="A1665" i="1"/>
  <c r="O1664" i="1"/>
  <c r="N1664" i="1"/>
  <c r="M1664" i="1"/>
  <c r="F1664" i="1"/>
  <c r="P1664" i="1" s="1"/>
  <c r="C1664" i="1"/>
  <c r="A1664" i="1"/>
  <c r="O1663" i="1"/>
  <c r="N1663" i="1"/>
  <c r="M1663" i="1"/>
  <c r="F1663" i="1"/>
  <c r="P1663" i="1" s="1"/>
  <c r="C1663" i="1"/>
  <c r="A1663" i="1"/>
  <c r="O1662" i="1"/>
  <c r="N1662" i="1"/>
  <c r="M1662" i="1"/>
  <c r="F1662" i="1"/>
  <c r="P1662" i="1" s="1"/>
  <c r="C1662" i="1"/>
  <c r="A1662" i="1"/>
  <c r="O1661" i="1"/>
  <c r="N1661" i="1"/>
  <c r="M1661" i="1"/>
  <c r="F1661" i="1"/>
  <c r="P1661" i="1" s="1"/>
  <c r="C1661" i="1"/>
  <c r="A1661" i="1"/>
  <c r="O1660" i="1"/>
  <c r="N1660" i="1"/>
  <c r="M1660" i="1"/>
  <c r="F1660" i="1"/>
  <c r="P1660" i="1" s="1"/>
  <c r="C1660" i="1"/>
  <c r="A1660" i="1"/>
  <c r="P1659" i="1"/>
  <c r="O1659" i="1"/>
  <c r="N1659" i="1"/>
  <c r="M1659" i="1"/>
  <c r="F1659" i="1"/>
  <c r="C1659" i="1"/>
  <c r="A1659" i="1"/>
  <c r="O1658" i="1"/>
  <c r="N1658" i="1"/>
  <c r="M1658" i="1"/>
  <c r="F1658" i="1"/>
  <c r="C1658" i="1"/>
  <c r="A1658" i="1"/>
  <c r="O1657" i="1"/>
  <c r="N1657" i="1"/>
  <c r="M1657" i="1"/>
  <c r="F1657" i="1"/>
  <c r="P1657" i="1" s="1"/>
  <c r="C1657" i="1"/>
  <c r="A1657" i="1"/>
  <c r="P1656" i="1"/>
  <c r="O1656" i="1"/>
  <c r="N1656" i="1"/>
  <c r="M1656" i="1"/>
  <c r="F1656" i="1"/>
  <c r="C1656" i="1"/>
  <c r="A1656" i="1"/>
  <c r="P1655" i="1"/>
  <c r="O1655" i="1"/>
  <c r="N1655" i="1"/>
  <c r="M1655" i="1"/>
  <c r="F1655" i="1"/>
  <c r="C1655" i="1"/>
  <c r="A1655" i="1"/>
  <c r="O1654" i="1"/>
  <c r="N1654" i="1"/>
  <c r="M1654" i="1"/>
  <c r="F1654" i="1"/>
  <c r="P1654" i="1" s="1"/>
  <c r="C1654" i="1"/>
  <c r="A1654" i="1"/>
  <c r="O1653" i="1"/>
  <c r="N1653" i="1"/>
  <c r="M1653" i="1"/>
  <c r="F1653" i="1"/>
  <c r="P1653" i="1" s="1"/>
  <c r="C1653" i="1"/>
  <c r="A1653" i="1"/>
  <c r="O1652" i="1"/>
  <c r="N1652" i="1"/>
  <c r="M1652" i="1"/>
  <c r="F1652" i="1"/>
  <c r="P1652" i="1" s="1"/>
  <c r="C1652" i="1"/>
  <c r="A1652" i="1"/>
  <c r="O1651" i="1"/>
  <c r="N1651" i="1"/>
  <c r="M1651" i="1"/>
  <c r="F1651" i="1"/>
  <c r="P1651" i="1" s="1"/>
  <c r="C1651" i="1"/>
  <c r="A1651" i="1"/>
  <c r="O1650" i="1"/>
  <c r="N1650" i="1"/>
  <c r="M1650" i="1"/>
  <c r="F1650" i="1"/>
  <c r="P1650" i="1" s="1"/>
  <c r="C1650" i="1"/>
  <c r="A1650" i="1"/>
  <c r="P1649" i="1"/>
  <c r="O1649" i="1"/>
  <c r="N1649" i="1"/>
  <c r="M1649" i="1"/>
  <c r="F1649" i="1"/>
  <c r="C1649" i="1"/>
  <c r="A1649" i="1"/>
  <c r="O1648" i="1"/>
  <c r="N1648" i="1"/>
  <c r="M1648" i="1"/>
  <c r="F1648" i="1"/>
  <c r="P1648" i="1" s="1"/>
  <c r="C1648" i="1"/>
  <c r="A1648" i="1"/>
  <c r="O1647" i="1"/>
  <c r="N1647" i="1"/>
  <c r="M1647" i="1"/>
  <c r="F1647" i="1"/>
  <c r="P1647" i="1" s="1"/>
  <c r="C1647" i="1"/>
  <c r="A1647" i="1"/>
  <c r="O1646" i="1"/>
  <c r="N1646" i="1"/>
  <c r="M1646" i="1"/>
  <c r="F1646" i="1"/>
  <c r="P1646" i="1" s="1"/>
  <c r="C1646" i="1"/>
  <c r="A1646" i="1"/>
  <c r="P1645" i="1"/>
  <c r="O1645" i="1"/>
  <c r="N1645" i="1"/>
  <c r="M1645" i="1"/>
  <c r="F1645" i="1"/>
  <c r="C1645" i="1"/>
  <c r="A1645" i="1"/>
  <c r="P1644" i="1"/>
  <c r="O1644" i="1"/>
  <c r="N1644" i="1"/>
  <c r="M1644" i="1"/>
  <c r="F1644" i="1"/>
  <c r="C1644" i="1"/>
  <c r="A1644" i="1"/>
  <c r="O1643" i="1"/>
  <c r="N1643" i="1"/>
  <c r="M1643" i="1"/>
  <c r="F1643" i="1"/>
  <c r="P1643" i="1" s="1"/>
  <c r="C1643" i="1"/>
  <c r="A1643" i="1"/>
  <c r="O1642" i="1"/>
  <c r="N1642" i="1"/>
  <c r="M1642" i="1"/>
  <c r="F1642" i="1"/>
  <c r="P1642" i="1" s="1"/>
  <c r="C1642" i="1"/>
  <c r="A1642" i="1"/>
  <c r="P1641" i="1"/>
  <c r="O1641" i="1"/>
  <c r="N1641" i="1"/>
  <c r="M1641" i="1"/>
  <c r="F1641" i="1"/>
  <c r="C1641" i="1"/>
  <c r="A1641" i="1"/>
  <c r="O1640" i="1"/>
  <c r="N1640" i="1"/>
  <c r="M1640" i="1"/>
  <c r="F1640" i="1"/>
  <c r="P1640" i="1" s="1"/>
  <c r="C1640" i="1"/>
  <c r="A1640" i="1"/>
  <c r="O1639" i="1"/>
  <c r="N1639" i="1"/>
  <c r="M1639" i="1"/>
  <c r="F1639" i="1"/>
  <c r="P1639" i="1" s="1"/>
  <c r="C1639" i="1"/>
  <c r="A1639" i="1"/>
  <c r="O1638" i="1"/>
  <c r="N1638" i="1"/>
  <c r="M1638" i="1"/>
  <c r="F1638" i="1"/>
  <c r="P1638" i="1" s="1"/>
  <c r="C1638" i="1"/>
  <c r="A1638" i="1"/>
  <c r="O1637" i="1"/>
  <c r="N1637" i="1"/>
  <c r="M1637" i="1"/>
  <c r="F1637" i="1"/>
  <c r="P1637" i="1" s="1"/>
  <c r="C1637" i="1"/>
  <c r="A1637" i="1"/>
  <c r="O1636" i="1"/>
  <c r="N1636" i="1"/>
  <c r="M1636" i="1"/>
  <c r="F1636" i="1"/>
  <c r="P1636" i="1" s="1"/>
  <c r="C1636" i="1"/>
  <c r="A1636" i="1"/>
  <c r="O1635" i="1"/>
  <c r="N1635" i="1"/>
  <c r="M1635" i="1"/>
  <c r="F1635" i="1"/>
  <c r="P1635" i="1" s="1"/>
  <c r="C1635" i="1"/>
  <c r="A1635" i="1"/>
  <c r="P1634" i="1"/>
  <c r="O1634" i="1"/>
  <c r="N1634" i="1"/>
  <c r="M1634" i="1"/>
  <c r="F1634" i="1"/>
  <c r="C1634" i="1"/>
  <c r="A1634" i="1"/>
  <c r="O1633" i="1"/>
  <c r="N1633" i="1"/>
  <c r="M1633" i="1"/>
  <c r="F1633" i="1"/>
  <c r="C1633" i="1"/>
  <c r="A1633" i="1"/>
  <c r="O1632" i="1"/>
  <c r="N1632" i="1"/>
  <c r="M1632" i="1"/>
  <c r="F1632" i="1"/>
  <c r="P1632" i="1" s="1"/>
  <c r="C1632" i="1"/>
  <c r="A1632" i="1"/>
  <c r="P1631" i="1"/>
  <c r="O1631" i="1"/>
  <c r="N1631" i="1"/>
  <c r="M1631" i="1"/>
  <c r="F1631" i="1"/>
  <c r="C1631" i="1"/>
  <c r="A1631" i="1"/>
  <c r="P1630" i="1"/>
  <c r="O1630" i="1"/>
  <c r="N1630" i="1"/>
  <c r="M1630" i="1"/>
  <c r="F1630" i="1"/>
  <c r="C1630" i="1"/>
  <c r="A1630" i="1"/>
  <c r="O1629" i="1"/>
  <c r="N1629" i="1"/>
  <c r="M1629" i="1"/>
  <c r="F1629" i="1"/>
  <c r="P1629" i="1" s="1"/>
  <c r="C1629" i="1"/>
  <c r="A1629" i="1"/>
  <c r="O1628" i="1"/>
  <c r="N1628" i="1"/>
  <c r="M1628" i="1"/>
  <c r="F1628" i="1"/>
  <c r="P1628" i="1" s="1"/>
  <c r="C1628" i="1"/>
  <c r="A1628" i="1"/>
  <c r="O1627" i="1"/>
  <c r="N1627" i="1"/>
  <c r="M1627" i="1"/>
  <c r="F1627" i="1"/>
  <c r="P1627" i="1" s="1"/>
  <c r="C1627" i="1"/>
  <c r="A1627" i="1"/>
  <c r="O1626" i="1"/>
  <c r="N1626" i="1"/>
  <c r="M1626" i="1"/>
  <c r="F1626" i="1"/>
  <c r="P1626" i="1" s="1"/>
  <c r="C1626" i="1"/>
  <c r="A1626" i="1"/>
  <c r="O1625" i="1"/>
  <c r="N1625" i="1"/>
  <c r="M1625" i="1"/>
  <c r="F1625" i="1"/>
  <c r="P1625" i="1" s="1"/>
  <c r="C1625" i="1"/>
  <c r="A1625" i="1"/>
  <c r="P1624" i="1"/>
  <c r="O1624" i="1"/>
  <c r="N1624" i="1"/>
  <c r="M1624" i="1"/>
  <c r="F1624" i="1"/>
  <c r="C1624" i="1"/>
  <c r="A1624" i="1"/>
  <c r="O1623" i="1"/>
  <c r="N1623" i="1"/>
  <c r="M1623" i="1"/>
  <c r="F1623" i="1"/>
  <c r="P1623" i="1" s="1"/>
  <c r="C1623" i="1"/>
  <c r="A1623" i="1"/>
  <c r="O1622" i="1"/>
  <c r="N1622" i="1"/>
  <c r="M1622" i="1"/>
  <c r="F1622" i="1"/>
  <c r="P1622" i="1" s="1"/>
  <c r="C1622" i="1"/>
  <c r="A1622" i="1"/>
  <c r="O1621" i="1"/>
  <c r="N1621" i="1"/>
  <c r="M1621" i="1"/>
  <c r="F1621" i="1"/>
  <c r="P1621" i="1" s="1"/>
  <c r="C1621" i="1"/>
  <c r="A1621" i="1"/>
  <c r="P1620" i="1"/>
  <c r="O1620" i="1"/>
  <c r="N1620" i="1"/>
  <c r="M1620" i="1"/>
  <c r="F1620" i="1"/>
  <c r="C1620" i="1"/>
  <c r="A1620" i="1"/>
  <c r="P1619" i="1"/>
  <c r="O1619" i="1"/>
  <c r="N1619" i="1"/>
  <c r="M1619" i="1"/>
  <c r="F1619" i="1"/>
  <c r="C1619" i="1"/>
  <c r="A1619" i="1"/>
  <c r="O1618" i="1"/>
  <c r="N1618" i="1"/>
  <c r="M1618" i="1"/>
  <c r="F1618" i="1"/>
  <c r="P1618" i="1" s="1"/>
  <c r="C1618" i="1"/>
  <c r="A1618" i="1"/>
  <c r="O1617" i="1"/>
  <c r="N1617" i="1"/>
  <c r="M1617" i="1"/>
  <c r="F1617" i="1"/>
  <c r="P1617" i="1" s="1"/>
  <c r="C1617" i="1"/>
  <c r="A1617" i="1"/>
  <c r="P1616" i="1"/>
  <c r="O1616" i="1"/>
  <c r="N1616" i="1"/>
  <c r="M1616" i="1"/>
  <c r="F1616" i="1"/>
  <c r="C1616" i="1"/>
  <c r="A1616" i="1"/>
  <c r="O1615" i="1"/>
  <c r="N1615" i="1"/>
  <c r="M1615" i="1"/>
  <c r="F1615" i="1"/>
  <c r="P1615" i="1" s="1"/>
  <c r="C1615" i="1"/>
  <c r="A1615" i="1"/>
  <c r="O1614" i="1"/>
  <c r="N1614" i="1"/>
  <c r="M1614" i="1"/>
  <c r="F1614" i="1"/>
  <c r="P1614" i="1" s="1"/>
  <c r="C1614" i="1"/>
  <c r="A1614" i="1"/>
  <c r="O1613" i="1"/>
  <c r="N1613" i="1"/>
  <c r="M1613" i="1"/>
  <c r="F1613" i="1"/>
  <c r="P1613" i="1" s="1"/>
  <c r="C1613" i="1"/>
  <c r="A1613" i="1"/>
  <c r="O1612" i="1"/>
  <c r="N1612" i="1"/>
  <c r="M1612" i="1"/>
  <c r="F1612" i="1"/>
  <c r="P1612" i="1" s="1"/>
  <c r="C1612" i="1"/>
  <c r="A1612" i="1"/>
  <c r="O1611" i="1"/>
  <c r="N1611" i="1"/>
  <c r="M1611" i="1"/>
  <c r="F1611" i="1"/>
  <c r="P1611" i="1" s="1"/>
  <c r="C1611" i="1"/>
  <c r="A1611" i="1"/>
  <c r="O1610" i="1"/>
  <c r="N1610" i="1"/>
  <c r="M1610" i="1"/>
  <c r="F1610" i="1"/>
  <c r="P1610" i="1" s="1"/>
  <c r="C1610" i="1"/>
  <c r="A1610" i="1"/>
  <c r="P1609" i="1"/>
  <c r="O1609" i="1"/>
  <c r="N1609" i="1"/>
  <c r="M1609" i="1"/>
  <c r="F1609" i="1"/>
  <c r="C1609" i="1"/>
  <c r="A1609" i="1"/>
  <c r="P1608" i="1"/>
  <c r="O1608" i="1"/>
  <c r="N1608" i="1"/>
  <c r="M1608" i="1"/>
  <c r="F1608" i="1"/>
  <c r="C1608" i="1"/>
  <c r="A1608" i="1"/>
  <c r="O1607" i="1"/>
  <c r="N1607" i="1"/>
  <c r="M1607" i="1"/>
  <c r="F1607" i="1"/>
  <c r="P1607" i="1" s="1"/>
  <c r="C1607" i="1"/>
  <c r="A1607" i="1"/>
  <c r="O1606" i="1"/>
  <c r="N1606" i="1"/>
  <c r="M1606" i="1"/>
  <c r="F1606" i="1"/>
  <c r="P1606" i="1" s="1"/>
  <c r="C1606" i="1"/>
  <c r="A1606" i="1"/>
  <c r="P1605" i="1"/>
  <c r="O1605" i="1"/>
  <c r="N1605" i="1"/>
  <c r="M1605" i="1"/>
  <c r="F1605" i="1"/>
  <c r="C1605" i="1"/>
  <c r="A1605" i="1"/>
  <c r="P1604" i="1"/>
  <c r="O1604" i="1"/>
  <c r="N1604" i="1"/>
  <c r="M1604" i="1"/>
  <c r="F1604" i="1"/>
  <c r="C1604" i="1"/>
  <c r="A1604" i="1"/>
  <c r="O1603" i="1"/>
  <c r="N1603" i="1"/>
  <c r="M1603" i="1"/>
  <c r="F1603" i="1"/>
  <c r="C1603" i="1"/>
  <c r="A1603" i="1"/>
  <c r="O1602" i="1"/>
  <c r="N1602" i="1"/>
  <c r="M1602" i="1"/>
  <c r="F1602" i="1"/>
  <c r="P1602" i="1" s="1"/>
  <c r="C1602" i="1"/>
  <c r="A1602" i="1"/>
  <c r="P1601" i="1"/>
  <c r="O1601" i="1"/>
  <c r="N1601" i="1"/>
  <c r="M1601" i="1"/>
  <c r="F1601" i="1"/>
  <c r="C1601" i="1"/>
  <c r="A1601" i="1"/>
  <c r="P1600" i="1"/>
  <c r="O1600" i="1"/>
  <c r="N1600" i="1"/>
  <c r="M1600" i="1"/>
  <c r="F1600" i="1"/>
  <c r="C1600" i="1"/>
  <c r="A1600" i="1"/>
  <c r="O1599" i="1"/>
  <c r="N1599" i="1"/>
  <c r="M1599" i="1"/>
  <c r="F1599" i="1"/>
  <c r="C1599" i="1"/>
  <c r="A1599" i="1"/>
  <c r="O1598" i="1"/>
  <c r="N1598" i="1"/>
  <c r="M1598" i="1"/>
  <c r="F1598" i="1"/>
  <c r="P1598" i="1" s="1"/>
  <c r="C1598" i="1"/>
  <c r="A1598" i="1"/>
  <c r="O1597" i="1"/>
  <c r="N1597" i="1"/>
  <c r="M1597" i="1"/>
  <c r="F1597" i="1"/>
  <c r="P1597" i="1" s="1"/>
  <c r="C1597" i="1"/>
  <c r="A1597" i="1"/>
  <c r="P1596" i="1"/>
  <c r="O1596" i="1"/>
  <c r="N1596" i="1"/>
  <c r="M1596" i="1"/>
  <c r="F1596" i="1"/>
  <c r="C1596" i="1"/>
  <c r="A1596" i="1"/>
  <c r="O1595" i="1"/>
  <c r="N1595" i="1"/>
  <c r="M1595" i="1"/>
  <c r="F1595" i="1"/>
  <c r="P1595" i="1" s="1"/>
  <c r="C1595" i="1"/>
  <c r="A1595" i="1"/>
  <c r="O1594" i="1"/>
  <c r="N1594" i="1"/>
  <c r="M1594" i="1"/>
  <c r="F1594" i="1"/>
  <c r="P1594" i="1" s="1"/>
  <c r="C1594" i="1"/>
  <c r="A1594" i="1"/>
  <c r="O1593" i="1"/>
  <c r="N1593" i="1"/>
  <c r="M1593" i="1"/>
  <c r="F1593" i="1"/>
  <c r="P1593" i="1" s="1"/>
  <c r="C1593" i="1"/>
  <c r="A1593" i="1"/>
  <c r="O1592" i="1"/>
  <c r="N1592" i="1"/>
  <c r="M1592" i="1"/>
  <c r="F1592" i="1"/>
  <c r="P1592" i="1" s="1"/>
  <c r="C1592" i="1"/>
  <c r="A1592" i="1"/>
  <c r="P1591" i="1"/>
  <c r="O1591" i="1"/>
  <c r="N1591" i="1"/>
  <c r="M1591" i="1"/>
  <c r="F1591" i="1"/>
  <c r="C1591" i="1"/>
  <c r="A1591" i="1"/>
  <c r="O1590" i="1"/>
  <c r="N1590" i="1"/>
  <c r="M1590" i="1"/>
  <c r="F1590" i="1"/>
  <c r="P1590" i="1" s="1"/>
  <c r="C1590" i="1"/>
  <c r="A1590" i="1"/>
  <c r="O1589" i="1"/>
  <c r="N1589" i="1"/>
  <c r="M1589" i="1"/>
  <c r="F1589" i="1"/>
  <c r="P1589" i="1" s="1"/>
  <c r="C1589" i="1"/>
  <c r="A1589" i="1"/>
  <c r="P1588" i="1"/>
  <c r="O1588" i="1"/>
  <c r="N1588" i="1"/>
  <c r="M1588" i="1"/>
  <c r="F1588" i="1"/>
  <c r="C1588" i="1"/>
  <c r="A1588" i="1"/>
  <c r="O1587" i="1"/>
  <c r="N1587" i="1"/>
  <c r="M1587" i="1"/>
  <c r="F1587" i="1"/>
  <c r="P1587" i="1" s="1"/>
  <c r="C1587" i="1"/>
  <c r="A1587" i="1"/>
  <c r="O1586" i="1"/>
  <c r="N1586" i="1"/>
  <c r="M1586" i="1"/>
  <c r="F1586" i="1"/>
  <c r="P1586" i="1" s="1"/>
  <c r="C1586" i="1"/>
  <c r="A1586" i="1"/>
  <c r="O1585" i="1"/>
  <c r="N1585" i="1"/>
  <c r="M1585" i="1"/>
  <c r="F1585" i="1"/>
  <c r="P1585" i="1" s="1"/>
  <c r="C1585" i="1"/>
  <c r="A1585" i="1"/>
  <c r="P1584" i="1"/>
  <c r="O1584" i="1"/>
  <c r="N1584" i="1"/>
  <c r="M1584" i="1"/>
  <c r="F1584" i="1"/>
  <c r="C1584" i="1"/>
  <c r="A1584" i="1"/>
  <c r="P1583" i="1"/>
  <c r="O1583" i="1"/>
  <c r="N1583" i="1"/>
  <c r="M1583" i="1"/>
  <c r="F1583" i="1"/>
  <c r="C1583" i="1"/>
  <c r="A1583" i="1"/>
  <c r="O1582" i="1"/>
  <c r="N1582" i="1"/>
  <c r="M1582" i="1"/>
  <c r="F1582" i="1"/>
  <c r="P1582" i="1" s="1"/>
  <c r="C1582" i="1"/>
  <c r="A1582" i="1"/>
  <c r="O1581" i="1"/>
  <c r="N1581" i="1"/>
  <c r="M1581" i="1"/>
  <c r="F1581" i="1"/>
  <c r="P1581" i="1" s="1"/>
  <c r="C1581" i="1"/>
  <c r="A1581" i="1"/>
  <c r="P1580" i="1"/>
  <c r="O1580" i="1"/>
  <c r="N1580" i="1"/>
  <c r="M1580" i="1"/>
  <c r="F1580" i="1"/>
  <c r="C1580" i="1"/>
  <c r="A1580" i="1"/>
  <c r="P1579" i="1"/>
  <c r="O1579" i="1"/>
  <c r="N1579" i="1"/>
  <c r="M1579" i="1"/>
  <c r="F1579" i="1"/>
  <c r="C1579" i="1"/>
  <c r="A1579" i="1"/>
  <c r="O1578" i="1"/>
  <c r="N1578" i="1"/>
  <c r="M1578" i="1"/>
  <c r="F1578" i="1"/>
  <c r="P1578" i="1" s="1"/>
  <c r="C1578" i="1"/>
  <c r="A1578" i="1"/>
  <c r="O1577" i="1"/>
  <c r="N1577" i="1"/>
  <c r="M1577" i="1"/>
  <c r="F1577" i="1"/>
  <c r="P1577" i="1" s="1"/>
  <c r="C1577" i="1"/>
  <c r="A1577" i="1"/>
  <c r="P1576" i="1"/>
  <c r="O1576" i="1"/>
  <c r="N1576" i="1"/>
  <c r="M1576" i="1"/>
  <c r="F1576" i="1"/>
  <c r="C1576" i="1"/>
  <c r="A1576" i="1"/>
  <c r="P1575" i="1"/>
  <c r="O1575" i="1"/>
  <c r="N1575" i="1"/>
  <c r="M1575" i="1"/>
  <c r="F1575" i="1"/>
  <c r="C1575" i="1"/>
  <c r="A1575" i="1"/>
  <c r="O1574" i="1"/>
  <c r="N1574" i="1"/>
  <c r="M1574" i="1"/>
  <c r="F1574" i="1"/>
  <c r="P1574" i="1" s="1"/>
  <c r="C1574" i="1"/>
  <c r="A1574" i="1"/>
  <c r="O1573" i="1"/>
  <c r="N1573" i="1"/>
  <c r="M1573" i="1"/>
  <c r="F1573" i="1"/>
  <c r="P1573" i="1" s="1"/>
  <c r="C1573" i="1"/>
  <c r="A1573" i="1"/>
  <c r="O1572" i="1"/>
  <c r="N1572" i="1"/>
  <c r="M1572" i="1"/>
  <c r="F1572" i="1"/>
  <c r="P1572" i="1" s="1"/>
  <c r="C1572" i="1"/>
  <c r="A1572" i="1"/>
  <c r="P1571" i="1"/>
  <c r="O1571" i="1"/>
  <c r="N1571" i="1"/>
  <c r="M1571" i="1"/>
  <c r="F1571" i="1"/>
  <c r="C1571" i="1"/>
  <c r="A1571" i="1"/>
  <c r="O1570" i="1"/>
  <c r="N1570" i="1"/>
  <c r="M1570" i="1"/>
  <c r="F1570" i="1"/>
  <c r="P1570" i="1" s="1"/>
  <c r="C1570" i="1"/>
  <c r="A1570" i="1"/>
  <c r="O1569" i="1"/>
  <c r="N1569" i="1"/>
  <c r="M1569" i="1"/>
  <c r="F1569" i="1"/>
  <c r="P1569" i="1" s="1"/>
  <c r="C1569" i="1"/>
  <c r="A1569" i="1"/>
  <c r="O1568" i="1"/>
  <c r="N1568" i="1"/>
  <c r="M1568" i="1"/>
  <c r="F1568" i="1"/>
  <c r="P1568" i="1" s="1"/>
  <c r="C1568" i="1"/>
  <c r="A1568" i="1"/>
  <c r="O1567" i="1"/>
  <c r="N1567" i="1"/>
  <c r="M1567" i="1"/>
  <c r="F1567" i="1"/>
  <c r="P1567" i="1" s="1"/>
  <c r="C1567" i="1"/>
  <c r="A1567" i="1"/>
  <c r="P1566" i="1"/>
  <c r="O1566" i="1"/>
  <c r="N1566" i="1"/>
  <c r="M1566" i="1"/>
  <c r="F1566" i="1"/>
  <c r="C1566" i="1"/>
  <c r="A1566" i="1"/>
  <c r="O1565" i="1"/>
  <c r="N1565" i="1"/>
  <c r="M1565" i="1"/>
  <c r="F1565" i="1"/>
  <c r="P1565" i="1" s="1"/>
  <c r="C1565" i="1"/>
  <c r="A1565" i="1"/>
  <c r="O1564" i="1"/>
  <c r="N1564" i="1"/>
  <c r="M1564" i="1"/>
  <c r="F1564" i="1"/>
  <c r="P1564" i="1" s="1"/>
  <c r="C1564" i="1"/>
  <c r="A1564" i="1"/>
  <c r="P1563" i="1"/>
  <c r="O1563" i="1"/>
  <c r="N1563" i="1"/>
  <c r="M1563" i="1"/>
  <c r="F1563" i="1"/>
  <c r="C1563" i="1"/>
  <c r="A1563" i="1"/>
  <c r="P1562" i="1"/>
  <c r="O1562" i="1"/>
  <c r="N1562" i="1"/>
  <c r="M1562" i="1"/>
  <c r="F1562" i="1"/>
  <c r="C1562" i="1"/>
  <c r="A1562" i="1"/>
  <c r="P1561" i="1"/>
  <c r="O1561" i="1"/>
  <c r="N1561" i="1"/>
  <c r="M1561" i="1"/>
  <c r="F1561" i="1"/>
  <c r="C1561" i="1"/>
  <c r="A1561" i="1"/>
  <c r="O1560" i="1"/>
  <c r="N1560" i="1"/>
  <c r="M1560" i="1"/>
  <c r="F1560" i="1"/>
  <c r="C1560" i="1"/>
  <c r="A1560" i="1"/>
  <c r="O1559" i="1"/>
  <c r="N1559" i="1"/>
  <c r="M1559" i="1"/>
  <c r="F1559" i="1"/>
  <c r="P1559" i="1" s="1"/>
  <c r="C1559" i="1"/>
  <c r="A1559" i="1"/>
  <c r="P1558" i="1"/>
  <c r="O1558" i="1"/>
  <c r="N1558" i="1"/>
  <c r="M1558" i="1"/>
  <c r="F1558" i="1"/>
  <c r="C1558" i="1"/>
  <c r="A1558" i="1"/>
  <c r="P1557" i="1"/>
  <c r="O1557" i="1"/>
  <c r="N1557" i="1"/>
  <c r="M1557" i="1"/>
  <c r="F1557" i="1"/>
  <c r="C1557" i="1"/>
  <c r="A1557" i="1"/>
  <c r="P1556" i="1"/>
  <c r="O1556" i="1"/>
  <c r="N1556" i="1"/>
  <c r="M1556" i="1"/>
  <c r="F1556" i="1"/>
  <c r="C1556" i="1"/>
  <c r="A1556" i="1"/>
  <c r="O1555" i="1"/>
  <c r="N1555" i="1"/>
  <c r="M1555" i="1"/>
  <c r="F1555" i="1"/>
  <c r="P1555" i="1" s="1"/>
  <c r="C1555" i="1"/>
  <c r="A1555" i="1"/>
  <c r="O1554" i="1"/>
  <c r="N1554" i="1"/>
  <c r="M1554" i="1"/>
  <c r="F1554" i="1"/>
  <c r="P1554" i="1" s="1"/>
  <c r="C1554" i="1"/>
  <c r="A1554" i="1"/>
  <c r="P1553" i="1"/>
  <c r="O1553" i="1"/>
  <c r="N1553" i="1"/>
  <c r="M1553" i="1"/>
  <c r="F1553" i="1"/>
  <c r="C1553" i="1"/>
  <c r="A1553" i="1"/>
  <c r="P1552" i="1"/>
  <c r="O1552" i="1"/>
  <c r="N1552" i="1"/>
  <c r="M1552" i="1"/>
  <c r="F1552" i="1"/>
  <c r="C1552" i="1"/>
  <c r="A1552" i="1"/>
  <c r="P1551" i="1"/>
  <c r="O1551" i="1"/>
  <c r="N1551" i="1"/>
  <c r="M1551" i="1"/>
  <c r="F1551" i="1"/>
  <c r="C1551" i="1"/>
  <c r="A1551" i="1"/>
  <c r="O1550" i="1"/>
  <c r="N1550" i="1"/>
  <c r="M1550" i="1"/>
  <c r="F1550" i="1"/>
  <c r="C1550" i="1"/>
  <c r="A1550" i="1"/>
  <c r="O1549" i="1"/>
  <c r="N1549" i="1"/>
  <c r="M1549" i="1"/>
  <c r="F1549" i="1"/>
  <c r="P1549" i="1" s="1"/>
  <c r="C1549" i="1"/>
  <c r="A1549" i="1"/>
  <c r="P1548" i="1"/>
  <c r="O1548" i="1"/>
  <c r="N1548" i="1"/>
  <c r="M1548" i="1"/>
  <c r="F1548" i="1"/>
  <c r="C1548" i="1"/>
  <c r="A1548" i="1"/>
  <c r="P1547" i="1"/>
  <c r="O1547" i="1"/>
  <c r="N1547" i="1"/>
  <c r="M1547" i="1"/>
  <c r="F1547" i="1"/>
  <c r="C1547" i="1"/>
  <c r="A1547" i="1"/>
  <c r="P1546" i="1"/>
  <c r="O1546" i="1"/>
  <c r="N1546" i="1"/>
  <c r="M1546" i="1"/>
  <c r="F1546" i="1"/>
  <c r="C1546" i="1"/>
  <c r="A1546" i="1"/>
  <c r="O1545" i="1"/>
  <c r="N1545" i="1"/>
  <c r="M1545" i="1"/>
  <c r="F1545" i="1"/>
  <c r="P1545" i="1" s="1"/>
  <c r="C1545" i="1"/>
  <c r="A1545" i="1"/>
  <c r="O1544" i="1"/>
  <c r="N1544" i="1"/>
  <c r="M1544" i="1"/>
  <c r="F1544" i="1"/>
  <c r="P1544" i="1" s="1"/>
  <c r="C1544" i="1"/>
  <c r="A1544" i="1"/>
  <c r="P1543" i="1"/>
  <c r="O1543" i="1"/>
  <c r="N1543" i="1"/>
  <c r="M1543" i="1"/>
  <c r="F1543" i="1"/>
  <c r="C1543" i="1"/>
  <c r="A1543" i="1"/>
  <c r="P1542" i="1"/>
  <c r="O1542" i="1"/>
  <c r="N1542" i="1"/>
  <c r="M1542" i="1"/>
  <c r="F1542" i="1"/>
  <c r="C1542" i="1"/>
  <c r="A1542" i="1"/>
  <c r="P1541" i="1"/>
  <c r="O1541" i="1"/>
  <c r="N1541" i="1"/>
  <c r="M1541" i="1"/>
  <c r="F1541" i="1"/>
  <c r="C1541" i="1"/>
  <c r="A1541" i="1"/>
  <c r="O1540" i="1"/>
  <c r="N1540" i="1"/>
  <c r="M1540" i="1"/>
  <c r="F1540" i="1"/>
  <c r="C1540" i="1"/>
  <c r="A1540" i="1"/>
  <c r="O1539" i="1"/>
  <c r="N1539" i="1"/>
  <c r="M1539" i="1"/>
  <c r="F1539" i="1"/>
  <c r="P1539" i="1" s="1"/>
  <c r="C1539" i="1"/>
  <c r="A1539" i="1"/>
  <c r="P1538" i="1"/>
  <c r="O1538" i="1"/>
  <c r="N1538" i="1"/>
  <c r="M1538" i="1"/>
  <c r="F1538" i="1"/>
  <c r="C1538" i="1"/>
  <c r="A1538" i="1"/>
  <c r="P1537" i="1"/>
  <c r="O1537" i="1"/>
  <c r="N1537" i="1"/>
  <c r="M1537" i="1"/>
  <c r="F1537" i="1"/>
  <c r="C1537" i="1"/>
  <c r="A1537" i="1"/>
  <c r="P1536" i="1"/>
  <c r="O1536" i="1"/>
  <c r="N1536" i="1"/>
  <c r="M1536" i="1"/>
  <c r="F1536" i="1"/>
  <c r="C1536" i="1"/>
  <c r="A1536" i="1"/>
  <c r="O1535" i="1"/>
  <c r="N1535" i="1"/>
  <c r="M1535" i="1"/>
  <c r="F1535" i="1"/>
  <c r="P1535" i="1" s="1"/>
  <c r="C1535" i="1"/>
  <c r="A1535" i="1"/>
  <c r="O1534" i="1"/>
  <c r="N1534" i="1"/>
  <c r="M1534" i="1"/>
  <c r="F1534" i="1"/>
  <c r="C1534" i="1"/>
  <c r="A1534" i="1"/>
  <c r="O1533" i="1"/>
  <c r="N1533" i="1"/>
  <c r="M1533" i="1"/>
  <c r="F1533" i="1"/>
  <c r="P1533" i="1" s="1"/>
  <c r="C1533" i="1"/>
  <c r="A1533" i="1"/>
  <c r="P1532" i="1"/>
  <c r="O1532" i="1"/>
  <c r="N1532" i="1"/>
  <c r="M1532" i="1"/>
  <c r="F1532" i="1"/>
  <c r="C1532" i="1"/>
  <c r="A1532" i="1"/>
  <c r="P1531" i="1"/>
  <c r="O1531" i="1"/>
  <c r="N1531" i="1"/>
  <c r="M1531" i="1"/>
  <c r="F1531" i="1"/>
  <c r="C1531" i="1"/>
  <c r="A1531" i="1"/>
  <c r="O1530" i="1"/>
  <c r="N1530" i="1"/>
  <c r="M1530" i="1"/>
  <c r="F1530" i="1"/>
  <c r="P1530" i="1" s="1"/>
  <c r="C1530" i="1"/>
  <c r="A1530" i="1"/>
  <c r="O1529" i="1"/>
  <c r="N1529" i="1"/>
  <c r="M1529" i="1"/>
  <c r="F1529" i="1"/>
  <c r="P1529" i="1" s="1"/>
  <c r="C1529" i="1"/>
  <c r="A1529" i="1"/>
  <c r="P1528" i="1"/>
  <c r="O1528" i="1"/>
  <c r="N1528" i="1"/>
  <c r="M1528" i="1"/>
  <c r="F1528" i="1"/>
  <c r="C1528" i="1"/>
  <c r="A1528" i="1"/>
  <c r="P1527" i="1"/>
  <c r="O1527" i="1"/>
  <c r="N1527" i="1"/>
  <c r="M1527" i="1"/>
  <c r="F1527" i="1"/>
  <c r="C1527" i="1"/>
  <c r="A1527" i="1"/>
  <c r="P1526" i="1"/>
  <c r="O1526" i="1"/>
  <c r="N1526" i="1"/>
  <c r="M1526" i="1"/>
  <c r="F1526" i="1"/>
  <c r="C1526" i="1"/>
  <c r="A1526" i="1"/>
  <c r="O1525" i="1"/>
  <c r="N1525" i="1"/>
  <c r="M1525" i="1"/>
  <c r="F1525" i="1"/>
  <c r="P1525" i="1" s="1"/>
  <c r="C1525" i="1"/>
  <c r="A1525" i="1"/>
  <c r="O1524" i="1"/>
  <c r="N1524" i="1"/>
  <c r="M1524" i="1"/>
  <c r="F1524" i="1"/>
  <c r="P1524" i="1" s="1"/>
  <c r="C1524" i="1"/>
  <c r="A1524" i="1"/>
  <c r="O1523" i="1"/>
  <c r="N1523" i="1"/>
  <c r="M1523" i="1"/>
  <c r="F1523" i="1"/>
  <c r="P1523" i="1" s="1"/>
  <c r="C1523" i="1"/>
  <c r="A1523" i="1"/>
  <c r="P1522" i="1"/>
  <c r="O1522" i="1"/>
  <c r="N1522" i="1"/>
  <c r="M1522" i="1"/>
  <c r="F1522" i="1"/>
  <c r="C1522" i="1"/>
  <c r="A1522" i="1"/>
  <c r="P1521" i="1"/>
  <c r="O1521" i="1"/>
  <c r="N1521" i="1"/>
  <c r="M1521" i="1"/>
  <c r="F1521" i="1"/>
  <c r="C1521" i="1"/>
  <c r="A1521" i="1"/>
  <c r="O1520" i="1"/>
  <c r="N1520" i="1"/>
  <c r="M1520" i="1"/>
  <c r="F1520" i="1"/>
  <c r="P1520" i="1" s="1"/>
  <c r="C1520" i="1"/>
  <c r="A1520" i="1"/>
  <c r="O1519" i="1"/>
  <c r="N1519" i="1"/>
  <c r="M1519" i="1"/>
  <c r="F1519" i="1"/>
  <c r="P1519" i="1" s="1"/>
  <c r="C1519" i="1"/>
  <c r="A1519" i="1"/>
  <c r="O1518" i="1"/>
  <c r="N1518" i="1"/>
  <c r="M1518" i="1"/>
  <c r="F1518" i="1"/>
  <c r="P1518" i="1" s="1"/>
  <c r="C1518" i="1"/>
  <c r="A1518" i="1"/>
  <c r="P1517" i="1"/>
  <c r="O1517" i="1"/>
  <c r="N1517" i="1"/>
  <c r="M1517" i="1"/>
  <c r="F1517" i="1"/>
  <c r="C1517" i="1"/>
  <c r="A1517" i="1"/>
  <c r="P1516" i="1"/>
  <c r="O1516" i="1"/>
  <c r="N1516" i="1"/>
  <c r="M1516" i="1"/>
  <c r="F1516" i="1"/>
  <c r="C1516" i="1"/>
  <c r="A1516" i="1"/>
  <c r="O1515" i="1"/>
  <c r="N1515" i="1"/>
  <c r="M1515" i="1"/>
  <c r="F1515" i="1"/>
  <c r="C1515" i="1"/>
  <c r="A1515" i="1"/>
  <c r="O1514" i="1"/>
  <c r="N1514" i="1"/>
  <c r="M1514" i="1"/>
  <c r="F1514" i="1"/>
  <c r="P1514" i="1" s="1"/>
  <c r="C1514" i="1"/>
  <c r="A1514" i="1"/>
  <c r="P1513" i="1"/>
  <c r="O1513" i="1"/>
  <c r="N1513" i="1"/>
  <c r="M1513" i="1"/>
  <c r="F1513" i="1"/>
  <c r="C1513" i="1"/>
  <c r="A1513" i="1"/>
  <c r="P1512" i="1"/>
  <c r="O1512" i="1"/>
  <c r="N1512" i="1"/>
  <c r="M1512" i="1"/>
  <c r="F1512" i="1"/>
  <c r="C1512" i="1"/>
  <c r="A1512" i="1"/>
  <c r="P1511" i="1"/>
  <c r="O1511" i="1"/>
  <c r="N1511" i="1"/>
  <c r="M1511" i="1"/>
  <c r="F1511" i="1"/>
  <c r="C1511" i="1"/>
  <c r="A1511" i="1"/>
  <c r="O1510" i="1"/>
  <c r="N1510" i="1"/>
  <c r="M1510" i="1"/>
  <c r="F1510" i="1"/>
  <c r="P1510" i="1" s="1"/>
  <c r="C1510" i="1"/>
  <c r="A1510" i="1"/>
  <c r="O1509" i="1"/>
  <c r="N1509" i="1"/>
  <c r="M1509" i="1"/>
  <c r="F1509" i="1"/>
  <c r="C1509" i="1"/>
  <c r="A1509" i="1"/>
  <c r="O1508" i="1"/>
  <c r="N1508" i="1"/>
  <c r="M1508" i="1"/>
  <c r="F1508" i="1"/>
  <c r="P1508" i="1" s="1"/>
  <c r="C1508" i="1"/>
  <c r="A1508" i="1"/>
  <c r="P1507" i="1"/>
  <c r="O1507" i="1"/>
  <c r="N1507" i="1"/>
  <c r="M1507" i="1"/>
  <c r="F1507" i="1"/>
  <c r="C1507" i="1"/>
  <c r="A1507" i="1"/>
  <c r="P1506" i="1"/>
  <c r="O1506" i="1"/>
  <c r="N1506" i="1"/>
  <c r="M1506" i="1"/>
  <c r="F1506" i="1"/>
  <c r="C1506" i="1"/>
  <c r="A1506" i="1"/>
  <c r="O1505" i="1"/>
  <c r="N1505" i="1"/>
  <c r="M1505" i="1"/>
  <c r="F1505" i="1"/>
  <c r="P1505" i="1" s="1"/>
  <c r="C1505" i="1"/>
  <c r="A1505" i="1"/>
  <c r="O1504" i="1"/>
  <c r="N1504" i="1"/>
  <c r="M1504" i="1"/>
  <c r="F1504" i="1"/>
  <c r="P1504" i="1" s="1"/>
  <c r="C1504" i="1"/>
  <c r="A1504" i="1"/>
  <c r="P1503" i="1"/>
  <c r="O1503" i="1"/>
  <c r="N1503" i="1"/>
  <c r="M1503" i="1"/>
  <c r="F1503" i="1"/>
  <c r="C1503" i="1"/>
  <c r="A1503" i="1"/>
  <c r="P1502" i="1"/>
  <c r="O1502" i="1"/>
  <c r="N1502" i="1"/>
  <c r="M1502" i="1"/>
  <c r="F1502" i="1"/>
  <c r="C1502" i="1"/>
  <c r="A1502" i="1"/>
  <c r="P1501" i="1"/>
  <c r="O1501" i="1"/>
  <c r="N1501" i="1"/>
  <c r="M1501" i="1"/>
  <c r="F1501" i="1"/>
  <c r="C1501" i="1"/>
  <c r="A1501" i="1"/>
  <c r="O1500" i="1"/>
  <c r="N1500" i="1"/>
  <c r="M1500" i="1"/>
  <c r="F1500" i="1"/>
  <c r="P1500" i="1" s="1"/>
  <c r="C1500" i="1"/>
  <c r="A1500" i="1"/>
  <c r="O1499" i="1"/>
  <c r="N1499" i="1"/>
  <c r="M1499" i="1"/>
  <c r="F1499" i="1"/>
  <c r="P1499" i="1" s="1"/>
  <c r="C1499" i="1"/>
  <c r="A1499" i="1"/>
  <c r="O1498" i="1"/>
  <c r="N1498" i="1"/>
  <c r="M1498" i="1"/>
  <c r="F1498" i="1"/>
  <c r="P1498" i="1" s="1"/>
  <c r="C1498" i="1"/>
  <c r="A1498" i="1"/>
  <c r="P1497" i="1"/>
  <c r="O1497" i="1"/>
  <c r="N1497" i="1"/>
  <c r="M1497" i="1"/>
  <c r="F1497" i="1"/>
  <c r="C1497" i="1"/>
  <c r="A1497" i="1"/>
  <c r="P1496" i="1"/>
  <c r="O1496" i="1"/>
  <c r="N1496" i="1"/>
  <c r="M1496" i="1"/>
  <c r="F1496" i="1"/>
  <c r="C1496" i="1"/>
  <c r="A1496" i="1"/>
  <c r="P1495" i="1"/>
  <c r="O1495" i="1"/>
  <c r="N1495" i="1"/>
  <c r="M1495" i="1"/>
  <c r="F1495" i="1"/>
  <c r="C1495" i="1"/>
  <c r="A1495" i="1"/>
  <c r="O1494" i="1"/>
  <c r="N1494" i="1"/>
  <c r="M1494" i="1"/>
  <c r="F1494" i="1"/>
  <c r="P1494" i="1" s="1"/>
  <c r="C1494" i="1"/>
  <c r="A1494" i="1"/>
  <c r="O1493" i="1"/>
  <c r="N1493" i="1"/>
  <c r="M1493" i="1"/>
  <c r="F1493" i="1"/>
  <c r="P1493" i="1" s="1"/>
  <c r="C1493" i="1"/>
  <c r="A1493" i="1"/>
  <c r="O1492" i="1"/>
  <c r="N1492" i="1"/>
  <c r="M1492" i="1"/>
  <c r="F1492" i="1"/>
  <c r="P1492" i="1" s="1"/>
  <c r="C1492" i="1"/>
  <c r="A1492" i="1"/>
  <c r="P1491" i="1"/>
  <c r="O1491" i="1"/>
  <c r="N1491" i="1"/>
  <c r="M1491" i="1"/>
  <c r="F1491" i="1"/>
  <c r="C1491" i="1"/>
  <c r="A1491" i="1"/>
  <c r="P1490" i="1"/>
  <c r="O1490" i="1"/>
  <c r="N1490" i="1"/>
  <c r="M1490" i="1"/>
  <c r="F1490" i="1"/>
  <c r="C1490" i="1"/>
  <c r="A1490" i="1"/>
  <c r="O1489" i="1"/>
  <c r="N1489" i="1"/>
  <c r="M1489" i="1"/>
  <c r="F1489" i="1"/>
  <c r="P1489" i="1" s="1"/>
  <c r="C1489" i="1"/>
  <c r="A1489" i="1"/>
  <c r="O1488" i="1"/>
  <c r="N1488" i="1"/>
  <c r="M1488" i="1"/>
  <c r="F1488" i="1"/>
  <c r="P1488" i="1" s="1"/>
  <c r="C1488" i="1"/>
  <c r="A1488" i="1"/>
  <c r="P1487" i="1"/>
  <c r="O1487" i="1"/>
  <c r="N1487" i="1"/>
  <c r="M1487" i="1"/>
  <c r="F1487" i="1"/>
  <c r="C1487" i="1"/>
  <c r="A1487" i="1"/>
  <c r="P1486" i="1"/>
  <c r="O1486" i="1"/>
  <c r="N1486" i="1"/>
  <c r="M1486" i="1"/>
  <c r="F1486" i="1"/>
  <c r="C1486" i="1"/>
  <c r="A1486" i="1"/>
  <c r="O1485" i="1"/>
  <c r="N1485" i="1"/>
  <c r="M1485" i="1"/>
  <c r="F1485" i="1"/>
  <c r="P1485" i="1" s="1"/>
  <c r="C1485" i="1"/>
  <c r="A1485" i="1"/>
  <c r="O1484" i="1"/>
  <c r="N1484" i="1"/>
  <c r="M1484" i="1"/>
  <c r="F1484" i="1"/>
  <c r="P1484" i="1" s="1"/>
  <c r="C1484" i="1"/>
  <c r="A1484" i="1"/>
  <c r="P1483" i="1"/>
  <c r="O1483" i="1"/>
  <c r="N1483" i="1"/>
  <c r="M1483" i="1"/>
  <c r="F1483" i="1"/>
  <c r="C1483" i="1"/>
  <c r="A1483" i="1"/>
  <c r="P1482" i="1"/>
  <c r="O1482" i="1"/>
  <c r="N1482" i="1"/>
  <c r="M1482" i="1"/>
  <c r="F1482" i="1"/>
  <c r="C1482" i="1"/>
  <c r="A1482" i="1"/>
  <c r="P1481" i="1"/>
  <c r="O1481" i="1"/>
  <c r="N1481" i="1"/>
  <c r="M1481" i="1"/>
  <c r="F1481" i="1"/>
  <c r="C1481" i="1"/>
  <c r="A1481" i="1"/>
  <c r="O1480" i="1"/>
  <c r="N1480" i="1"/>
  <c r="M1480" i="1"/>
  <c r="F1480" i="1"/>
  <c r="C1480" i="1"/>
  <c r="A1480" i="1"/>
  <c r="O1479" i="1"/>
  <c r="N1479" i="1"/>
  <c r="M1479" i="1"/>
  <c r="F1479" i="1"/>
  <c r="P1479" i="1" s="1"/>
  <c r="C1479" i="1"/>
  <c r="A1479" i="1"/>
  <c r="P1478" i="1"/>
  <c r="O1478" i="1"/>
  <c r="N1478" i="1"/>
  <c r="M1478" i="1"/>
  <c r="F1478" i="1"/>
  <c r="C1478" i="1"/>
  <c r="A1478" i="1"/>
  <c r="O1477" i="1"/>
  <c r="N1477" i="1"/>
  <c r="M1477" i="1"/>
  <c r="F1477" i="1"/>
  <c r="P1477" i="1" s="1"/>
  <c r="C1477" i="1"/>
  <c r="A1477" i="1"/>
  <c r="P1476" i="1"/>
  <c r="O1476" i="1"/>
  <c r="N1476" i="1"/>
  <c r="M1476" i="1"/>
  <c r="F1476" i="1"/>
  <c r="C1476" i="1"/>
  <c r="A1476" i="1"/>
  <c r="P1475" i="1"/>
  <c r="O1475" i="1"/>
  <c r="N1475" i="1"/>
  <c r="M1475" i="1"/>
  <c r="F1475" i="1"/>
  <c r="C1475" i="1"/>
  <c r="A1475" i="1"/>
  <c r="O1474" i="1"/>
  <c r="N1474" i="1"/>
  <c r="M1474" i="1"/>
  <c r="F1474" i="1"/>
  <c r="P1474" i="1" s="1"/>
  <c r="C1474" i="1"/>
  <c r="A1474" i="1"/>
  <c r="O1473" i="1"/>
  <c r="N1473" i="1"/>
  <c r="M1473" i="1"/>
  <c r="F1473" i="1"/>
  <c r="P1473" i="1" s="1"/>
  <c r="C1473" i="1"/>
  <c r="A1473" i="1"/>
  <c r="O1472" i="1"/>
  <c r="N1472" i="1"/>
  <c r="M1472" i="1"/>
  <c r="F1472" i="1"/>
  <c r="P1472" i="1" s="1"/>
  <c r="C1472" i="1"/>
  <c r="A1472" i="1"/>
  <c r="P1471" i="1"/>
  <c r="O1471" i="1"/>
  <c r="N1471" i="1"/>
  <c r="M1471" i="1"/>
  <c r="F1471" i="1"/>
  <c r="C1471" i="1"/>
  <c r="A1471" i="1"/>
  <c r="P1470" i="1"/>
  <c r="O1470" i="1"/>
  <c r="N1470" i="1"/>
  <c r="M1470" i="1"/>
  <c r="F1470" i="1"/>
  <c r="C1470" i="1"/>
  <c r="A1470" i="1"/>
  <c r="O1469" i="1"/>
  <c r="N1469" i="1"/>
  <c r="M1469" i="1"/>
  <c r="F1469" i="1"/>
  <c r="P1469" i="1" s="1"/>
  <c r="C1469" i="1"/>
  <c r="A1469" i="1"/>
  <c r="O1468" i="1"/>
  <c r="N1468" i="1"/>
  <c r="M1468" i="1"/>
  <c r="F1468" i="1"/>
  <c r="P1468" i="1" s="1"/>
  <c r="C1468" i="1"/>
  <c r="A1468" i="1"/>
  <c r="O1467" i="1"/>
  <c r="N1467" i="1"/>
  <c r="M1467" i="1"/>
  <c r="F1467" i="1"/>
  <c r="P1467" i="1" s="1"/>
  <c r="C1467" i="1"/>
  <c r="A1467" i="1"/>
  <c r="P1466" i="1"/>
  <c r="O1466" i="1"/>
  <c r="N1466" i="1"/>
  <c r="M1466" i="1"/>
  <c r="F1466" i="1"/>
  <c r="C1466" i="1"/>
  <c r="A1466" i="1"/>
  <c r="P1465" i="1"/>
  <c r="O1465" i="1"/>
  <c r="N1465" i="1"/>
  <c r="M1465" i="1"/>
  <c r="F1465" i="1"/>
  <c r="C1465" i="1"/>
  <c r="A1465" i="1"/>
  <c r="O1464" i="1"/>
  <c r="N1464" i="1"/>
  <c r="M1464" i="1"/>
  <c r="F1464" i="1"/>
  <c r="P1464" i="1" s="1"/>
  <c r="C1464" i="1"/>
  <c r="A1464" i="1"/>
  <c r="O1463" i="1"/>
  <c r="N1463" i="1"/>
  <c r="M1463" i="1"/>
  <c r="F1463" i="1"/>
  <c r="P1463" i="1" s="1"/>
  <c r="C1463" i="1"/>
  <c r="A1463" i="1"/>
  <c r="P1462" i="1"/>
  <c r="O1462" i="1"/>
  <c r="N1462" i="1"/>
  <c r="M1462" i="1"/>
  <c r="F1462" i="1"/>
  <c r="C1462" i="1"/>
  <c r="A1462" i="1"/>
  <c r="P1461" i="1"/>
  <c r="O1461" i="1"/>
  <c r="N1461" i="1"/>
  <c r="M1461" i="1"/>
  <c r="F1461" i="1"/>
  <c r="C1461" i="1"/>
  <c r="A1461" i="1"/>
  <c r="O1460" i="1"/>
  <c r="N1460" i="1"/>
  <c r="M1460" i="1"/>
  <c r="F1460" i="1"/>
  <c r="P1460" i="1" s="1"/>
  <c r="C1460" i="1"/>
  <c r="A1460" i="1"/>
  <c r="O1459" i="1"/>
  <c r="N1459" i="1"/>
  <c r="M1459" i="1"/>
  <c r="F1459" i="1"/>
  <c r="P1459" i="1" s="1"/>
  <c r="C1459" i="1"/>
  <c r="A1459" i="1"/>
  <c r="P1458" i="1"/>
  <c r="O1458" i="1"/>
  <c r="N1458" i="1"/>
  <c r="M1458" i="1"/>
  <c r="F1458" i="1"/>
  <c r="C1458" i="1"/>
  <c r="A1458" i="1"/>
  <c r="P1457" i="1"/>
  <c r="O1457" i="1"/>
  <c r="N1457" i="1"/>
  <c r="M1457" i="1"/>
  <c r="F1457" i="1"/>
  <c r="C1457" i="1"/>
  <c r="A1457" i="1"/>
  <c r="P1456" i="1"/>
  <c r="O1456" i="1"/>
  <c r="N1456" i="1"/>
  <c r="M1456" i="1"/>
  <c r="F1456" i="1"/>
  <c r="C1456" i="1"/>
  <c r="A1456" i="1"/>
  <c r="O1455" i="1"/>
  <c r="N1455" i="1"/>
  <c r="M1455" i="1"/>
  <c r="F1455" i="1"/>
  <c r="C1455" i="1"/>
  <c r="A1455" i="1"/>
  <c r="O1454" i="1"/>
  <c r="N1454" i="1"/>
  <c r="M1454" i="1"/>
  <c r="F1454" i="1"/>
  <c r="P1454" i="1" s="1"/>
  <c r="C1454" i="1"/>
  <c r="A1454" i="1"/>
  <c r="P1453" i="1"/>
  <c r="O1453" i="1"/>
  <c r="N1453" i="1"/>
  <c r="M1453" i="1"/>
  <c r="F1453" i="1"/>
  <c r="C1453" i="1"/>
  <c r="A1453" i="1"/>
  <c r="O1452" i="1"/>
  <c r="N1452" i="1"/>
  <c r="M1452" i="1"/>
  <c r="F1452" i="1"/>
  <c r="P1452" i="1" s="1"/>
  <c r="C1452" i="1"/>
  <c r="A1452" i="1"/>
  <c r="P1451" i="1"/>
  <c r="O1451" i="1"/>
  <c r="N1451" i="1"/>
  <c r="M1451" i="1"/>
  <c r="F1451" i="1"/>
  <c r="C1451" i="1"/>
  <c r="A1451" i="1"/>
  <c r="P1450" i="1"/>
  <c r="O1450" i="1"/>
  <c r="N1450" i="1"/>
  <c r="M1450" i="1"/>
  <c r="F1450" i="1"/>
  <c r="C1450" i="1"/>
  <c r="A1450" i="1"/>
  <c r="O1449" i="1"/>
  <c r="N1449" i="1"/>
  <c r="M1449" i="1"/>
  <c r="F1449" i="1"/>
  <c r="P1449" i="1" s="1"/>
  <c r="C1449" i="1"/>
  <c r="A1449" i="1"/>
  <c r="O1448" i="1"/>
  <c r="N1448" i="1"/>
  <c r="M1448" i="1"/>
  <c r="F1448" i="1"/>
  <c r="P1448" i="1" s="1"/>
  <c r="C1448" i="1"/>
  <c r="A1448" i="1"/>
  <c r="O1447" i="1"/>
  <c r="N1447" i="1"/>
  <c r="M1447" i="1"/>
  <c r="F1447" i="1"/>
  <c r="C1447" i="1"/>
  <c r="A1447" i="1"/>
  <c r="O1446" i="1"/>
  <c r="N1446" i="1"/>
  <c r="M1446" i="1"/>
  <c r="F1446" i="1"/>
  <c r="P1446" i="1" s="1"/>
  <c r="C1446" i="1"/>
  <c r="A1446" i="1"/>
  <c r="P1445" i="1"/>
  <c r="O1445" i="1"/>
  <c r="N1445" i="1"/>
  <c r="M1445" i="1"/>
  <c r="F1445" i="1"/>
  <c r="C1445" i="1"/>
  <c r="A1445" i="1"/>
  <c r="P1444" i="1"/>
  <c r="O1444" i="1"/>
  <c r="N1444" i="1"/>
  <c r="M1444" i="1"/>
  <c r="F1444" i="1"/>
  <c r="C1444" i="1"/>
  <c r="A1444" i="1"/>
  <c r="O1443" i="1"/>
  <c r="N1443" i="1"/>
  <c r="M1443" i="1"/>
  <c r="F1443" i="1"/>
  <c r="P1443" i="1" s="1"/>
  <c r="C1443" i="1"/>
  <c r="A1443" i="1"/>
  <c r="O1442" i="1"/>
  <c r="N1442" i="1"/>
  <c r="M1442" i="1"/>
  <c r="F1442" i="1"/>
  <c r="P1442" i="1" s="1"/>
  <c r="C1442" i="1"/>
  <c r="A1442" i="1"/>
  <c r="O1441" i="1"/>
  <c r="N1441" i="1"/>
  <c r="M1441" i="1"/>
  <c r="F1441" i="1"/>
  <c r="P1441" i="1" s="1"/>
  <c r="C1441" i="1"/>
  <c r="A1441" i="1"/>
  <c r="P1440" i="1"/>
  <c r="O1440" i="1"/>
  <c r="N1440" i="1"/>
  <c r="M1440" i="1"/>
  <c r="F1440" i="1"/>
  <c r="C1440" i="1"/>
  <c r="A1440" i="1"/>
  <c r="P1439" i="1"/>
  <c r="O1439" i="1"/>
  <c r="N1439" i="1"/>
  <c r="M1439" i="1"/>
  <c r="F1439" i="1"/>
  <c r="C1439" i="1"/>
  <c r="A1439" i="1"/>
  <c r="O1438" i="1"/>
  <c r="N1438" i="1"/>
  <c r="M1438" i="1"/>
  <c r="F1438" i="1"/>
  <c r="P1438" i="1" s="1"/>
  <c r="C1438" i="1"/>
  <c r="A1438" i="1"/>
  <c r="O1437" i="1"/>
  <c r="N1437" i="1"/>
  <c r="M1437" i="1"/>
  <c r="F1437" i="1"/>
  <c r="P1437" i="1" s="1"/>
  <c r="C1437" i="1"/>
  <c r="A1437" i="1"/>
  <c r="O1436" i="1"/>
  <c r="N1436" i="1"/>
  <c r="M1436" i="1"/>
  <c r="F1436" i="1"/>
  <c r="P1436" i="1" s="1"/>
  <c r="C1436" i="1"/>
  <c r="A1436" i="1"/>
  <c r="P1435" i="1"/>
  <c r="O1435" i="1"/>
  <c r="N1435" i="1"/>
  <c r="M1435" i="1"/>
  <c r="F1435" i="1"/>
  <c r="C1435" i="1"/>
  <c r="A1435" i="1"/>
  <c r="P1434" i="1"/>
  <c r="O1434" i="1"/>
  <c r="N1434" i="1"/>
  <c r="M1434" i="1"/>
  <c r="F1434" i="1"/>
  <c r="C1434" i="1"/>
  <c r="A1434" i="1"/>
  <c r="O1433" i="1"/>
  <c r="N1433" i="1"/>
  <c r="M1433" i="1"/>
  <c r="F1433" i="1"/>
  <c r="C1433" i="1"/>
  <c r="A1433" i="1"/>
  <c r="O1432" i="1"/>
  <c r="N1432" i="1"/>
  <c r="M1432" i="1"/>
  <c r="F1432" i="1"/>
  <c r="P1432" i="1" s="1"/>
  <c r="C1432" i="1"/>
  <c r="A1432" i="1"/>
  <c r="O1431" i="1"/>
  <c r="N1431" i="1"/>
  <c r="M1431" i="1"/>
  <c r="F1431" i="1"/>
  <c r="P1431" i="1" s="1"/>
  <c r="C1431" i="1"/>
  <c r="A1431" i="1"/>
  <c r="P1430" i="1"/>
  <c r="O1430" i="1"/>
  <c r="N1430" i="1"/>
  <c r="M1430" i="1"/>
  <c r="F1430" i="1"/>
  <c r="C1430" i="1"/>
  <c r="A1430" i="1"/>
  <c r="P1429" i="1"/>
  <c r="O1429" i="1"/>
  <c r="N1429" i="1"/>
  <c r="M1429" i="1"/>
  <c r="F1429" i="1"/>
  <c r="C1429" i="1"/>
  <c r="A1429" i="1"/>
  <c r="O1428" i="1"/>
  <c r="N1428" i="1"/>
  <c r="M1428" i="1"/>
  <c r="F1428" i="1"/>
  <c r="C1428" i="1"/>
  <c r="A1428" i="1"/>
  <c r="O1427" i="1"/>
  <c r="N1427" i="1"/>
  <c r="M1427" i="1"/>
  <c r="F1427" i="1"/>
  <c r="P1427" i="1" s="1"/>
  <c r="C1427" i="1"/>
  <c r="A1427" i="1"/>
  <c r="O1426" i="1"/>
  <c r="N1426" i="1"/>
  <c r="M1426" i="1"/>
  <c r="F1426" i="1"/>
  <c r="P1426" i="1" s="1"/>
  <c r="C1426" i="1"/>
  <c r="A1426" i="1"/>
  <c r="P1425" i="1"/>
  <c r="O1425" i="1"/>
  <c r="N1425" i="1"/>
  <c r="M1425" i="1"/>
  <c r="F1425" i="1"/>
  <c r="C1425" i="1"/>
  <c r="A1425" i="1"/>
  <c r="P1424" i="1"/>
  <c r="O1424" i="1"/>
  <c r="N1424" i="1"/>
  <c r="M1424" i="1"/>
  <c r="F1424" i="1"/>
  <c r="C1424" i="1"/>
  <c r="A1424" i="1"/>
  <c r="O1423" i="1"/>
  <c r="N1423" i="1"/>
  <c r="M1423" i="1"/>
  <c r="F1423" i="1"/>
  <c r="P1423" i="1" s="1"/>
  <c r="C1423" i="1"/>
  <c r="A1423" i="1"/>
  <c r="O1422" i="1"/>
  <c r="N1422" i="1"/>
  <c r="M1422" i="1"/>
  <c r="F1422" i="1"/>
  <c r="P1422" i="1" s="1"/>
  <c r="C1422" i="1"/>
  <c r="A1422" i="1"/>
  <c r="O1421" i="1"/>
  <c r="N1421" i="1"/>
  <c r="M1421" i="1"/>
  <c r="F1421" i="1"/>
  <c r="P1421" i="1" s="1"/>
  <c r="C1421" i="1"/>
  <c r="A1421" i="1"/>
  <c r="P1420" i="1"/>
  <c r="O1420" i="1"/>
  <c r="N1420" i="1"/>
  <c r="M1420" i="1"/>
  <c r="F1420" i="1"/>
  <c r="C1420" i="1"/>
  <c r="A1420" i="1"/>
  <c r="P1419" i="1"/>
  <c r="O1419" i="1"/>
  <c r="N1419" i="1"/>
  <c r="M1419" i="1"/>
  <c r="F1419" i="1"/>
  <c r="C1419" i="1"/>
  <c r="A1419" i="1"/>
  <c r="O1418" i="1"/>
  <c r="N1418" i="1"/>
  <c r="M1418" i="1"/>
  <c r="F1418" i="1"/>
  <c r="P1418" i="1" s="1"/>
  <c r="C1418" i="1"/>
  <c r="A1418" i="1"/>
  <c r="O1417" i="1"/>
  <c r="N1417" i="1"/>
  <c r="M1417" i="1"/>
  <c r="F1417" i="1"/>
  <c r="P1417" i="1" s="1"/>
  <c r="C1417" i="1"/>
  <c r="A1417" i="1"/>
  <c r="O1416" i="1"/>
  <c r="N1416" i="1"/>
  <c r="M1416" i="1"/>
  <c r="F1416" i="1"/>
  <c r="P1416" i="1" s="1"/>
  <c r="C1416" i="1"/>
  <c r="A1416" i="1"/>
  <c r="P1415" i="1"/>
  <c r="O1415" i="1"/>
  <c r="N1415" i="1"/>
  <c r="M1415" i="1"/>
  <c r="F1415" i="1"/>
  <c r="C1415" i="1"/>
  <c r="A1415" i="1"/>
  <c r="P1414" i="1"/>
  <c r="O1414" i="1"/>
  <c r="N1414" i="1"/>
  <c r="M1414" i="1"/>
  <c r="F1414" i="1"/>
  <c r="C1414" i="1"/>
  <c r="A1414" i="1"/>
  <c r="O1413" i="1"/>
  <c r="N1413" i="1"/>
  <c r="M1413" i="1"/>
  <c r="F1413" i="1"/>
  <c r="P1413" i="1" s="1"/>
  <c r="C1413" i="1"/>
  <c r="A1413" i="1"/>
  <c r="O1412" i="1"/>
  <c r="N1412" i="1"/>
  <c r="M1412" i="1"/>
  <c r="F1412" i="1"/>
  <c r="P1412" i="1" s="1"/>
  <c r="C1412" i="1"/>
  <c r="A1412" i="1"/>
  <c r="O1411" i="1"/>
  <c r="N1411" i="1"/>
  <c r="M1411" i="1"/>
  <c r="F1411" i="1"/>
  <c r="P1411" i="1" s="1"/>
  <c r="C1411" i="1"/>
  <c r="A1411" i="1"/>
  <c r="P1410" i="1"/>
  <c r="O1410" i="1"/>
  <c r="N1410" i="1"/>
  <c r="M1410" i="1"/>
  <c r="F1410" i="1"/>
  <c r="C1410" i="1"/>
  <c r="A1410" i="1"/>
  <c r="P1409" i="1"/>
  <c r="O1409" i="1"/>
  <c r="N1409" i="1"/>
  <c r="M1409" i="1"/>
  <c r="F1409" i="1"/>
  <c r="C1409" i="1"/>
  <c r="A1409" i="1"/>
  <c r="O1408" i="1"/>
  <c r="N1408" i="1"/>
  <c r="M1408" i="1"/>
  <c r="F1408" i="1"/>
  <c r="P1408" i="1" s="1"/>
  <c r="C1408" i="1"/>
  <c r="A1408" i="1"/>
  <c r="O1407" i="1"/>
  <c r="N1407" i="1"/>
  <c r="M1407" i="1"/>
  <c r="F1407" i="1"/>
  <c r="P1407" i="1" s="1"/>
  <c r="C1407" i="1"/>
  <c r="A1407" i="1"/>
  <c r="O1406" i="1"/>
  <c r="N1406" i="1"/>
  <c r="M1406" i="1"/>
  <c r="F1406" i="1"/>
  <c r="P1406" i="1" s="1"/>
  <c r="C1406" i="1"/>
  <c r="A1406" i="1"/>
  <c r="P1405" i="1"/>
  <c r="O1405" i="1"/>
  <c r="N1405" i="1"/>
  <c r="M1405" i="1"/>
  <c r="F1405" i="1"/>
  <c r="C1405" i="1"/>
  <c r="A1405" i="1"/>
  <c r="P1404" i="1"/>
  <c r="O1404" i="1"/>
  <c r="N1404" i="1"/>
  <c r="M1404" i="1"/>
  <c r="F1404" i="1"/>
  <c r="C1404" i="1"/>
  <c r="A1404" i="1"/>
  <c r="O1403" i="1"/>
  <c r="N1403" i="1"/>
  <c r="M1403" i="1"/>
  <c r="F1403" i="1"/>
  <c r="P1403" i="1" s="1"/>
  <c r="C1403" i="1"/>
  <c r="A1403" i="1"/>
  <c r="O1402" i="1"/>
  <c r="N1402" i="1"/>
  <c r="M1402" i="1"/>
  <c r="F1402" i="1"/>
  <c r="P1402" i="1" s="1"/>
  <c r="C1402" i="1"/>
  <c r="A1402" i="1"/>
  <c r="O1401" i="1"/>
  <c r="N1401" i="1"/>
  <c r="M1401" i="1"/>
  <c r="F1401" i="1"/>
  <c r="P1401" i="1" s="1"/>
  <c r="C1401" i="1"/>
  <c r="A1401" i="1"/>
  <c r="P1400" i="1"/>
  <c r="O1400" i="1"/>
  <c r="N1400" i="1"/>
  <c r="M1400" i="1"/>
  <c r="F1400" i="1"/>
  <c r="C1400" i="1"/>
  <c r="A1400" i="1"/>
  <c r="P1399" i="1"/>
  <c r="O1399" i="1"/>
  <c r="N1399" i="1"/>
  <c r="M1399" i="1"/>
  <c r="F1399" i="1"/>
  <c r="C1399" i="1"/>
  <c r="A1399" i="1"/>
  <c r="O1398" i="1"/>
  <c r="N1398" i="1"/>
  <c r="M1398" i="1"/>
  <c r="F1398" i="1"/>
  <c r="P1398" i="1" s="1"/>
  <c r="C1398" i="1"/>
  <c r="A1398" i="1"/>
  <c r="O1397" i="1"/>
  <c r="N1397" i="1"/>
  <c r="M1397" i="1"/>
  <c r="F1397" i="1"/>
  <c r="C1397" i="1"/>
  <c r="A1397" i="1"/>
  <c r="O1396" i="1"/>
  <c r="N1396" i="1"/>
  <c r="M1396" i="1"/>
  <c r="F1396" i="1"/>
  <c r="P1396" i="1" s="1"/>
  <c r="C1396" i="1"/>
  <c r="A1396" i="1"/>
  <c r="P1395" i="1"/>
  <c r="O1395" i="1"/>
  <c r="N1395" i="1"/>
  <c r="M1395" i="1"/>
  <c r="F1395" i="1"/>
  <c r="C1395" i="1"/>
  <c r="A1395" i="1"/>
  <c r="P1394" i="1"/>
  <c r="O1394" i="1"/>
  <c r="N1394" i="1"/>
  <c r="M1394" i="1"/>
  <c r="F1394" i="1"/>
  <c r="C1394" i="1"/>
  <c r="A1394" i="1"/>
  <c r="O1393" i="1"/>
  <c r="N1393" i="1"/>
  <c r="M1393" i="1"/>
  <c r="F1393" i="1"/>
  <c r="P1393" i="1" s="1"/>
  <c r="C1393" i="1"/>
  <c r="A1393" i="1"/>
  <c r="O1392" i="1"/>
  <c r="N1392" i="1"/>
  <c r="M1392" i="1"/>
  <c r="F1392" i="1"/>
  <c r="P1392" i="1" s="1"/>
  <c r="C1392" i="1"/>
  <c r="A1392" i="1"/>
  <c r="O1391" i="1"/>
  <c r="N1391" i="1"/>
  <c r="M1391" i="1"/>
  <c r="F1391" i="1"/>
  <c r="P1391" i="1" s="1"/>
  <c r="C1391" i="1"/>
  <c r="A1391" i="1"/>
  <c r="P1390" i="1"/>
  <c r="O1390" i="1"/>
  <c r="N1390" i="1"/>
  <c r="M1390" i="1"/>
  <c r="F1390" i="1"/>
  <c r="C1390" i="1"/>
  <c r="A1390" i="1"/>
  <c r="P1389" i="1"/>
  <c r="O1389" i="1"/>
  <c r="N1389" i="1"/>
  <c r="M1389" i="1"/>
  <c r="F1389" i="1"/>
  <c r="C1389" i="1"/>
  <c r="A1389" i="1"/>
  <c r="O1388" i="1"/>
  <c r="N1388" i="1"/>
  <c r="M1388" i="1"/>
  <c r="F1388" i="1"/>
  <c r="P1388" i="1" s="1"/>
  <c r="C1388" i="1"/>
  <c r="A1388" i="1"/>
  <c r="O1387" i="1"/>
  <c r="N1387" i="1"/>
  <c r="M1387" i="1"/>
  <c r="F1387" i="1"/>
  <c r="P1387" i="1" s="1"/>
  <c r="C1387" i="1"/>
  <c r="A1387" i="1"/>
  <c r="O1386" i="1"/>
  <c r="N1386" i="1"/>
  <c r="M1386" i="1"/>
  <c r="F1386" i="1"/>
  <c r="P1386" i="1" s="1"/>
  <c r="C1386" i="1"/>
  <c r="A1386" i="1"/>
  <c r="P1385" i="1"/>
  <c r="O1385" i="1"/>
  <c r="N1385" i="1"/>
  <c r="M1385" i="1"/>
  <c r="F1385" i="1"/>
  <c r="C1385" i="1"/>
  <c r="A1385" i="1"/>
  <c r="P1384" i="1"/>
  <c r="O1384" i="1"/>
  <c r="N1384" i="1"/>
  <c r="M1384" i="1"/>
  <c r="F1384" i="1"/>
  <c r="C1384" i="1"/>
  <c r="A1384" i="1"/>
  <c r="O1383" i="1"/>
  <c r="N1383" i="1"/>
  <c r="M1383" i="1"/>
  <c r="F1383" i="1"/>
  <c r="P1383" i="1" s="1"/>
  <c r="C1383" i="1"/>
  <c r="A1383" i="1"/>
  <c r="O1382" i="1"/>
  <c r="N1382" i="1"/>
  <c r="M1382" i="1"/>
  <c r="F1382" i="1"/>
  <c r="P1382" i="1" s="1"/>
  <c r="C1382" i="1"/>
  <c r="A1382" i="1"/>
  <c r="O1381" i="1"/>
  <c r="N1381" i="1"/>
  <c r="M1381" i="1"/>
  <c r="F1381" i="1"/>
  <c r="P1381" i="1" s="1"/>
  <c r="C1381" i="1"/>
  <c r="A1381" i="1"/>
  <c r="P1380" i="1"/>
  <c r="O1380" i="1"/>
  <c r="N1380" i="1"/>
  <c r="M1380" i="1"/>
  <c r="F1380" i="1"/>
  <c r="C1380" i="1"/>
  <c r="A1380" i="1"/>
  <c r="P1379" i="1"/>
  <c r="O1379" i="1"/>
  <c r="N1379" i="1"/>
  <c r="M1379" i="1"/>
  <c r="F1379" i="1"/>
  <c r="C1379" i="1"/>
  <c r="A1379" i="1"/>
  <c r="O1378" i="1"/>
  <c r="N1378" i="1"/>
  <c r="M1378" i="1"/>
  <c r="F1378" i="1"/>
  <c r="C1378" i="1"/>
  <c r="A1378" i="1"/>
  <c r="O1377" i="1"/>
  <c r="N1377" i="1"/>
  <c r="M1377" i="1"/>
  <c r="F1377" i="1"/>
  <c r="P1377" i="1" s="1"/>
  <c r="C1377" i="1"/>
  <c r="A1377" i="1"/>
  <c r="O1376" i="1"/>
  <c r="N1376" i="1"/>
  <c r="M1376" i="1"/>
  <c r="F1376" i="1"/>
  <c r="P1376" i="1" s="1"/>
  <c r="C1376" i="1"/>
  <c r="A1376" i="1"/>
  <c r="P1375" i="1"/>
  <c r="O1375" i="1"/>
  <c r="N1375" i="1"/>
  <c r="M1375" i="1"/>
  <c r="F1375" i="1"/>
  <c r="C1375" i="1"/>
  <c r="A1375" i="1"/>
  <c r="P1374" i="1"/>
  <c r="O1374" i="1"/>
  <c r="N1374" i="1"/>
  <c r="M1374" i="1"/>
  <c r="F1374" i="1"/>
  <c r="C1374" i="1"/>
  <c r="A1374" i="1"/>
  <c r="O1373" i="1"/>
  <c r="N1373" i="1"/>
  <c r="M1373" i="1"/>
  <c r="F1373" i="1"/>
  <c r="P1373" i="1" s="1"/>
  <c r="C1373" i="1"/>
  <c r="A1373" i="1"/>
  <c r="O1372" i="1"/>
  <c r="N1372" i="1"/>
  <c r="M1372" i="1"/>
  <c r="F1372" i="1"/>
  <c r="P1372" i="1" s="1"/>
  <c r="C1372" i="1"/>
  <c r="A1372" i="1"/>
  <c r="O1371" i="1"/>
  <c r="N1371" i="1"/>
  <c r="M1371" i="1"/>
  <c r="F1371" i="1"/>
  <c r="P1371" i="1" s="1"/>
  <c r="C1371" i="1"/>
  <c r="A1371" i="1"/>
  <c r="P1370" i="1"/>
  <c r="O1370" i="1"/>
  <c r="N1370" i="1"/>
  <c r="M1370" i="1"/>
  <c r="F1370" i="1"/>
  <c r="C1370" i="1"/>
  <c r="A1370" i="1"/>
  <c r="P1369" i="1"/>
  <c r="O1369" i="1"/>
  <c r="N1369" i="1"/>
  <c r="M1369" i="1"/>
  <c r="F1369" i="1"/>
  <c r="C1369" i="1"/>
  <c r="A1369" i="1"/>
  <c r="O1368" i="1"/>
  <c r="N1368" i="1"/>
  <c r="M1368" i="1"/>
  <c r="F1368" i="1"/>
  <c r="P1368" i="1" s="1"/>
  <c r="C1368" i="1"/>
  <c r="A1368" i="1"/>
  <c r="O1367" i="1"/>
  <c r="N1367" i="1"/>
  <c r="M1367" i="1"/>
  <c r="F1367" i="1"/>
  <c r="P1367" i="1" s="1"/>
  <c r="C1367" i="1"/>
  <c r="A1367" i="1"/>
  <c r="O1366" i="1"/>
  <c r="N1366" i="1"/>
  <c r="M1366" i="1"/>
  <c r="F1366" i="1"/>
  <c r="P1366" i="1" s="1"/>
  <c r="C1366" i="1"/>
  <c r="A1366" i="1"/>
  <c r="P1365" i="1"/>
  <c r="O1365" i="1"/>
  <c r="N1365" i="1"/>
  <c r="M1365" i="1"/>
  <c r="F1365" i="1"/>
  <c r="C1365" i="1"/>
  <c r="A1365" i="1"/>
  <c r="P1364" i="1"/>
  <c r="O1364" i="1"/>
  <c r="N1364" i="1"/>
  <c r="M1364" i="1"/>
  <c r="F1364" i="1"/>
  <c r="C1364" i="1"/>
  <c r="A1364" i="1"/>
  <c r="O1363" i="1"/>
  <c r="N1363" i="1"/>
  <c r="M1363" i="1"/>
  <c r="F1363" i="1"/>
  <c r="P1363" i="1" s="1"/>
  <c r="C1363" i="1"/>
  <c r="A1363" i="1"/>
  <c r="O1362" i="1"/>
  <c r="N1362" i="1"/>
  <c r="M1362" i="1"/>
  <c r="F1362" i="1"/>
  <c r="P1362" i="1" s="1"/>
  <c r="C1362" i="1"/>
  <c r="A1362" i="1"/>
  <c r="O1361" i="1"/>
  <c r="N1361" i="1"/>
  <c r="M1361" i="1"/>
  <c r="F1361" i="1"/>
  <c r="P1361" i="1" s="1"/>
  <c r="C1361" i="1"/>
  <c r="A1361" i="1"/>
  <c r="P1360" i="1"/>
  <c r="O1360" i="1"/>
  <c r="N1360" i="1"/>
  <c r="M1360" i="1"/>
  <c r="F1360" i="1"/>
  <c r="C1360" i="1"/>
  <c r="A1360" i="1"/>
  <c r="P1359" i="1"/>
  <c r="O1359" i="1"/>
  <c r="N1359" i="1"/>
  <c r="M1359" i="1"/>
  <c r="F1359" i="1"/>
  <c r="C1359" i="1"/>
  <c r="A1359" i="1"/>
  <c r="O1358" i="1"/>
  <c r="N1358" i="1"/>
  <c r="M1358" i="1"/>
  <c r="F1358" i="1"/>
  <c r="C1358" i="1"/>
  <c r="A1358" i="1"/>
  <c r="O1357" i="1"/>
  <c r="N1357" i="1"/>
  <c r="M1357" i="1"/>
  <c r="F1357" i="1"/>
  <c r="P1357" i="1" s="1"/>
  <c r="C1357" i="1"/>
  <c r="A1357" i="1"/>
  <c r="O1356" i="1"/>
  <c r="N1356" i="1"/>
  <c r="M1356" i="1"/>
  <c r="F1356" i="1"/>
  <c r="P1356" i="1" s="1"/>
  <c r="C1356" i="1"/>
  <c r="A1356" i="1"/>
  <c r="P1355" i="1"/>
  <c r="O1355" i="1"/>
  <c r="N1355" i="1"/>
  <c r="M1355" i="1"/>
  <c r="F1355" i="1"/>
  <c r="C1355" i="1"/>
  <c r="A1355" i="1"/>
  <c r="P1354" i="1"/>
  <c r="O1354" i="1"/>
  <c r="N1354" i="1"/>
  <c r="M1354" i="1"/>
  <c r="F1354" i="1"/>
  <c r="C1354" i="1"/>
  <c r="A1354" i="1"/>
  <c r="O1353" i="1"/>
  <c r="N1353" i="1"/>
  <c r="M1353" i="1"/>
  <c r="F1353" i="1"/>
  <c r="C1353" i="1"/>
  <c r="A1353" i="1"/>
  <c r="O1352" i="1"/>
  <c r="N1352" i="1"/>
  <c r="M1352" i="1"/>
  <c r="F1352" i="1"/>
  <c r="P1352" i="1" s="1"/>
  <c r="C1352" i="1"/>
  <c r="A1352" i="1"/>
  <c r="O1351" i="1"/>
  <c r="N1351" i="1"/>
  <c r="M1351" i="1"/>
  <c r="F1351" i="1"/>
  <c r="P1351" i="1" s="1"/>
  <c r="C1351" i="1"/>
  <c r="A1351" i="1"/>
  <c r="P1350" i="1"/>
  <c r="O1350" i="1"/>
  <c r="N1350" i="1"/>
  <c r="M1350" i="1"/>
  <c r="F1350" i="1"/>
  <c r="C1350" i="1"/>
  <c r="A1350" i="1"/>
  <c r="P1349" i="1"/>
  <c r="O1349" i="1"/>
  <c r="N1349" i="1"/>
  <c r="M1349" i="1"/>
  <c r="F1349" i="1"/>
  <c r="C1349" i="1"/>
  <c r="A1349" i="1"/>
  <c r="O1348" i="1"/>
  <c r="N1348" i="1"/>
  <c r="M1348" i="1"/>
  <c r="F1348" i="1"/>
  <c r="C1348" i="1"/>
  <c r="A1348" i="1"/>
  <c r="O1347" i="1"/>
  <c r="N1347" i="1"/>
  <c r="M1347" i="1"/>
  <c r="F1347" i="1"/>
  <c r="C1347" i="1"/>
  <c r="A1347" i="1"/>
  <c r="O1346" i="1"/>
  <c r="N1346" i="1"/>
  <c r="M1346" i="1"/>
  <c r="F1346" i="1"/>
  <c r="P1346" i="1" s="1"/>
  <c r="C1346" i="1"/>
  <c r="A1346" i="1"/>
  <c r="P1345" i="1"/>
  <c r="O1345" i="1"/>
  <c r="N1345" i="1"/>
  <c r="M1345" i="1"/>
  <c r="F1345" i="1"/>
  <c r="C1345" i="1"/>
  <c r="A1345" i="1"/>
  <c r="P1344" i="1"/>
  <c r="O1344" i="1"/>
  <c r="N1344" i="1"/>
  <c r="M1344" i="1"/>
  <c r="F1344" i="1"/>
  <c r="C1344" i="1"/>
  <c r="A1344" i="1"/>
  <c r="O1343" i="1"/>
  <c r="N1343" i="1"/>
  <c r="M1343" i="1"/>
  <c r="F1343" i="1"/>
  <c r="C1343" i="1"/>
  <c r="A1343" i="1"/>
  <c r="O1342" i="1"/>
  <c r="N1342" i="1"/>
  <c r="M1342" i="1"/>
  <c r="F1342" i="1"/>
  <c r="P1342" i="1" s="1"/>
  <c r="C1342" i="1"/>
  <c r="A1342" i="1"/>
  <c r="O1341" i="1"/>
  <c r="N1341" i="1"/>
  <c r="M1341" i="1"/>
  <c r="F1341" i="1"/>
  <c r="P1341" i="1" s="1"/>
  <c r="C1341" i="1"/>
  <c r="A1341" i="1"/>
  <c r="P1340" i="1"/>
  <c r="O1340" i="1"/>
  <c r="N1340" i="1"/>
  <c r="M1340" i="1"/>
  <c r="F1340" i="1"/>
  <c r="C1340" i="1"/>
  <c r="A1340" i="1"/>
  <c r="P1339" i="1"/>
  <c r="O1339" i="1"/>
  <c r="N1339" i="1"/>
  <c r="M1339" i="1"/>
  <c r="F1339" i="1"/>
  <c r="C1339" i="1"/>
  <c r="A1339" i="1"/>
  <c r="O1338" i="1"/>
  <c r="N1338" i="1"/>
  <c r="M1338" i="1"/>
  <c r="F1338" i="1"/>
  <c r="C1338" i="1"/>
  <c r="A1338" i="1"/>
  <c r="O1337" i="1"/>
  <c r="N1337" i="1"/>
  <c r="M1337" i="1"/>
  <c r="F1337" i="1"/>
  <c r="P1337" i="1" s="1"/>
  <c r="C1337" i="1"/>
  <c r="A1337" i="1"/>
  <c r="O1336" i="1"/>
  <c r="N1336" i="1"/>
  <c r="M1336" i="1"/>
  <c r="F1336" i="1"/>
  <c r="P1336" i="1" s="1"/>
  <c r="C1336" i="1"/>
  <c r="A1336" i="1"/>
  <c r="P1335" i="1"/>
  <c r="O1335" i="1"/>
  <c r="N1335" i="1"/>
  <c r="M1335" i="1"/>
  <c r="F1335" i="1"/>
  <c r="C1335" i="1"/>
  <c r="A1335" i="1"/>
  <c r="P1334" i="1"/>
  <c r="O1334" i="1"/>
  <c r="N1334" i="1"/>
  <c r="M1334" i="1"/>
  <c r="F1334" i="1"/>
  <c r="C1334" i="1"/>
  <c r="A1334" i="1"/>
  <c r="O1333" i="1"/>
  <c r="N1333" i="1"/>
  <c r="M1333" i="1"/>
  <c r="F1333" i="1"/>
  <c r="P1333" i="1" s="1"/>
  <c r="C1333" i="1"/>
  <c r="A1333" i="1"/>
  <c r="O1332" i="1"/>
  <c r="N1332" i="1"/>
  <c r="M1332" i="1"/>
  <c r="F1332" i="1"/>
  <c r="P1332" i="1" s="1"/>
  <c r="C1332" i="1"/>
  <c r="A1332" i="1"/>
  <c r="O1331" i="1"/>
  <c r="N1331" i="1"/>
  <c r="M1331" i="1"/>
  <c r="F1331" i="1"/>
  <c r="P1331" i="1" s="1"/>
  <c r="C1331" i="1"/>
  <c r="A1331" i="1"/>
  <c r="P1330" i="1"/>
  <c r="O1330" i="1"/>
  <c r="N1330" i="1"/>
  <c r="M1330" i="1"/>
  <c r="F1330" i="1"/>
  <c r="C1330" i="1"/>
  <c r="A1330" i="1"/>
  <c r="P1329" i="1"/>
  <c r="O1329" i="1"/>
  <c r="N1329" i="1"/>
  <c r="M1329" i="1"/>
  <c r="F1329" i="1"/>
  <c r="C1329" i="1"/>
  <c r="A1329" i="1"/>
  <c r="O1328" i="1"/>
  <c r="N1328" i="1"/>
  <c r="M1328" i="1"/>
  <c r="F1328" i="1"/>
  <c r="P1328" i="1" s="1"/>
  <c r="C1328" i="1"/>
  <c r="A1328" i="1"/>
  <c r="O1327" i="1"/>
  <c r="N1327" i="1"/>
  <c r="M1327" i="1"/>
  <c r="F1327" i="1"/>
  <c r="P1327" i="1" s="1"/>
  <c r="C1327" i="1"/>
  <c r="A1327" i="1"/>
  <c r="O1326" i="1"/>
  <c r="N1326" i="1"/>
  <c r="M1326" i="1"/>
  <c r="F1326" i="1"/>
  <c r="P1326" i="1" s="1"/>
  <c r="C1326" i="1"/>
  <c r="A1326" i="1"/>
  <c r="P1325" i="1"/>
  <c r="O1325" i="1"/>
  <c r="N1325" i="1"/>
  <c r="M1325" i="1"/>
  <c r="F1325" i="1"/>
  <c r="C1325" i="1"/>
  <c r="A1325" i="1"/>
  <c r="P1324" i="1"/>
  <c r="O1324" i="1"/>
  <c r="N1324" i="1"/>
  <c r="M1324" i="1"/>
  <c r="F1324" i="1"/>
  <c r="C1324" i="1"/>
  <c r="A1324" i="1"/>
  <c r="O1323" i="1"/>
  <c r="N1323" i="1"/>
  <c r="M1323" i="1"/>
  <c r="F1323" i="1"/>
  <c r="P1323" i="1" s="1"/>
  <c r="C1323" i="1"/>
  <c r="A1323" i="1"/>
  <c r="O1322" i="1"/>
  <c r="N1322" i="1"/>
  <c r="M1322" i="1"/>
  <c r="F1322" i="1"/>
  <c r="P1322" i="1" s="1"/>
  <c r="C1322" i="1"/>
  <c r="A1322" i="1"/>
  <c r="O1321" i="1"/>
  <c r="N1321" i="1"/>
  <c r="M1321" i="1"/>
  <c r="F1321" i="1"/>
  <c r="P1321" i="1" s="1"/>
  <c r="C1321" i="1"/>
  <c r="A1321" i="1"/>
  <c r="P1320" i="1"/>
  <c r="O1320" i="1"/>
  <c r="N1320" i="1"/>
  <c r="M1320" i="1"/>
  <c r="F1320" i="1"/>
  <c r="C1320" i="1"/>
  <c r="A1320" i="1"/>
  <c r="P1319" i="1"/>
  <c r="O1319" i="1"/>
  <c r="N1319" i="1"/>
  <c r="M1319" i="1"/>
  <c r="F1319" i="1"/>
  <c r="C1319" i="1"/>
  <c r="A1319" i="1"/>
  <c r="O1318" i="1"/>
  <c r="N1318" i="1"/>
  <c r="M1318" i="1"/>
  <c r="F1318" i="1"/>
  <c r="C1318" i="1"/>
  <c r="A1318" i="1"/>
  <c r="O1317" i="1"/>
  <c r="N1317" i="1"/>
  <c r="M1317" i="1"/>
  <c r="F1317" i="1"/>
  <c r="P1317" i="1" s="1"/>
  <c r="C1317" i="1"/>
  <c r="A1317" i="1"/>
  <c r="O1316" i="1"/>
  <c r="N1316" i="1"/>
  <c r="M1316" i="1"/>
  <c r="F1316" i="1"/>
  <c r="P1316" i="1" s="1"/>
  <c r="C1316" i="1"/>
  <c r="A1316" i="1"/>
  <c r="P1315" i="1"/>
  <c r="O1315" i="1"/>
  <c r="N1315" i="1"/>
  <c r="M1315" i="1"/>
  <c r="F1315" i="1"/>
  <c r="C1315" i="1"/>
  <c r="A1315" i="1"/>
  <c r="P1314" i="1"/>
  <c r="O1314" i="1"/>
  <c r="N1314" i="1"/>
  <c r="M1314" i="1"/>
  <c r="F1314" i="1"/>
  <c r="C1314" i="1"/>
  <c r="A1314" i="1"/>
  <c r="O1313" i="1"/>
  <c r="N1313" i="1"/>
  <c r="M1313" i="1"/>
  <c r="F1313" i="1"/>
  <c r="P1313" i="1" s="1"/>
  <c r="C1313" i="1"/>
  <c r="A1313" i="1"/>
  <c r="O1312" i="1"/>
  <c r="N1312" i="1"/>
  <c r="M1312" i="1"/>
  <c r="F1312" i="1"/>
  <c r="P1312" i="1" s="1"/>
  <c r="C1312" i="1"/>
  <c r="A1312" i="1"/>
  <c r="O1311" i="1"/>
  <c r="N1311" i="1"/>
  <c r="M1311" i="1"/>
  <c r="F1311" i="1"/>
  <c r="P1311" i="1" s="1"/>
  <c r="C1311" i="1"/>
  <c r="A1311" i="1"/>
  <c r="P1310" i="1"/>
  <c r="O1310" i="1"/>
  <c r="N1310" i="1"/>
  <c r="M1310" i="1"/>
  <c r="F1310" i="1"/>
  <c r="C1310" i="1"/>
  <c r="A1310" i="1"/>
  <c r="P1309" i="1"/>
  <c r="O1309" i="1"/>
  <c r="N1309" i="1"/>
  <c r="M1309" i="1"/>
  <c r="F1309" i="1"/>
  <c r="C1309" i="1"/>
  <c r="A1309" i="1"/>
  <c r="O1308" i="1"/>
  <c r="N1308" i="1"/>
  <c r="M1308" i="1"/>
  <c r="F1308" i="1"/>
  <c r="P1308" i="1" s="1"/>
  <c r="C1308" i="1"/>
  <c r="A1308" i="1"/>
  <c r="O1307" i="1"/>
  <c r="N1307" i="1"/>
  <c r="M1307" i="1"/>
  <c r="F1307" i="1"/>
  <c r="P1307" i="1" s="1"/>
  <c r="C1307" i="1"/>
  <c r="A1307" i="1"/>
  <c r="O1306" i="1"/>
  <c r="N1306" i="1"/>
  <c r="M1306" i="1"/>
  <c r="F1306" i="1"/>
  <c r="P1306" i="1" s="1"/>
  <c r="C1306" i="1"/>
  <c r="A1306" i="1"/>
  <c r="P1305" i="1"/>
  <c r="O1305" i="1"/>
  <c r="N1305" i="1"/>
  <c r="M1305" i="1"/>
  <c r="F1305" i="1"/>
  <c r="C1305" i="1"/>
  <c r="A1305" i="1"/>
  <c r="P1304" i="1"/>
  <c r="O1304" i="1"/>
  <c r="N1304" i="1"/>
  <c r="M1304" i="1"/>
  <c r="F1304" i="1"/>
  <c r="C1304" i="1"/>
  <c r="A1304" i="1"/>
  <c r="O1303" i="1"/>
  <c r="N1303" i="1"/>
  <c r="M1303" i="1"/>
  <c r="F1303" i="1"/>
  <c r="P1303" i="1" s="1"/>
  <c r="C1303" i="1"/>
  <c r="A1303" i="1"/>
  <c r="O1302" i="1"/>
  <c r="N1302" i="1"/>
  <c r="M1302" i="1"/>
  <c r="F1302" i="1"/>
  <c r="P1302" i="1" s="1"/>
  <c r="C1302" i="1"/>
  <c r="A1302" i="1"/>
  <c r="O1301" i="1"/>
  <c r="N1301" i="1"/>
  <c r="M1301" i="1"/>
  <c r="F1301" i="1"/>
  <c r="P1301" i="1" s="1"/>
  <c r="C1301" i="1"/>
  <c r="A1301" i="1"/>
  <c r="P1300" i="1"/>
  <c r="O1300" i="1"/>
  <c r="N1300" i="1"/>
  <c r="M1300" i="1"/>
  <c r="F1300" i="1"/>
  <c r="C1300" i="1"/>
  <c r="A1300" i="1"/>
  <c r="O1299" i="1"/>
  <c r="N1299" i="1"/>
  <c r="M1299" i="1"/>
  <c r="F1299" i="1"/>
  <c r="P1299" i="1" s="1"/>
  <c r="C1299" i="1"/>
  <c r="A1299" i="1"/>
  <c r="O1298" i="1"/>
  <c r="N1298" i="1"/>
  <c r="M1298" i="1"/>
  <c r="F1298" i="1"/>
  <c r="P1298" i="1" s="1"/>
  <c r="C1298" i="1"/>
  <c r="A1298" i="1"/>
  <c r="O1297" i="1"/>
  <c r="N1297" i="1"/>
  <c r="M1297" i="1"/>
  <c r="F1297" i="1"/>
  <c r="P1297" i="1" s="1"/>
  <c r="C1297" i="1"/>
  <c r="A1297" i="1"/>
  <c r="O1296" i="1"/>
  <c r="N1296" i="1"/>
  <c r="M1296" i="1"/>
  <c r="F1296" i="1"/>
  <c r="P1296" i="1" s="1"/>
  <c r="C1296" i="1"/>
  <c r="A1296" i="1"/>
  <c r="P1295" i="1"/>
  <c r="O1295" i="1"/>
  <c r="N1295" i="1"/>
  <c r="M1295" i="1"/>
  <c r="F1295" i="1"/>
  <c r="C1295" i="1"/>
  <c r="A1295" i="1"/>
  <c r="P1294" i="1"/>
  <c r="O1294" i="1"/>
  <c r="N1294" i="1"/>
  <c r="M1294" i="1"/>
  <c r="F1294" i="1"/>
  <c r="C1294" i="1"/>
  <c r="A1294" i="1"/>
  <c r="O1293" i="1"/>
  <c r="N1293" i="1"/>
  <c r="M1293" i="1"/>
  <c r="F1293" i="1"/>
  <c r="C1293" i="1"/>
  <c r="A1293" i="1"/>
  <c r="O1292" i="1"/>
  <c r="N1292" i="1"/>
  <c r="M1292" i="1"/>
  <c r="F1292" i="1"/>
  <c r="P1292" i="1" s="1"/>
  <c r="C1292" i="1"/>
  <c r="A1292" i="1"/>
  <c r="O1291" i="1"/>
  <c r="N1291" i="1"/>
  <c r="M1291" i="1"/>
  <c r="F1291" i="1"/>
  <c r="P1291" i="1" s="1"/>
  <c r="C1291" i="1"/>
  <c r="A1291" i="1"/>
  <c r="P1290" i="1"/>
  <c r="O1290" i="1"/>
  <c r="N1290" i="1"/>
  <c r="M1290" i="1"/>
  <c r="F1290" i="1"/>
  <c r="C1290" i="1"/>
  <c r="A1290" i="1"/>
  <c r="O1289" i="1"/>
  <c r="N1289" i="1"/>
  <c r="M1289" i="1"/>
  <c r="F1289" i="1"/>
  <c r="P1289" i="1" s="1"/>
  <c r="C1289" i="1"/>
  <c r="A1289" i="1"/>
  <c r="O1288" i="1"/>
  <c r="N1288" i="1"/>
  <c r="M1288" i="1"/>
  <c r="F1288" i="1"/>
  <c r="P1288" i="1" s="1"/>
  <c r="C1288" i="1"/>
  <c r="A1288" i="1"/>
  <c r="O1287" i="1"/>
  <c r="N1287" i="1"/>
  <c r="M1287" i="1"/>
  <c r="F1287" i="1"/>
  <c r="P1287" i="1" s="1"/>
  <c r="C1287" i="1"/>
  <c r="A1287" i="1"/>
  <c r="O1286" i="1"/>
  <c r="N1286" i="1"/>
  <c r="M1286" i="1"/>
  <c r="F1286" i="1"/>
  <c r="P1286" i="1" s="1"/>
  <c r="C1286" i="1"/>
  <c r="A1286" i="1"/>
  <c r="P1285" i="1"/>
  <c r="O1285" i="1"/>
  <c r="N1285" i="1"/>
  <c r="M1285" i="1"/>
  <c r="F1285" i="1"/>
  <c r="C1285" i="1"/>
  <c r="A1285" i="1"/>
  <c r="O1284" i="1"/>
  <c r="N1284" i="1"/>
  <c r="M1284" i="1"/>
  <c r="F1284" i="1"/>
  <c r="P1284" i="1" s="1"/>
  <c r="C1284" i="1"/>
  <c r="A1284" i="1"/>
  <c r="O1283" i="1"/>
  <c r="N1283" i="1"/>
  <c r="M1283" i="1"/>
  <c r="F1283" i="1"/>
  <c r="P1283" i="1" s="1"/>
  <c r="C1283" i="1"/>
  <c r="A1283" i="1"/>
  <c r="O1282" i="1"/>
  <c r="N1282" i="1"/>
  <c r="M1282" i="1"/>
  <c r="F1282" i="1"/>
  <c r="P1282" i="1" s="1"/>
  <c r="C1282" i="1"/>
  <c r="A1282" i="1"/>
  <c r="O1281" i="1"/>
  <c r="N1281" i="1"/>
  <c r="M1281" i="1"/>
  <c r="F1281" i="1"/>
  <c r="P1281" i="1" s="1"/>
  <c r="C1281" i="1"/>
  <c r="A1281" i="1"/>
  <c r="P1280" i="1"/>
  <c r="O1280" i="1"/>
  <c r="N1280" i="1"/>
  <c r="M1280" i="1"/>
  <c r="F1280" i="1"/>
  <c r="C1280" i="1"/>
  <c r="A1280" i="1"/>
  <c r="P1279" i="1"/>
  <c r="O1279" i="1"/>
  <c r="N1279" i="1"/>
  <c r="M1279" i="1"/>
  <c r="F1279" i="1"/>
  <c r="C1279" i="1"/>
  <c r="A1279" i="1"/>
  <c r="O1278" i="1"/>
  <c r="N1278" i="1"/>
  <c r="M1278" i="1"/>
  <c r="F1278" i="1"/>
  <c r="C1278" i="1"/>
  <c r="A1278" i="1"/>
  <c r="O1277" i="1"/>
  <c r="N1277" i="1"/>
  <c r="M1277" i="1"/>
  <c r="F1277" i="1"/>
  <c r="C1277" i="1"/>
  <c r="A1277" i="1"/>
  <c r="O1276" i="1"/>
  <c r="N1276" i="1"/>
  <c r="M1276" i="1"/>
  <c r="F1276" i="1"/>
  <c r="P1276" i="1" s="1"/>
  <c r="C1276" i="1"/>
  <c r="A1276" i="1"/>
  <c r="P1275" i="1"/>
  <c r="O1275" i="1"/>
  <c r="N1275" i="1"/>
  <c r="M1275" i="1"/>
  <c r="F1275" i="1"/>
  <c r="C1275" i="1"/>
  <c r="A1275" i="1"/>
  <c r="O1274" i="1"/>
  <c r="N1274" i="1"/>
  <c r="M1274" i="1"/>
  <c r="F1274" i="1"/>
  <c r="P1274" i="1" s="1"/>
  <c r="C1274" i="1"/>
  <c r="A1274" i="1"/>
  <c r="O1273" i="1"/>
  <c r="N1273" i="1"/>
  <c r="M1273" i="1"/>
  <c r="F1273" i="1"/>
  <c r="P1273" i="1" s="1"/>
  <c r="C1273" i="1"/>
  <c r="A1273" i="1"/>
  <c r="O1272" i="1"/>
  <c r="N1272" i="1"/>
  <c r="M1272" i="1"/>
  <c r="F1272" i="1"/>
  <c r="P1272" i="1" s="1"/>
  <c r="C1272" i="1"/>
  <c r="A1272" i="1"/>
  <c r="O1271" i="1"/>
  <c r="N1271" i="1"/>
  <c r="M1271" i="1"/>
  <c r="F1271" i="1"/>
  <c r="P1271" i="1" s="1"/>
  <c r="C1271" i="1"/>
  <c r="A1271" i="1"/>
  <c r="P1270" i="1"/>
  <c r="O1270" i="1"/>
  <c r="N1270" i="1"/>
  <c r="M1270" i="1"/>
  <c r="F1270" i="1"/>
  <c r="C1270" i="1"/>
  <c r="A1270" i="1"/>
  <c r="P1269" i="1"/>
  <c r="O1269" i="1"/>
  <c r="N1269" i="1"/>
  <c r="M1269" i="1"/>
  <c r="F1269" i="1"/>
  <c r="C1269" i="1"/>
  <c r="A1269" i="1"/>
  <c r="O1268" i="1"/>
  <c r="N1268" i="1"/>
  <c r="M1268" i="1"/>
  <c r="F1268" i="1"/>
  <c r="C1268" i="1"/>
  <c r="A1268" i="1"/>
  <c r="O1267" i="1"/>
  <c r="N1267" i="1"/>
  <c r="M1267" i="1"/>
  <c r="F1267" i="1"/>
  <c r="P1267" i="1" s="1"/>
  <c r="C1267" i="1"/>
  <c r="A1267" i="1"/>
  <c r="O1266" i="1"/>
  <c r="N1266" i="1"/>
  <c r="M1266" i="1"/>
  <c r="F1266" i="1"/>
  <c r="P1266" i="1" s="1"/>
  <c r="C1266" i="1"/>
  <c r="A1266" i="1"/>
  <c r="O1265" i="1"/>
  <c r="N1265" i="1"/>
  <c r="M1265" i="1"/>
  <c r="F1265" i="1"/>
  <c r="P1265" i="1" s="1"/>
  <c r="C1265" i="1"/>
  <c r="A1265" i="1"/>
  <c r="O1264" i="1"/>
  <c r="N1264" i="1"/>
  <c r="M1264" i="1"/>
  <c r="F1264" i="1"/>
  <c r="P1264" i="1" s="1"/>
  <c r="C1264" i="1"/>
  <c r="A1264" i="1"/>
  <c r="P1263" i="1"/>
  <c r="O1263" i="1"/>
  <c r="N1263" i="1"/>
  <c r="M1263" i="1"/>
  <c r="F1263" i="1"/>
  <c r="C1263" i="1"/>
  <c r="A1263" i="1"/>
  <c r="O1262" i="1"/>
  <c r="N1262" i="1"/>
  <c r="M1262" i="1"/>
  <c r="F1262" i="1"/>
  <c r="P1262" i="1" s="1"/>
  <c r="C1262" i="1"/>
  <c r="A1262" i="1"/>
  <c r="O1261" i="1"/>
  <c r="N1261" i="1"/>
  <c r="M1261" i="1"/>
  <c r="F1261" i="1"/>
  <c r="P1261" i="1" s="1"/>
  <c r="C1261" i="1"/>
  <c r="A1261" i="1"/>
  <c r="O1260" i="1"/>
  <c r="N1260" i="1"/>
  <c r="M1260" i="1"/>
  <c r="F1260" i="1"/>
  <c r="P1260" i="1" s="1"/>
  <c r="C1260" i="1"/>
  <c r="A1260" i="1"/>
  <c r="P1259" i="1"/>
  <c r="O1259" i="1"/>
  <c r="N1259" i="1"/>
  <c r="M1259" i="1"/>
  <c r="F1259" i="1"/>
  <c r="C1259" i="1"/>
  <c r="A1259" i="1"/>
  <c r="O1258" i="1"/>
  <c r="N1258" i="1"/>
  <c r="M1258" i="1"/>
  <c r="F1258" i="1"/>
  <c r="C1258" i="1"/>
  <c r="A1258" i="1"/>
  <c r="O1257" i="1"/>
  <c r="N1257" i="1"/>
  <c r="M1257" i="1"/>
  <c r="F1257" i="1"/>
  <c r="C1257" i="1"/>
  <c r="A1257" i="1"/>
  <c r="O1256" i="1"/>
  <c r="N1256" i="1"/>
  <c r="M1256" i="1"/>
  <c r="F1256" i="1"/>
  <c r="P1256" i="1" s="1"/>
  <c r="C1256" i="1"/>
  <c r="A1256" i="1"/>
  <c r="P1255" i="1"/>
  <c r="O1255" i="1"/>
  <c r="N1255" i="1"/>
  <c r="M1255" i="1"/>
  <c r="F1255" i="1"/>
  <c r="C1255" i="1"/>
  <c r="A1255" i="1"/>
  <c r="O1254" i="1"/>
  <c r="N1254" i="1"/>
  <c r="M1254" i="1"/>
  <c r="F1254" i="1"/>
  <c r="P1254" i="1" s="1"/>
  <c r="C1254" i="1"/>
  <c r="A1254" i="1"/>
  <c r="O1253" i="1"/>
  <c r="N1253" i="1"/>
  <c r="M1253" i="1"/>
  <c r="F1253" i="1"/>
  <c r="P1253" i="1" s="1"/>
  <c r="C1253" i="1"/>
  <c r="A1253" i="1"/>
  <c r="O1252" i="1"/>
  <c r="N1252" i="1"/>
  <c r="M1252" i="1"/>
  <c r="F1252" i="1"/>
  <c r="P1252" i="1" s="1"/>
  <c r="C1252" i="1"/>
  <c r="A1252" i="1"/>
  <c r="O1251" i="1"/>
  <c r="N1251" i="1"/>
  <c r="M1251" i="1"/>
  <c r="F1251" i="1"/>
  <c r="C1251" i="1"/>
  <c r="A1251" i="1"/>
  <c r="O1250" i="1"/>
  <c r="N1250" i="1"/>
  <c r="M1250" i="1"/>
  <c r="F1250" i="1"/>
  <c r="P1250" i="1" s="1"/>
  <c r="C1250" i="1"/>
  <c r="A1250" i="1"/>
  <c r="P1249" i="1"/>
  <c r="O1249" i="1"/>
  <c r="N1249" i="1"/>
  <c r="M1249" i="1"/>
  <c r="F1249" i="1"/>
  <c r="C1249" i="1"/>
  <c r="A1249" i="1"/>
  <c r="P1248" i="1"/>
  <c r="O1248" i="1"/>
  <c r="N1248" i="1"/>
  <c r="M1248" i="1"/>
  <c r="F1248" i="1"/>
  <c r="C1248" i="1"/>
  <c r="A1248" i="1"/>
  <c r="O1247" i="1"/>
  <c r="N1247" i="1"/>
  <c r="M1247" i="1"/>
  <c r="F1247" i="1"/>
  <c r="P1247" i="1" s="1"/>
  <c r="C1247" i="1"/>
  <c r="A1247" i="1"/>
  <c r="O1246" i="1"/>
  <c r="N1246" i="1"/>
  <c r="M1246" i="1"/>
  <c r="F1246" i="1"/>
  <c r="P1246" i="1" s="1"/>
  <c r="C1246" i="1"/>
  <c r="A1246" i="1"/>
  <c r="P1245" i="1"/>
  <c r="O1245" i="1"/>
  <c r="N1245" i="1"/>
  <c r="M1245" i="1"/>
  <c r="F1245" i="1"/>
  <c r="C1245" i="1"/>
  <c r="A1245" i="1"/>
  <c r="O1244" i="1"/>
  <c r="N1244" i="1"/>
  <c r="M1244" i="1"/>
  <c r="F1244" i="1"/>
  <c r="P1244" i="1" s="1"/>
  <c r="C1244" i="1"/>
  <c r="A1244" i="1"/>
  <c r="O1243" i="1"/>
  <c r="N1243" i="1"/>
  <c r="M1243" i="1"/>
  <c r="F1243" i="1"/>
  <c r="C1243" i="1"/>
  <c r="A1243" i="1"/>
  <c r="O1242" i="1"/>
  <c r="N1242" i="1"/>
  <c r="M1242" i="1"/>
  <c r="F1242" i="1"/>
  <c r="P1242" i="1" s="1"/>
  <c r="C1242" i="1"/>
  <c r="A1242" i="1"/>
  <c r="O1241" i="1"/>
  <c r="N1241" i="1"/>
  <c r="M1241" i="1"/>
  <c r="F1241" i="1"/>
  <c r="P1241" i="1" s="1"/>
  <c r="C1241" i="1"/>
  <c r="A1241" i="1"/>
  <c r="O1240" i="1"/>
  <c r="N1240" i="1"/>
  <c r="M1240" i="1"/>
  <c r="F1240" i="1"/>
  <c r="P1240" i="1" s="1"/>
  <c r="C1240" i="1"/>
  <c r="A1240" i="1"/>
  <c r="O1239" i="1"/>
  <c r="N1239" i="1"/>
  <c r="M1239" i="1"/>
  <c r="F1239" i="1"/>
  <c r="P1239" i="1" s="1"/>
  <c r="C1239" i="1"/>
  <c r="A1239" i="1"/>
  <c r="P1238" i="1"/>
  <c r="O1238" i="1"/>
  <c r="N1238" i="1"/>
  <c r="M1238" i="1"/>
  <c r="F1238" i="1"/>
  <c r="C1238" i="1"/>
  <c r="A1238" i="1"/>
  <c r="O1237" i="1"/>
  <c r="N1237" i="1"/>
  <c r="M1237" i="1"/>
  <c r="F1237" i="1"/>
  <c r="P1237" i="1" s="1"/>
  <c r="C1237" i="1"/>
  <c r="A1237" i="1"/>
  <c r="O1236" i="1"/>
  <c r="N1236" i="1"/>
  <c r="M1236" i="1"/>
  <c r="F1236" i="1"/>
  <c r="P1236" i="1" s="1"/>
  <c r="C1236" i="1"/>
  <c r="A1236" i="1"/>
  <c r="O1235" i="1"/>
  <c r="N1235" i="1"/>
  <c r="M1235" i="1"/>
  <c r="F1235" i="1"/>
  <c r="P1235" i="1" s="1"/>
  <c r="C1235" i="1"/>
  <c r="A1235" i="1"/>
  <c r="P1234" i="1"/>
  <c r="O1234" i="1"/>
  <c r="N1234" i="1"/>
  <c r="M1234" i="1"/>
  <c r="F1234" i="1"/>
  <c r="C1234" i="1"/>
  <c r="A1234" i="1"/>
  <c r="O1233" i="1"/>
  <c r="N1233" i="1"/>
  <c r="M1233" i="1"/>
  <c r="F1233" i="1"/>
  <c r="C1233" i="1"/>
  <c r="A1233" i="1"/>
  <c r="O1232" i="1"/>
  <c r="N1232" i="1"/>
  <c r="M1232" i="1"/>
  <c r="F1232" i="1"/>
  <c r="C1232" i="1"/>
  <c r="A1232" i="1"/>
  <c r="O1231" i="1"/>
  <c r="N1231" i="1"/>
  <c r="M1231" i="1"/>
  <c r="F1231" i="1"/>
  <c r="P1231" i="1" s="1"/>
  <c r="C1231" i="1"/>
  <c r="A1231" i="1"/>
  <c r="P1230" i="1"/>
  <c r="O1230" i="1"/>
  <c r="N1230" i="1"/>
  <c r="M1230" i="1"/>
  <c r="F1230" i="1"/>
  <c r="C1230" i="1"/>
  <c r="A1230" i="1"/>
  <c r="O1229" i="1"/>
  <c r="N1229" i="1"/>
  <c r="M1229" i="1"/>
  <c r="F1229" i="1"/>
  <c r="P1229" i="1" s="1"/>
  <c r="C1229" i="1"/>
  <c r="A1229" i="1"/>
  <c r="O1228" i="1"/>
  <c r="N1228" i="1"/>
  <c r="M1228" i="1"/>
  <c r="F1228" i="1"/>
  <c r="P1228" i="1" s="1"/>
  <c r="C1228" i="1"/>
  <c r="A1228" i="1"/>
  <c r="O1227" i="1"/>
  <c r="N1227" i="1"/>
  <c r="M1227" i="1"/>
  <c r="F1227" i="1"/>
  <c r="P1227" i="1" s="1"/>
  <c r="C1227" i="1"/>
  <c r="A1227" i="1"/>
  <c r="O1226" i="1"/>
  <c r="N1226" i="1"/>
  <c r="M1226" i="1"/>
  <c r="F1226" i="1"/>
  <c r="C1226" i="1"/>
  <c r="A1226" i="1"/>
  <c r="O1225" i="1"/>
  <c r="N1225" i="1"/>
  <c r="M1225" i="1"/>
  <c r="F1225" i="1"/>
  <c r="P1225" i="1" s="1"/>
  <c r="C1225" i="1"/>
  <c r="A1225" i="1"/>
  <c r="P1224" i="1"/>
  <c r="O1224" i="1"/>
  <c r="N1224" i="1"/>
  <c r="M1224" i="1"/>
  <c r="F1224" i="1"/>
  <c r="C1224" i="1"/>
  <c r="A1224" i="1"/>
  <c r="P1223" i="1"/>
  <c r="O1223" i="1"/>
  <c r="N1223" i="1"/>
  <c r="M1223" i="1"/>
  <c r="F1223" i="1"/>
  <c r="C1223" i="1"/>
  <c r="A1223" i="1"/>
  <c r="O1222" i="1"/>
  <c r="N1222" i="1"/>
  <c r="M1222" i="1"/>
  <c r="F1222" i="1"/>
  <c r="P1222" i="1" s="1"/>
  <c r="C1222" i="1"/>
  <c r="A1222" i="1"/>
  <c r="O1221" i="1"/>
  <c r="N1221" i="1"/>
  <c r="M1221" i="1"/>
  <c r="F1221" i="1"/>
  <c r="P1221" i="1" s="1"/>
  <c r="C1221" i="1"/>
  <c r="A1221" i="1"/>
  <c r="P1220" i="1"/>
  <c r="O1220" i="1"/>
  <c r="N1220" i="1"/>
  <c r="M1220" i="1"/>
  <c r="F1220" i="1"/>
  <c r="C1220" i="1"/>
  <c r="A1220" i="1"/>
  <c r="O1219" i="1"/>
  <c r="N1219" i="1"/>
  <c r="M1219" i="1"/>
  <c r="F1219" i="1"/>
  <c r="P1219" i="1" s="1"/>
  <c r="C1219" i="1"/>
  <c r="A1219" i="1"/>
  <c r="O1218" i="1"/>
  <c r="N1218" i="1"/>
  <c r="M1218" i="1"/>
  <c r="F1218" i="1"/>
  <c r="C1218" i="1"/>
  <c r="A1218" i="1"/>
  <c r="O1217" i="1"/>
  <c r="N1217" i="1"/>
  <c r="M1217" i="1"/>
  <c r="F1217" i="1"/>
  <c r="P1217" i="1" s="1"/>
  <c r="C1217" i="1"/>
  <c r="A1217" i="1"/>
  <c r="O1216" i="1"/>
  <c r="N1216" i="1"/>
  <c r="M1216" i="1"/>
  <c r="F1216" i="1"/>
  <c r="P1216" i="1" s="1"/>
  <c r="C1216" i="1"/>
  <c r="A1216" i="1"/>
  <c r="O1215" i="1"/>
  <c r="N1215" i="1"/>
  <c r="M1215" i="1"/>
  <c r="F1215" i="1"/>
  <c r="P1215" i="1" s="1"/>
  <c r="C1215" i="1"/>
  <c r="A1215" i="1"/>
  <c r="O1214" i="1"/>
  <c r="N1214" i="1"/>
  <c r="M1214" i="1"/>
  <c r="F1214" i="1"/>
  <c r="P1214" i="1" s="1"/>
  <c r="C1214" i="1"/>
  <c r="A1214" i="1"/>
  <c r="P1213" i="1"/>
  <c r="O1213" i="1"/>
  <c r="N1213" i="1"/>
  <c r="M1213" i="1"/>
  <c r="F1213" i="1"/>
  <c r="C1213" i="1"/>
  <c r="A1213" i="1"/>
  <c r="O1212" i="1"/>
  <c r="N1212" i="1"/>
  <c r="M1212" i="1"/>
  <c r="F1212" i="1"/>
  <c r="P1212" i="1" s="1"/>
  <c r="C1212" i="1"/>
  <c r="A1212" i="1"/>
  <c r="O1211" i="1"/>
  <c r="N1211" i="1"/>
  <c r="M1211" i="1"/>
  <c r="F1211" i="1"/>
  <c r="P1211" i="1" s="1"/>
  <c r="C1211" i="1"/>
  <c r="A1211" i="1"/>
  <c r="O1210" i="1"/>
  <c r="N1210" i="1"/>
  <c r="M1210" i="1"/>
  <c r="F1210" i="1"/>
  <c r="P1210" i="1" s="1"/>
  <c r="C1210" i="1"/>
  <c r="A1210" i="1"/>
  <c r="P1209" i="1"/>
  <c r="O1209" i="1"/>
  <c r="N1209" i="1"/>
  <c r="M1209" i="1"/>
  <c r="F1209" i="1"/>
  <c r="C1209" i="1"/>
  <c r="A1209" i="1"/>
  <c r="O1208" i="1"/>
  <c r="N1208" i="1"/>
  <c r="M1208" i="1"/>
  <c r="F1208" i="1"/>
  <c r="C1208" i="1"/>
  <c r="A1208" i="1"/>
  <c r="O1207" i="1"/>
  <c r="N1207" i="1"/>
  <c r="M1207" i="1"/>
  <c r="F1207" i="1"/>
  <c r="C1207" i="1"/>
  <c r="A1207" i="1"/>
  <c r="O1206" i="1"/>
  <c r="N1206" i="1"/>
  <c r="M1206" i="1"/>
  <c r="F1206" i="1"/>
  <c r="P1206" i="1" s="1"/>
  <c r="C1206" i="1"/>
  <c r="A1206" i="1"/>
  <c r="P1205" i="1"/>
  <c r="O1205" i="1"/>
  <c r="N1205" i="1"/>
  <c r="M1205" i="1"/>
  <c r="F1205" i="1"/>
  <c r="C1205" i="1"/>
  <c r="A1205" i="1"/>
  <c r="O1204" i="1"/>
  <c r="N1204" i="1"/>
  <c r="M1204" i="1"/>
  <c r="F1204" i="1"/>
  <c r="P1204" i="1" s="1"/>
  <c r="C1204" i="1"/>
  <c r="A1204" i="1"/>
  <c r="O1203" i="1"/>
  <c r="N1203" i="1"/>
  <c r="M1203" i="1"/>
  <c r="F1203" i="1"/>
  <c r="P1203" i="1" s="1"/>
  <c r="C1203" i="1"/>
  <c r="A1203" i="1"/>
  <c r="O1202" i="1"/>
  <c r="N1202" i="1"/>
  <c r="M1202" i="1"/>
  <c r="F1202" i="1"/>
  <c r="P1202" i="1" s="1"/>
  <c r="C1202" i="1"/>
  <c r="A1202" i="1"/>
  <c r="O1201" i="1"/>
  <c r="N1201" i="1"/>
  <c r="M1201" i="1"/>
  <c r="F1201" i="1"/>
  <c r="C1201" i="1"/>
  <c r="A1201" i="1"/>
  <c r="O1200" i="1"/>
  <c r="N1200" i="1"/>
  <c r="M1200" i="1"/>
  <c r="F1200" i="1"/>
  <c r="P1200" i="1" s="1"/>
  <c r="C1200" i="1"/>
  <c r="A1200" i="1"/>
  <c r="P1199" i="1"/>
  <c r="O1199" i="1"/>
  <c r="N1199" i="1"/>
  <c r="M1199" i="1"/>
  <c r="F1199" i="1"/>
  <c r="C1199" i="1"/>
  <c r="A1199" i="1"/>
  <c r="P1198" i="1"/>
  <c r="O1198" i="1"/>
  <c r="N1198" i="1"/>
  <c r="M1198" i="1"/>
  <c r="F1198" i="1"/>
  <c r="C1198" i="1"/>
  <c r="A1198" i="1"/>
  <c r="O1197" i="1"/>
  <c r="N1197" i="1"/>
  <c r="M1197" i="1"/>
  <c r="F1197" i="1"/>
  <c r="P1197" i="1" s="1"/>
  <c r="C1197" i="1"/>
  <c r="A1197" i="1"/>
  <c r="O1196" i="1"/>
  <c r="N1196" i="1"/>
  <c r="M1196" i="1"/>
  <c r="F1196" i="1"/>
  <c r="P1196" i="1" s="1"/>
  <c r="C1196" i="1"/>
  <c r="A1196" i="1"/>
  <c r="P1195" i="1"/>
  <c r="O1195" i="1"/>
  <c r="N1195" i="1"/>
  <c r="M1195" i="1"/>
  <c r="F1195" i="1"/>
  <c r="C1195" i="1"/>
  <c r="A1195" i="1"/>
  <c r="O1194" i="1"/>
  <c r="N1194" i="1"/>
  <c r="M1194" i="1"/>
  <c r="F1194" i="1"/>
  <c r="P1194" i="1" s="1"/>
  <c r="C1194" i="1"/>
  <c r="A1194" i="1"/>
  <c r="O1193" i="1"/>
  <c r="N1193" i="1"/>
  <c r="M1193" i="1"/>
  <c r="F1193" i="1"/>
  <c r="C1193" i="1"/>
  <c r="A1193" i="1"/>
  <c r="O1192" i="1"/>
  <c r="N1192" i="1"/>
  <c r="M1192" i="1"/>
  <c r="F1192" i="1"/>
  <c r="P1192" i="1" s="1"/>
  <c r="C1192" i="1"/>
  <c r="A1192" i="1"/>
  <c r="O1191" i="1"/>
  <c r="N1191" i="1"/>
  <c r="M1191" i="1"/>
  <c r="F1191" i="1"/>
  <c r="P1191" i="1" s="1"/>
  <c r="C1191" i="1"/>
  <c r="A1191" i="1"/>
  <c r="O1190" i="1"/>
  <c r="N1190" i="1"/>
  <c r="M1190" i="1"/>
  <c r="F1190" i="1"/>
  <c r="P1190" i="1" s="1"/>
  <c r="C1190" i="1"/>
  <c r="A1190" i="1"/>
  <c r="O1189" i="1"/>
  <c r="N1189" i="1"/>
  <c r="M1189" i="1"/>
  <c r="F1189" i="1"/>
  <c r="P1189" i="1" s="1"/>
  <c r="C1189" i="1"/>
  <c r="A1189" i="1"/>
  <c r="P1188" i="1"/>
  <c r="O1188" i="1"/>
  <c r="N1188" i="1"/>
  <c r="M1188" i="1"/>
  <c r="F1188" i="1"/>
  <c r="C1188" i="1"/>
  <c r="A1188" i="1"/>
  <c r="O1187" i="1"/>
  <c r="N1187" i="1"/>
  <c r="M1187" i="1"/>
  <c r="F1187" i="1"/>
  <c r="P1187" i="1" s="1"/>
  <c r="C1187" i="1"/>
  <c r="A1187" i="1"/>
  <c r="O1186" i="1"/>
  <c r="N1186" i="1"/>
  <c r="M1186" i="1"/>
  <c r="F1186" i="1"/>
  <c r="P1186" i="1" s="1"/>
  <c r="C1186" i="1"/>
  <c r="A1186" i="1"/>
  <c r="O1185" i="1"/>
  <c r="N1185" i="1"/>
  <c r="M1185" i="1"/>
  <c r="F1185" i="1"/>
  <c r="P1185" i="1" s="1"/>
  <c r="C1185" i="1"/>
  <c r="A1185" i="1"/>
  <c r="P1184" i="1"/>
  <c r="O1184" i="1"/>
  <c r="N1184" i="1"/>
  <c r="M1184" i="1"/>
  <c r="F1184" i="1"/>
  <c r="C1184" i="1"/>
  <c r="A1184" i="1"/>
  <c r="O1183" i="1"/>
  <c r="N1183" i="1"/>
  <c r="M1183" i="1"/>
  <c r="F1183" i="1"/>
  <c r="C1183" i="1"/>
  <c r="A1183" i="1"/>
  <c r="O1182" i="1"/>
  <c r="N1182" i="1"/>
  <c r="M1182" i="1"/>
  <c r="F1182" i="1"/>
  <c r="C1182" i="1"/>
  <c r="A1182" i="1"/>
  <c r="O1181" i="1"/>
  <c r="N1181" i="1"/>
  <c r="M1181" i="1"/>
  <c r="F1181" i="1"/>
  <c r="P1181" i="1" s="1"/>
  <c r="C1181" i="1"/>
  <c r="A1181" i="1"/>
  <c r="P1180" i="1"/>
  <c r="O1180" i="1"/>
  <c r="N1180" i="1"/>
  <c r="M1180" i="1"/>
  <c r="F1180" i="1"/>
  <c r="C1180" i="1"/>
  <c r="A1180" i="1"/>
  <c r="O1179" i="1"/>
  <c r="N1179" i="1"/>
  <c r="M1179" i="1"/>
  <c r="F1179" i="1"/>
  <c r="P1179" i="1" s="1"/>
  <c r="C1179" i="1"/>
  <c r="A1179" i="1"/>
  <c r="O1178" i="1"/>
  <c r="N1178" i="1"/>
  <c r="M1178" i="1"/>
  <c r="F1178" i="1"/>
  <c r="P1178" i="1" s="1"/>
  <c r="C1178" i="1"/>
  <c r="A1178" i="1"/>
  <c r="O1177" i="1"/>
  <c r="N1177" i="1"/>
  <c r="M1177" i="1"/>
  <c r="F1177" i="1"/>
  <c r="P1177" i="1" s="1"/>
  <c r="C1177" i="1"/>
  <c r="A1177" i="1"/>
  <c r="O1176" i="1"/>
  <c r="N1176" i="1"/>
  <c r="M1176" i="1"/>
  <c r="F1176" i="1"/>
  <c r="C1176" i="1"/>
  <c r="A1176" i="1"/>
  <c r="O1175" i="1"/>
  <c r="N1175" i="1"/>
  <c r="M1175" i="1"/>
  <c r="F1175" i="1"/>
  <c r="P1175" i="1" s="1"/>
  <c r="C1175" i="1"/>
  <c r="A1175" i="1"/>
  <c r="P1174" i="1"/>
  <c r="O1174" i="1"/>
  <c r="N1174" i="1"/>
  <c r="M1174" i="1"/>
  <c r="F1174" i="1"/>
  <c r="C1174" i="1"/>
  <c r="A1174" i="1"/>
  <c r="P1173" i="1"/>
  <c r="O1173" i="1"/>
  <c r="N1173" i="1"/>
  <c r="M1173" i="1"/>
  <c r="F1173" i="1"/>
  <c r="C1173" i="1"/>
  <c r="A1173" i="1"/>
  <c r="O1172" i="1"/>
  <c r="N1172" i="1"/>
  <c r="M1172" i="1"/>
  <c r="F1172" i="1"/>
  <c r="P1172" i="1" s="1"/>
  <c r="C1172" i="1"/>
  <c r="A1172" i="1"/>
  <c r="O1171" i="1"/>
  <c r="N1171" i="1"/>
  <c r="M1171" i="1"/>
  <c r="F1171" i="1"/>
  <c r="P1171" i="1" s="1"/>
  <c r="C1171" i="1"/>
  <c r="A1171" i="1"/>
  <c r="P1170" i="1"/>
  <c r="O1170" i="1"/>
  <c r="N1170" i="1"/>
  <c r="M1170" i="1"/>
  <c r="F1170" i="1"/>
  <c r="C1170" i="1"/>
  <c r="A1170" i="1"/>
  <c r="O1169" i="1"/>
  <c r="N1169" i="1"/>
  <c r="M1169" i="1"/>
  <c r="F1169" i="1"/>
  <c r="P1169" i="1" s="1"/>
  <c r="C1169" i="1"/>
  <c r="A1169" i="1"/>
  <c r="O1168" i="1"/>
  <c r="N1168" i="1"/>
  <c r="M1168" i="1"/>
  <c r="F1168" i="1"/>
  <c r="C1168" i="1"/>
  <c r="A1168" i="1"/>
  <c r="O1167" i="1"/>
  <c r="N1167" i="1"/>
  <c r="M1167" i="1"/>
  <c r="F1167" i="1"/>
  <c r="P1167" i="1" s="1"/>
  <c r="C1167" i="1"/>
  <c r="A1167" i="1"/>
  <c r="O1166" i="1"/>
  <c r="N1166" i="1"/>
  <c r="M1166" i="1"/>
  <c r="F1166" i="1"/>
  <c r="P1166" i="1" s="1"/>
  <c r="C1166" i="1"/>
  <c r="A1166" i="1"/>
  <c r="O1165" i="1"/>
  <c r="N1165" i="1"/>
  <c r="M1165" i="1"/>
  <c r="F1165" i="1"/>
  <c r="C1165" i="1"/>
  <c r="A1165" i="1"/>
  <c r="O1164" i="1"/>
  <c r="N1164" i="1"/>
  <c r="M1164" i="1"/>
  <c r="F1164" i="1"/>
  <c r="P1164" i="1" s="1"/>
  <c r="C1164" i="1"/>
  <c r="A1164" i="1"/>
  <c r="P1163" i="1"/>
  <c r="O1163" i="1"/>
  <c r="N1163" i="1"/>
  <c r="M1163" i="1"/>
  <c r="F1163" i="1"/>
  <c r="C1163" i="1"/>
  <c r="A1163" i="1"/>
  <c r="P1162" i="1"/>
  <c r="O1162" i="1"/>
  <c r="N1162" i="1"/>
  <c r="M1162" i="1"/>
  <c r="F1162" i="1"/>
  <c r="C1162" i="1"/>
  <c r="A1162" i="1"/>
  <c r="O1161" i="1"/>
  <c r="N1161" i="1"/>
  <c r="M1161" i="1"/>
  <c r="F1161" i="1"/>
  <c r="C1161" i="1"/>
  <c r="A1161" i="1"/>
  <c r="O1160" i="1"/>
  <c r="N1160" i="1"/>
  <c r="M1160" i="1"/>
  <c r="F1160" i="1"/>
  <c r="P1160" i="1" s="1"/>
  <c r="C1160" i="1"/>
  <c r="A1160" i="1"/>
  <c r="O1159" i="1"/>
  <c r="N1159" i="1"/>
  <c r="M1159" i="1"/>
  <c r="F1159" i="1"/>
  <c r="P1159" i="1" s="1"/>
  <c r="C1159" i="1"/>
  <c r="A1159" i="1"/>
  <c r="P1158" i="1"/>
  <c r="O1158" i="1"/>
  <c r="N1158" i="1"/>
  <c r="M1158" i="1"/>
  <c r="F1158" i="1"/>
  <c r="C1158" i="1"/>
  <c r="A1158" i="1"/>
  <c r="P1157" i="1"/>
  <c r="O1157" i="1"/>
  <c r="N1157" i="1"/>
  <c r="M1157" i="1"/>
  <c r="F1157" i="1"/>
  <c r="C1157" i="1"/>
  <c r="A1157" i="1"/>
  <c r="O1156" i="1"/>
  <c r="N1156" i="1"/>
  <c r="M1156" i="1"/>
  <c r="F1156" i="1"/>
  <c r="P1156" i="1" s="1"/>
  <c r="C1156" i="1"/>
  <c r="A1156" i="1"/>
  <c r="O1155" i="1"/>
  <c r="N1155" i="1"/>
  <c r="M1155" i="1"/>
  <c r="F1155" i="1"/>
  <c r="P1155" i="1" s="1"/>
  <c r="C1155" i="1"/>
  <c r="A1155" i="1"/>
  <c r="P1154" i="1"/>
  <c r="O1154" i="1"/>
  <c r="N1154" i="1"/>
  <c r="M1154" i="1"/>
  <c r="F1154" i="1"/>
  <c r="C1154" i="1"/>
  <c r="A1154" i="1"/>
  <c r="P1153" i="1"/>
  <c r="O1153" i="1"/>
  <c r="N1153" i="1"/>
  <c r="M1153" i="1"/>
  <c r="F1153" i="1"/>
  <c r="C1153" i="1"/>
  <c r="A1153" i="1"/>
  <c r="O1152" i="1"/>
  <c r="N1152" i="1"/>
  <c r="M1152" i="1"/>
  <c r="F1152" i="1"/>
  <c r="P1152" i="1" s="1"/>
  <c r="C1152" i="1"/>
  <c r="A1152" i="1"/>
  <c r="O1151" i="1"/>
  <c r="N1151" i="1"/>
  <c r="M1151" i="1"/>
  <c r="F1151" i="1"/>
  <c r="P1151" i="1" s="1"/>
  <c r="C1151" i="1"/>
  <c r="A1151" i="1"/>
  <c r="P1150" i="1"/>
  <c r="O1150" i="1"/>
  <c r="N1150" i="1"/>
  <c r="M1150" i="1"/>
  <c r="F1150" i="1"/>
  <c r="C1150" i="1"/>
  <c r="A1150" i="1"/>
  <c r="P1149" i="1"/>
  <c r="O1149" i="1"/>
  <c r="N1149" i="1"/>
  <c r="M1149" i="1"/>
  <c r="F1149" i="1"/>
  <c r="C1149" i="1"/>
  <c r="A1149" i="1"/>
  <c r="O1148" i="1"/>
  <c r="N1148" i="1"/>
  <c r="M1148" i="1"/>
  <c r="F1148" i="1"/>
  <c r="P1148" i="1" s="1"/>
  <c r="C1148" i="1"/>
  <c r="A1148" i="1"/>
  <c r="O1147" i="1"/>
  <c r="N1147" i="1"/>
  <c r="M1147" i="1"/>
  <c r="F1147" i="1"/>
  <c r="C1147" i="1"/>
  <c r="A1147" i="1"/>
  <c r="O1146" i="1"/>
  <c r="N1146" i="1"/>
  <c r="M1146" i="1"/>
  <c r="F1146" i="1"/>
  <c r="P1146" i="1" s="1"/>
  <c r="C1146" i="1"/>
  <c r="A1146" i="1"/>
  <c r="P1145" i="1"/>
  <c r="O1145" i="1"/>
  <c r="N1145" i="1"/>
  <c r="M1145" i="1"/>
  <c r="F1145" i="1"/>
  <c r="C1145" i="1"/>
  <c r="A1145" i="1"/>
  <c r="O1144" i="1"/>
  <c r="N1144" i="1"/>
  <c r="M1144" i="1"/>
  <c r="F1144" i="1"/>
  <c r="P1144" i="1" s="1"/>
  <c r="C1144" i="1"/>
  <c r="A1144" i="1"/>
  <c r="O1143" i="1"/>
  <c r="N1143" i="1"/>
  <c r="M1143" i="1"/>
  <c r="F1143" i="1"/>
  <c r="C1143" i="1"/>
  <c r="A1143" i="1"/>
  <c r="P1142" i="1"/>
  <c r="O1142" i="1"/>
  <c r="N1142" i="1"/>
  <c r="M1142" i="1"/>
  <c r="F1142" i="1"/>
  <c r="C1142" i="1"/>
  <c r="A1142" i="1"/>
  <c r="O1141" i="1"/>
  <c r="N1141" i="1"/>
  <c r="M1141" i="1"/>
  <c r="F1141" i="1"/>
  <c r="P1141" i="1" s="1"/>
  <c r="C1141" i="1"/>
  <c r="A1141" i="1"/>
  <c r="O1140" i="1"/>
  <c r="N1140" i="1"/>
  <c r="M1140" i="1"/>
  <c r="F1140" i="1"/>
  <c r="C1140" i="1"/>
  <c r="A1140" i="1"/>
  <c r="O1139" i="1"/>
  <c r="N1139" i="1"/>
  <c r="M1139" i="1"/>
  <c r="F1139" i="1"/>
  <c r="P1139" i="1" s="1"/>
  <c r="C1139" i="1"/>
  <c r="A1139" i="1"/>
  <c r="P1138" i="1"/>
  <c r="O1138" i="1"/>
  <c r="N1138" i="1"/>
  <c r="M1138" i="1"/>
  <c r="F1138" i="1"/>
  <c r="C1138" i="1"/>
  <c r="A1138" i="1"/>
  <c r="P1137" i="1"/>
  <c r="O1137" i="1"/>
  <c r="N1137" i="1"/>
  <c r="M1137" i="1"/>
  <c r="F1137" i="1"/>
  <c r="C1137" i="1"/>
  <c r="A1137" i="1"/>
  <c r="O1136" i="1"/>
  <c r="N1136" i="1"/>
  <c r="M1136" i="1"/>
  <c r="F1136" i="1"/>
  <c r="C1136" i="1"/>
  <c r="A1136" i="1"/>
  <c r="O1135" i="1"/>
  <c r="N1135" i="1"/>
  <c r="M1135" i="1"/>
  <c r="F1135" i="1"/>
  <c r="P1135" i="1" s="1"/>
  <c r="C1135" i="1"/>
  <c r="A1135" i="1"/>
  <c r="O1134" i="1"/>
  <c r="N1134" i="1"/>
  <c r="M1134" i="1"/>
  <c r="F1134" i="1"/>
  <c r="P1134" i="1" s="1"/>
  <c r="C1134" i="1"/>
  <c r="A1134" i="1"/>
  <c r="P1133" i="1"/>
  <c r="O1133" i="1"/>
  <c r="N1133" i="1"/>
  <c r="M1133" i="1"/>
  <c r="F1133" i="1"/>
  <c r="C1133" i="1"/>
  <c r="A1133" i="1"/>
  <c r="P1132" i="1"/>
  <c r="O1132" i="1"/>
  <c r="N1132" i="1"/>
  <c r="M1132" i="1"/>
  <c r="F1132" i="1"/>
  <c r="C1132" i="1"/>
  <c r="A1132" i="1"/>
  <c r="O1131" i="1"/>
  <c r="N1131" i="1"/>
  <c r="M1131" i="1"/>
  <c r="F1131" i="1"/>
  <c r="P1131" i="1" s="1"/>
  <c r="C1131" i="1"/>
  <c r="A1131" i="1"/>
  <c r="O1130" i="1"/>
  <c r="N1130" i="1"/>
  <c r="M1130" i="1"/>
  <c r="F1130" i="1"/>
  <c r="P1130" i="1" s="1"/>
  <c r="C1130" i="1"/>
  <c r="A1130" i="1"/>
  <c r="P1129" i="1"/>
  <c r="O1129" i="1"/>
  <c r="N1129" i="1"/>
  <c r="M1129" i="1"/>
  <c r="F1129" i="1"/>
  <c r="C1129" i="1"/>
  <c r="A1129" i="1"/>
  <c r="P1128" i="1"/>
  <c r="O1128" i="1"/>
  <c r="N1128" i="1"/>
  <c r="M1128" i="1"/>
  <c r="F1128" i="1"/>
  <c r="C1128" i="1"/>
  <c r="A1128" i="1"/>
  <c r="O1127" i="1"/>
  <c r="N1127" i="1"/>
  <c r="M1127" i="1"/>
  <c r="F1127" i="1"/>
  <c r="P1127" i="1" s="1"/>
  <c r="C1127" i="1"/>
  <c r="A1127" i="1"/>
  <c r="O1126" i="1"/>
  <c r="N1126" i="1"/>
  <c r="M1126" i="1"/>
  <c r="F1126" i="1"/>
  <c r="P1126" i="1" s="1"/>
  <c r="C1126" i="1"/>
  <c r="A1126" i="1"/>
  <c r="P1125" i="1"/>
  <c r="O1125" i="1"/>
  <c r="N1125" i="1"/>
  <c r="M1125" i="1"/>
  <c r="F1125" i="1"/>
  <c r="C1125" i="1"/>
  <c r="A1125" i="1"/>
  <c r="P1124" i="1"/>
  <c r="O1124" i="1"/>
  <c r="N1124" i="1"/>
  <c r="M1124" i="1"/>
  <c r="F1124" i="1"/>
  <c r="C1124" i="1"/>
  <c r="A1124" i="1"/>
  <c r="O1123" i="1"/>
  <c r="N1123" i="1"/>
  <c r="M1123" i="1"/>
  <c r="F1123" i="1"/>
  <c r="P1123" i="1" s="1"/>
  <c r="C1123" i="1"/>
  <c r="A1123" i="1"/>
  <c r="O1122" i="1"/>
  <c r="N1122" i="1"/>
  <c r="M1122" i="1"/>
  <c r="F1122" i="1"/>
  <c r="P1122" i="1" s="1"/>
  <c r="C1122" i="1"/>
  <c r="A1122" i="1"/>
  <c r="O1121" i="1"/>
  <c r="N1121" i="1"/>
  <c r="M1121" i="1"/>
  <c r="F1121" i="1"/>
  <c r="P1121" i="1" s="1"/>
  <c r="C1121" i="1"/>
  <c r="A1121" i="1"/>
  <c r="P1120" i="1"/>
  <c r="O1120" i="1"/>
  <c r="N1120" i="1"/>
  <c r="M1120" i="1"/>
  <c r="F1120" i="1"/>
  <c r="C1120" i="1"/>
  <c r="A1120" i="1"/>
  <c r="O1119" i="1"/>
  <c r="N1119" i="1"/>
  <c r="M1119" i="1"/>
  <c r="F1119" i="1"/>
  <c r="P1119" i="1" s="1"/>
  <c r="C1119" i="1"/>
  <c r="A1119" i="1"/>
  <c r="O1118" i="1"/>
  <c r="N1118" i="1"/>
  <c r="M1118" i="1"/>
  <c r="F1118" i="1"/>
  <c r="P1118" i="1" s="1"/>
  <c r="C1118" i="1"/>
  <c r="A1118" i="1"/>
  <c r="P1117" i="1"/>
  <c r="O1117" i="1"/>
  <c r="N1117" i="1"/>
  <c r="M1117" i="1"/>
  <c r="F1117" i="1"/>
  <c r="C1117" i="1"/>
  <c r="A1117" i="1"/>
  <c r="P1116" i="1"/>
  <c r="O1116" i="1"/>
  <c r="N1116" i="1"/>
  <c r="M1116" i="1"/>
  <c r="F1116" i="1"/>
  <c r="C1116" i="1"/>
  <c r="A1116" i="1"/>
  <c r="P1115" i="1"/>
  <c r="O1115" i="1"/>
  <c r="N1115" i="1"/>
  <c r="M1115" i="1"/>
  <c r="F1115" i="1"/>
  <c r="C1115" i="1"/>
  <c r="A1115" i="1"/>
  <c r="O1114" i="1"/>
  <c r="N1114" i="1"/>
  <c r="M1114" i="1"/>
  <c r="F1114" i="1"/>
  <c r="P1114" i="1" s="1"/>
  <c r="C1114" i="1"/>
  <c r="A1114" i="1"/>
  <c r="O1113" i="1"/>
  <c r="N1113" i="1"/>
  <c r="M1113" i="1"/>
  <c r="F1113" i="1"/>
  <c r="C1113" i="1"/>
  <c r="A1113" i="1"/>
  <c r="P1112" i="1"/>
  <c r="O1112" i="1"/>
  <c r="N1112" i="1"/>
  <c r="M1112" i="1"/>
  <c r="F1112" i="1"/>
  <c r="C1112" i="1"/>
  <c r="A1112" i="1"/>
  <c r="P1111" i="1"/>
  <c r="O1111" i="1"/>
  <c r="N1111" i="1"/>
  <c r="M1111" i="1"/>
  <c r="F1111" i="1"/>
  <c r="C1111" i="1"/>
  <c r="A1111" i="1"/>
  <c r="P1110" i="1"/>
  <c r="O1110" i="1"/>
  <c r="N1110" i="1"/>
  <c r="M1110" i="1"/>
  <c r="F1110" i="1"/>
  <c r="C1110" i="1"/>
  <c r="A1110" i="1"/>
  <c r="O1109" i="1"/>
  <c r="N1109" i="1"/>
  <c r="M1109" i="1"/>
  <c r="F1109" i="1"/>
  <c r="P1109" i="1" s="1"/>
  <c r="C1109" i="1"/>
  <c r="A1109" i="1"/>
  <c r="O1108" i="1"/>
  <c r="N1108" i="1"/>
  <c r="M1108" i="1"/>
  <c r="F1108" i="1"/>
  <c r="P1108" i="1" s="1"/>
  <c r="C1108" i="1"/>
  <c r="A1108" i="1"/>
  <c r="P1107" i="1"/>
  <c r="O1107" i="1"/>
  <c r="N1107" i="1"/>
  <c r="M1107" i="1"/>
  <c r="F1107" i="1"/>
  <c r="C1107" i="1"/>
  <c r="A1107" i="1"/>
  <c r="P1106" i="1"/>
  <c r="O1106" i="1"/>
  <c r="N1106" i="1"/>
  <c r="M1106" i="1"/>
  <c r="F1106" i="1"/>
  <c r="C1106" i="1"/>
  <c r="A1106" i="1"/>
  <c r="P1105" i="1"/>
  <c r="O1105" i="1"/>
  <c r="N1105" i="1"/>
  <c r="M1105" i="1"/>
  <c r="F1105" i="1"/>
  <c r="C1105" i="1"/>
  <c r="A1105" i="1"/>
  <c r="O1104" i="1"/>
  <c r="N1104" i="1"/>
  <c r="M1104" i="1"/>
  <c r="F1104" i="1"/>
  <c r="P1104" i="1" s="1"/>
  <c r="C1104" i="1"/>
  <c r="A1104" i="1"/>
  <c r="O1103" i="1"/>
  <c r="N1103" i="1"/>
  <c r="M1103" i="1"/>
  <c r="F1103" i="1"/>
  <c r="P1103" i="1" s="1"/>
  <c r="C1103" i="1"/>
  <c r="A1103" i="1"/>
  <c r="P1102" i="1"/>
  <c r="O1102" i="1"/>
  <c r="N1102" i="1"/>
  <c r="M1102" i="1"/>
  <c r="F1102" i="1"/>
  <c r="C1102" i="1"/>
  <c r="A1102" i="1"/>
  <c r="P1101" i="1"/>
  <c r="O1101" i="1"/>
  <c r="N1101" i="1"/>
  <c r="M1101" i="1"/>
  <c r="F1101" i="1"/>
  <c r="C1101" i="1"/>
  <c r="A1101" i="1"/>
  <c r="P1100" i="1"/>
  <c r="O1100" i="1"/>
  <c r="N1100" i="1"/>
  <c r="M1100" i="1"/>
  <c r="F1100" i="1"/>
  <c r="C1100" i="1"/>
  <c r="A1100" i="1"/>
  <c r="O1099" i="1"/>
  <c r="N1099" i="1"/>
  <c r="M1099" i="1"/>
  <c r="F1099" i="1"/>
  <c r="P1099" i="1" s="1"/>
  <c r="C1099" i="1"/>
  <c r="A1099" i="1"/>
  <c r="O1098" i="1"/>
  <c r="N1098" i="1"/>
  <c r="M1098" i="1"/>
  <c r="F1098" i="1"/>
  <c r="C1098" i="1"/>
  <c r="A1098" i="1"/>
  <c r="P1097" i="1"/>
  <c r="O1097" i="1"/>
  <c r="N1097" i="1"/>
  <c r="M1097" i="1"/>
  <c r="F1097" i="1"/>
  <c r="C1097" i="1"/>
  <c r="A1097" i="1"/>
  <c r="P1096" i="1"/>
  <c r="O1096" i="1"/>
  <c r="N1096" i="1"/>
  <c r="M1096" i="1"/>
  <c r="F1096" i="1"/>
  <c r="C1096" i="1"/>
  <c r="A1096" i="1"/>
  <c r="P1095" i="1"/>
  <c r="O1095" i="1"/>
  <c r="N1095" i="1"/>
  <c r="M1095" i="1"/>
  <c r="F1095" i="1"/>
  <c r="C1095" i="1"/>
  <c r="A1095" i="1"/>
  <c r="O1094" i="1"/>
  <c r="N1094" i="1"/>
  <c r="M1094" i="1"/>
  <c r="F1094" i="1"/>
  <c r="P1094" i="1" s="1"/>
  <c r="C1094" i="1"/>
  <c r="A1094" i="1"/>
  <c r="O1093" i="1"/>
  <c r="N1093" i="1"/>
  <c r="M1093" i="1"/>
  <c r="F1093" i="1"/>
  <c r="C1093" i="1"/>
  <c r="A1093" i="1"/>
  <c r="P1092" i="1"/>
  <c r="O1092" i="1"/>
  <c r="N1092" i="1"/>
  <c r="M1092" i="1"/>
  <c r="F1092" i="1"/>
  <c r="C1092" i="1"/>
  <c r="A1092" i="1"/>
  <c r="P1091" i="1"/>
  <c r="O1091" i="1"/>
  <c r="N1091" i="1"/>
  <c r="M1091" i="1"/>
  <c r="F1091" i="1"/>
  <c r="C1091" i="1"/>
  <c r="A1091" i="1"/>
  <c r="P1090" i="1"/>
  <c r="O1090" i="1"/>
  <c r="N1090" i="1"/>
  <c r="M1090" i="1"/>
  <c r="F1090" i="1"/>
  <c r="C1090" i="1"/>
  <c r="A1090" i="1"/>
  <c r="O1089" i="1"/>
  <c r="N1089" i="1"/>
  <c r="M1089" i="1"/>
  <c r="F1089" i="1"/>
  <c r="P1089" i="1" s="1"/>
  <c r="C1089" i="1"/>
  <c r="A1089" i="1"/>
  <c r="O1088" i="1"/>
  <c r="N1088" i="1"/>
  <c r="M1088" i="1"/>
  <c r="F1088" i="1"/>
  <c r="P1088" i="1" s="1"/>
  <c r="C1088" i="1"/>
  <c r="A1088" i="1"/>
  <c r="P1087" i="1"/>
  <c r="O1087" i="1"/>
  <c r="N1087" i="1"/>
  <c r="M1087" i="1"/>
  <c r="F1087" i="1"/>
  <c r="C1087" i="1"/>
  <c r="A1087" i="1"/>
  <c r="P1086" i="1"/>
  <c r="O1086" i="1"/>
  <c r="N1086" i="1"/>
  <c r="M1086" i="1"/>
  <c r="F1086" i="1"/>
  <c r="C1086" i="1"/>
  <c r="A1086" i="1"/>
  <c r="P1085" i="1"/>
  <c r="O1085" i="1"/>
  <c r="N1085" i="1"/>
  <c r="M1085" i="1"/>
  <c r="F1085" i="1"/>
  <c r="C1085" i="1"/>
  <c r="A1085" i="1"/>
  <c r="O1084" i="1"/>
  <c r="N1084" i="1"/>
  <c r="M1084" i="1"/>
  <c r="F1084" i="1"/>
  <c r="C1084" i="1"/>
  <c r="A1084" i="1"/>
  <c r="O1083" i="1"/>
  <c r="N1083" i="1"/>
  <c r="M1083" i="1"/>
  <c r="F1083" i="1"/>
  <c r="P1083" i="1" s="1"/>
  <c r="C1083" i="1"/>
  <c r="A1083" i="1"/>
  <c r="P1082" i="1"/>
  <c r="O1082" i="1"/>
  <c r="N1082" i="1"/>
  <c r="M1082" i="1"/>
  <c r="F1082" i="1"/>
  <c r="C1082" i="1"/>
  <c r="A1082" i="1"/>
  <c r="P1081" i="1"/>
  <c r="O1081" i="1"/>
  <c r="N1081" i="1"/>
  <c r="M1081" i="1"/>
  <c r="F1081" i="1"/>
  <c r="C1081" i="1"/>
  <c r="A1081" i="1"/>
  <c r="P1080" i="1"/>
  <c r="O1080" i="1"/>
  <c r="N1080" i="1"/>
  <c r="M1080" i="1"/>
  <c r="F1080" i="1"/>
  <c r="C1080" i="1"/>
  <c r="A1080" i="1"/>
  <c r="O1079" i="1"/>
  <c r="N1079" i="1"/>
  <c r="M1079" i="1"/>
  <c r="F1079" i="1"/>
  <c r="P1079" i="1" s="1"/>
  <c r="C1079" i="1"/>
  <c r="A1079" i="1"/>
  <c r="O1078" i="1"/>
  <c r="N1078" i="1"/>
  <c r="M1078" i="1"/>
  <c r="F1078" i="1"/>
  <c r="P1078" i="1" s="1"/>
  <c r="C1078" i="1"/>
  <c r="A1078" i="1"/>
  <c r="P1077" i="1"/>
  <c r="O1077" i="1"/>
  <c r="N1077" i="1"/>
  <c r="M1077" i="1"/>
  <c r="F1077" i="1"/>
  <c r="C1077" i="1"/>
  <c r="A1077" i="1"/>
  <c r="P1076" i="1"/>
  <c r="O1076" i="1"/>
  <c r="N1076" i="1"/>
  <c r="M1076" i="1"/>
  <c r="F1076" i="1"/>
  <c r="C1076" i="1"/>
  <c r="A1076" i="1"/>
  <c r="P1075" i="1"/>
  <c r="O1075" i="1"/>
  <c r="N1075" i="1"/>
  <c r="M1075" i="1"/>
  <c r="F1075" i="1"/>
  <c r="C1075" i="1"/>
  <c r="A1075" i="1"/>
  <c r="O1074" i="1"/>
  <c r="N1074" i="1"/>
  <c r="M1074" i="1"/>
  <c r="F1074" i="1"/>
  <c r="P1074" i="1" s="1"/>
  <c r="C1074" i="1"/>
  <c r="A1074" i="1"/>
  <c r="O1073" i="1"/>
  <c r="N1073" i="1"/>
  <c r="M1073" i="1"/>
  <c r="F1073" i="1"/>
  <c r="P1073" i="1" s="1"/>
  <c r="C1073" i="1"/>
  <c r="A1073" i="1"/>
  <c r="P1072" i="1"/>
  <c r="O1072" i="1"/>
  <c r="N1072" i="1"/>
  <c r="M1072" i="1"/>
  <c r="F1072" i="1"/>
  <c r="C1072" i="1"/>
  <c r="A1072" i="1"/>
  <c r="P1071" i="1"/>
  <c r="O1071" i="1"/>
  <c r="N1071" i="1"/>
  <c r="M1071" i="1"/>
  <c r="F1071" i="1"/>
  <c r="C1071" i="1"/>
  <c r="A1071" i="1"/>
  <c r="P1070" i="1"/>
  <c r="O1070" i="1"/>
  <c r="N1070" i="1"/>
  <c r="M1070" i="1"/>
  <c r="F1070" i="1"/>
  <c r="C1070" i="1"/>
  <c r="A1070" i="1"/>
  <c r="O1069" i="1"/>
  <c r="N1069" i="1"/>
  <c r="M1069" i="1"/>
  <c r="F1069" i="1"/>
  <c r="P1069" i="1" s="1"/>
  <c r="C1069" i="1"/>
  <c r="A1069" i="1"/>
  <c r="O1068" i="1"/>
  <c r="N1068" i="1"/>
  <c r="M1068" i="1"/>
  <c r="F1068" i="1"/>
  <c r="P1068" i="1" s="1"/>
  <c r="C1068" i="1"/>
  <c r="A1068" i="1"/>
  <c r="P1067" i="1"/>
  <c r="O1067" i="1"/>
  <c r="N1067" i="1"/>
  <c r="M1067" i="1"/>
  <c r="F1067" i="1"/>
  <c r="C1067" i="1"/>
  <c r="A1067" i="1"/>
  <c r="P1066" i="1"/>
  <c r="O1066" i="1"/>
  <c r="N1066" i="1"/>
  <c r="M1066" i="1"/>
  <c r="F1066" i="1"/>
  <c r="C1066" i="1"/>
  <c r="A1066" i="1"/>
  <c r="P1065" i="1"/>
  <c r="O1065" i="1"/>
  <c r="N1065" i="1"/>
  <c r="M1065" i="1"/>
  <c r="F1065" i="1"/>
  <c r="C1065" i="1"/>
  <c r="A1065" i="1"/>
  <c r="O1064" i="1"/>
  <c r="N1064" i="1"/>
  <c r="M1064" i="1"/>
  <c r="F1064" i="1"/>
  <c r="P1064" i="1" s="1"/>
  <c r="C1064" i="1"/>
  <c r="A1064" i="1"/>
  <c r="O1063" i="1"/>
  <c r="N1063" i="1"/>
  <c r="M1063" i="1"/>
  <c r="F1063" i="1"/>
  <c r="P1063" i="1" s="1"/>
  <c r="C1063" i="1"/>
  <c r="A1063" i="1"/>
  <c r="P1062" i="1"/>
  <c r="O1062" i="1"/>
  <c r="N1062" i="1"/>
  <c r="M1062" i="1"/>
  <c r="F1062" i="1"/>
  <c r="C1062" i="1"/>
  <c r="A1062" i="1"/>
  <c r="P1061" i="1"/>
  <c r="O1061" i="1"/>
  <c r="N1061" i="1"/>
  <c r="M1061" i="1"/>
  <c r="F1061" i="1"/>
  <c r="C1061" i="1"/>
  <c r="A1061" i="1"/>
  <c r="P1060" i="1"/>
  <c r="O1060" i="1"/>
  <c r="N1060" i="1"/>
  <c r="M1060" i="1"/>
  <c r="F1060" i="1"/>
  <c r="C1060" i="1"/>
  <c r="A1060" i="1"/>
  <c r="O1059" i="1"/>
  <c r="N1059" i="1"/>
  <c r="M1059" i="1"/>
  <c r="F1059" i="1"/>
  <c r="C1059" i="1"/>
  <c r="A1059" i="1"/>
  <c r="O1058" i="1"/>
  <c r="N1058" i="1"/>
  <c r="M1058" i="1"/>
  <c r="F1058" i="1"/>
  <c r="P1058" i="1" s="1"/>
  <c r="C1058" i="1"/>
  <c r="A1058" i="1"/>
  <c r="P1057" i="1"/>
  <c r="O1057" i="1"/>
  <c r="N1057" i="1"/>
  <c r="M1057" i="1"/>
  <c r="F1057" i="1"/>
  <c r="C1057" i="1"/>
  <c r="A1057" i="1"/>
  <c r="P1056" i="1"/>
  <c r="O1056" i="1"/>
  <c r="N1056" i="1"/>
  <c r="M1056" i="1"/>
  <c r="F1056" i="1"/>
  <c r="C1056" i="1"/>
  <c r="A1056" i="1"/>
  <c r="P1055" i="1"/>
  <c r="O1055" i="1"/>
  <c r="N1055" i="1"/>
  <c r="M1055" i="1"/>
  <c r="F1055" i="1"/>
  <c r="C1055" i="1"/>
  <c r="A1055" i="1"/>
  <c r="O1054" i="1"/>
  <c r="N1054" i="1"/>
  <c r="M1054" i="1"/>
  <c r="F1054" i="1"/>
  <c r="P1054" i="1" s="1"/>
  <c r="C1054" i="1"/>
  <c r="A1054" i="1"/>
  <c r="O1053" i="1"/>
  <c r="N1053" i="1"/>
  <c r="M1053" i="1"/>
  <c r="F1053" i="1"/>
  <c r="P1053" i="1" s="1"/>
  <c r="C1053" i="1"/>
  <c r="A1053" i="1"/>
  <c r="P1052" i="1"/>
  <c r="O1052" i="1"/>
  <c r="N1052" i="1"/>
  <c r="M1052" i="1"/>
  <c r="F1052" i="1"/>
  <c r="C1052" i="1"/>
  <c r="A1052" i="1"/>
  <c r="P1051" i="1"/>
  <c r="O1051" i="1"/>
  <c r="N1051" i="1"/>
  <c r="M1051" i="1"/>
  <c r="F1051" i="1"/>
  <c r="C1051" i="1"/>
  <c r="A1051" i="1"/>
  <c r="P1050" i="1"/>
  <c r="O1050" i="1"/>
  <c r="N1050" i="1"/>
  <c r="M1050" i="1"/>
  <c r="F1050" i="1"/>
  <c r="C1050" i="1"/>
  <c r="A1050" i="1"/>
  <c r="O1049" i="1"/>
  <c r="N1049" i="1"/>
  <c r="M1049" i="1"/>
  <c r="F1049" i="1"/>
  <c r="P1049" i="1" s="1"/>
  <c r="C1049" i="1"/>
  <c r="A1049" i="1"/>
  <c r="O1048" i="1"/>
  <c r="N1048" i="1"/>
  <c r="M1048" i="1"/>
  <c r="F1048" i="1"/>
  <c r="P1048" i="1" s="1"/>
  <c r="C1048" i="1"/>
  <c r="A1048" i="1"/>
  <c r="P1047" i="1"/>
  <c r="O1047" i="1"/>
  <c r="N1047" i="1"/>
  <c r="M1047" i="1"/>
  <c r="F1047" i="1"/>
  <c r="C1047" i="1"/>
  <c r="A1047" i="1"/>
  <c r="P1046" i="1"/>
  <c r="O1046" i="1"/>
  <c r="N1046" i="1"/>
  <c r="M1046" i="1"/>
  <c r="F1046" i="1"/>
  <c r="C1046" i="1"/>
  <c r="A1046" i="1"/>
  <c r="P1045" i="1"/>
  <c r="O1045" i="1"/>
  <c r="N1045" i="1"/>
  <c r="M1045" i="1"/>
  <c r="F1045" i="1"/>
  <c r="C1045" i="1"/>
  <c r="A1045" i="1"/>
  <c r="O1044" i="1"/>
  <c r="N1044" i="1"/>
  <c r="M1044" i="1"/>
  <c r="F1044" i="1"/>
  <c r="P1044" i="1" s="1"/>
  <c r="C1044" i="1"/>
  <c r="A1044" i="1"/>
  <c r="O1043" i="1"/>
  <c r="N1043" i="1"/>
  <c r="M1043" i="1"/>
  <c r="F1043" i="1"/>
  <c r="P1043" i="1" s="1"/>
  <c r="C1043" i="1"/>
  <c r="A1043" i="1"/>
  <c r="P1042" i="1"/>
  <c r="O1042" i="1"/>
  <c r="N1042" i="1"/>
  <c r="M1042" i="1"/>
  <c r="F1042" i="1"/>
  <c r="C1042" i="1"/>
  <c r="A1042" i="1"/>
  <c r="P1041" i="1"/>
  <c r="O1041" i="1"/>
  <c r="N1041" i="1"/>
  <c r="M1041" i="1"/>
  <c r="F1041" i="1"/>
  <c r="C1041" i="1"/>
  <c r="A1041" i="1"/>
  <c r="P1040" i="1"/>
  <c r="O1040" i="1"/>
  <c r="N1040" i="1"/>
  <c r="M1040" i="1"/>
  <c r="F1040" i="1"/>
  <c r="C1040" i="1"/>
  <c r="A1040" i="1"/>
  <c r="O1039" i="1"/>
  <c r="N1039" i="1"/>
  <c r="M1039" i="1"/>
  <c r="F1039" i="1"/>
  <c r="P1039" i="1" s="1"/>
  <c r="C1039" i="1"/>
  <c r="A1039" i="1"/>
  <c r="O1038" i="1"/>
  <c r="N1038" i="1"/>
  <c r="M1038" i="1"/>
  <c r="F1038" i="1"/>
  <c r="P1038" i="1" s="1"/>
  <c r="C1038" i="1"/>
  <c r="A1038" i="1"/>
  <c r="P1037" i="1"/>
  <c r="O1037" i="1"/>
  <c r="N1037" i="1"/>
  <c r="M1037" i="1"/>
  <c r="F1037" i="1"/>
  <c r="C1037" i="1"/>
  <c r="A1037" i="1"/>
  <c r="P1036" i="1"/>
  <c r="O1036" i="1"/>
  <c r="N1036" i="1"/>
  <c r="M1036" i="1"/>
  <c r="F1036" i="1"/>
  <c r="C1036" i="1"/>
  <c r="A1036" i="1"/>
  <c r="P1035" i="1"/>
  <c r="O1035" i="1"/>
  <c r="N1035" i="1"/>
  <c r="M1035" i="1"/>
  <c r="F1035" i="1"/>
  <c r="C1035" i="1"/>
  <c r="A1035" i="1"/>
  <c r="O1034" i="1"/>
  <c r="N1034" i="1"/>
  <c r="M1034" i="1"/>
  <c r="F1034" i="1"/>
  <c r="C1034" i="1"/>
  <c r="A1034" i="1"/>
  <c r="O1033" i="1"/>
  <c r="N1033" i="1"/>
  <c r="M1033" i="1"/>
  <c r="F1033" i="1"/>
  <c r="P1033" i="1" s="1"/>
  <c r="C1033" i="1"/>
  <c r="A1033" i="1"/>
  <c r="P1032" i="1"/>
  <c r="O1032" i="1"/>
  <c r="N1032" i="1"/>
  <c r="M1032" i="1"/>
  <c r="F1032" i="1"/>
  <c r="C1032" i="1"/>
  <c r="A1032" i="1"/>
  <c r="P1031" i="1"/>
  <c r="O1031" i="1"/>
  <c r="N1031" i="1"/>
  <c r="M1031" i="1"/>
  <c r="F1031" i="1"/>
  <c r="C1031" i="1"/>
  <c r="A1031" i="1"/>
  <c r="P1030" i="1"/>
  <c r="O1030" i="1"/>
  <c r="N1030" i="1"/>
  <c r="M1030" i="1"/>
  <c r="F1030" i="1"/>
  <c r="C1030" i="1"/>
  <c r="A1030" i="1"/>
  <c r="O1029" i="1"/>
  <c r="N1029" i="1"/>
  <c r="M1029" i="1"/>
  <c r="F1029" i="1"/>
  <c r="P1029" i="1" s="1"/>
  <c r="C1029" i="1"/>
  <c r="A1029" i="1"/>
  <c r="O1028" i="1"/>
  <c r="N1028" i="1"/>
  <c r="M1028" i="1"/>
  <c r="F1028" i="1"/>
  <c r="P1028" i="1" s="1"/>
  <c r="C1028" i="1"/>
  <c r="A1028" i="1"/>
  <c r="P1027" i="1"/>
  <c r="O1027" i="1"/>
  <c r="N1027" i="1"/>
  <c r="M1027" i="1"/>
  <c r="F1027" i="1"/>
  <c r="C1027" i="1"/>
  <c r="A1027" i="1"/>
  <c r="P1026" i="1"/>
  <c r="O1026" i="1"/>
  <c r="N1026" i="1"/>
  <c r="M1026" i="1"/>
  <c r="F1026" i="1"/>
  <c r="C1026" i="1"/>
  <c r="A1026" i="1"/>
  <c r="P1025" i="1"/>
  <c r="O1025" i="1"/>
  <c r="N1025" i="1"/>
  <c r="M1025" i="1"/>
  <c r="F1025" i="1"/>
  <c r="C1025" i="1"/>
  <c r="A1025" i="1"/>
  <c r="O1024" i="1"/>
  <c r="N1024" i="1"/>
  <c r="M1024" i="1"/>
  <c r="F1024" i="1"/>
  <c r="P1024" i="1" s="1"/>
  <c r="C1024" i="1"/>
  <c r="A1024" i="1"/>
  <c r="O1023" i="1"/>
  <c r="N1023" i="1"/>
  <c r="M1023" i="1"/>
  <c r="F1023" i="1"/>
  <c r="P1023" i="1" s="1"/>
  <c r="C1023" i="1"/>
  <c r="A1023" i="1"/>
  <c r="P1022" i="1"/>
  <c r="O1022" i="1"/>
  <c r="N1022" i="1"/>
  <c r="M1022" i="1"/>
  <c r="F1022" i="1"/>
  <c r="C1022" i="1"/>
  <c r="A1022" i="1"/>
  <c r="P1021" i="1"/>
  <c r="O1021" i="1"/>
  <c r="N1021" i="1"/>
  <c r="M1021" i="1"/>
  <c r="F1021" i="1"/>
  <c r="C1021" i="1"/>
  <c r="A1021" i="1"/>
  <c r="P1020" i="1"/>
  <c r="O1020" i="1"/>
  <c r="N1020" i="1"/>
  <c r="M1020" i="1"/>
  <c r="F1020" i="1"/>
  <c r="C1020" i="1"/>
  <c r="A1020" i="1"/>
  <c r="O1019" i="1"/>
  <c r="N1019" i="1"/>
  <c r="M1019" i="1"/>
  <c r="F1019" i="1"/>
  <c r="P1019" i="1" s="1"/>
  <c r="C1019" i="1"/>
  <c r="A1019" i="1"/>
  <c r="O1018" i="1"/>
  <c r="N1018" i="1"/>
  <c r="M1018" i="1"/>
  <c r="F1018" i="1"/>
  <c r="P1018" i="1" s="1"/>
  <c r="C1018" i="1"/>
  <c r="A1018" i="1"/>
  <c r="P1017" i="1"/>
  <c r="O1017" i="1"/>
  <c r="N1017" i="1"/>
  <c r="M1017" i="1"/>
  <c r="F1017" i="1"/>
  <c r="C1017" i="1"/>
  <c r="A1017" i="1"/>
  <c r="P1016" i="1"/>
  <c r="O1016" i="1"/>
  <c r="N1016" i="1"/>
  <c r="M1016" i="1"/>
  <c r="F1016" i="1"/>
  <c r="C1016" i="1"/>
  <c r="A1016" i="1"/>
  <c r="P1015" i="1"/>
  <c r="O1015" i="1"/>
  <c r="N1015" i="1"/>
  <c r="M1015" i="1"/>
  <c r="F1015" i="1"/>
  <c r="C1015" i="1"/>
  <c r="A1015" i="1"/>
  <c r="O1014" i="1"/>
  <c r="N1014" i="1"/>
  <c r="M1014" i="1"/>
  <c r="F1014" i="1"/>
  <c r="P1014" i="1" s="1"/>
  <c r="C1014" i="1"/>
  <c r="A1014" i="1"/>
  <c r="O1013" i="1"/>
  <c r="N1013" i="1"/>
  <c r="M1013" i="1"/>
  <c r="F1013" i="1"/>
  <c r="P1013" i="1" s="1"/>
  <c r="C1013" i="1"/>
  <c r="A1013" i="1"/>
  <c r="P1012" i="1"/>
  <c r="O1012" i="1"/>
  <c r="N1012" i="1"/>
  <c r="M1012" i="1"/>
  <c r="F1012" i="1"/>
  <c r="C1012" i="1"/>
  <c r="A1012" i="1"/>
  <c r="P1011" i="1"/>
  <c r="O1011" i="1"/>
  <c r="N1011" i="1"/>
  <c r="M1011" i="1"/>
  <c r="F1011" i="1"/>
  <c r="C1011" i="1"/>
  <c r="A1011" i="1"/>
  <c r="P1010" i="1"/>
  <c r="O1010" i="1"/>
  <c r="N1010" i="1"/>
  <c r="M1010" i="1"/>
  <c r="F1010" i="1"/>
  <c r="C1010" i="1"/>
  <c r="A1010" i="1"/>
  <c r="O1009" i="1"/>
  <c r="N1009" i="1"/>
  <c r="M1009" i="1"/>
  <c r="F1009" i="1"/>
  <c r="C1009" i="1"/>
  <c r="A1009" i="1"/>
  <c r="O1008" i="1"/>
  <c r="N1008" i="1"/>
  <c r="M1008" i="1"/>
  <c r="F1008" i="1"/>
  <c r="P1008" i="1" s="1"/>
  <c r="C1008" i="1"/>
  <c r="A1008" i="1"/>
  <c r="P1007" i="1"/>
  <c r="O1007" i="1"/>
  <c r="N1007" i="1"/>
  <c r="M1007" i="1"/>
  <c r="F1007" i="1"/>
  <c r="C1007" i="1"/>
  <c r="A1007" i="1"/>
  <c r="P1006" i="1"/>
  <c r="O1006" i="1"/>
  <c r="N1006" i="1"/>
  <c r="M1006" i="1"/>
  <c r="F1006" i="1"/>
  <c r="C1006" i="1"/>
  <c r="A1006" i="1"/>
  <c r="P1005" i="1"/>
  <c r="O1005" i="1"/>
  <c r="N1005" i="1"/>
  <c r="M1005" i="1"/>
  <c r="F1005" i="1"/>
  <c r="C1005" i="1"/>
  <c r="A1005" i="1"/>
  <c r="O1004" i="1"/>
  <c r="N1004" i="1"/>
  <c r="M1004" i="1"/>
  <c r="F1004" i="1"/>
  <c r="P1004" i="1" s="1"/>
  <c r="C1004" i="1"/>
  <c r="A1004" i="1"/>
  <c r="O1003" i="1"/>
  <c r="N1003" i="1"/>
  <c r="M1003" i="1"/>
  <c r="F1003" i="1"/>
  <c r="P1003" i="1" s="1"/>
  <c r="C1003" i="1"/>
  <c r="A1003" i="1"/>
  <c r="P1002" i="1"/>
  <c r="O1002" i="1"/>
  <c r="N1002" i="1"/>
  <c r="M1002" i="1"/>
  <c r="F1002" i="1"/>
  <c r="C1002" i="1"/>
  <c r="A1002" i="1"/>
  <c r="P1001" i="1"/>
  <c r="O1001" i="1"/>
  <c r="N1001" i="1"/>
  <c r="M1001" i="1"/>
  <c r="F1001" i="1"/>
  <c r="C1001" i="1"/>
  <c r="A1001" i="1"/>
  <c r="P1000" i="1"/>
  <c r="O1000" i="1"/>
  <c r="N1000" i="1"/>
  <c r="M1000" i="1"/>
  <c r="F1000" i="1"/>
  <c r="C1000" i="1"/>
  <c r="A1000" i="1"/>
  <c r="O999" i="1"/>
  <c r="N999" i="1"/>
  <c r="M999" i="1"/>
  <c r="F999" i="1"/>
  <c r="P999" i="1" s="1"/>
  <c r="C999" i="1"/>
  <c r="A999" i="1"/>
  <c r="O998" i="1"/>
  <c r="N998" i="1"/>
  <c r="M998" i="1"/>
  <c r="F998" i="1"/>
  <c r="P998" i="1" s="1"/>
  <c r="C998" i="1"/>
  <c r="A998" i="1"/>
  <c r="P997" i="1"/>
  <c r="O997" i="1"/>
  <c r="N997" i="1"/>
  <c r="M997" i="1"/>
  <c r="F997" i="1"/>
  <c r="C997" i="1"/>
  <c r="A997" i="1"/>
  <c r="P996" i="1"/>
  <c r="O996" i="1"/>
  <c r="N996" i="1"/>
  <c r="M996" i="1"/>
  <c r="F996" i="1"/>
  <c r="C996" i="1"/>
  <c r="A996" i="1"/>
  <c r="P995" i="1"/>
  <c r="O995" i="1"/>
  <c r="N995" i="1"/>
  <c r="M995" i="1"/>
  <c r="F995" i="1"/>
  <c r="C995" i="1"/>
  <c r="A995" i="1"/>
  <c r="O994" i="1"/>
  <c r="N994" i="1"/>
  <c r="M994" i="1"/>
  <c r="F994" i="1"/>
  <c r="P994" i="1" s="1"/>
  <c r="C994" i="1"/>
  <c r="A994" i="1"/>
  <c r="O993" i="1"/>
  <c r="N993" i="1"/>
  <c r="M993" i="1"/>
  <c r="F993" i="1"/>
  <c r="P993" i="1" s="1"/>
  <c r="C993" i="1"/>
  <c r="A993" i="1"/>
  <c r="P992" i="1"/>
  <c r="O992" i="1"/>
  <c r="N992" i="1"/>
  <c r="M992" i="1"/>
  <c r="F992" i="1"/>
  <c r="C992" i="1"/>
  <c r="A992" i="1"/>
  <c r="P991" i="1"/>
  <c r="O991" i="1"/>
  <c r="N991" i="1"/>
  <c r="M991" i="1"/>
  <c r="F991" i="1"/>
  <c r="C991" i="1"/>
  <c r="A991" i="1"/>
  <c r="P990" i="1"/>
  <c r="O990" i="1"/>
  <c r="N990" i="1"/>
  <c r="M990" i="1"/>
  <c r="F990" i="1"/>
  <c r="C990" i="1"/>
  <c r="A990" i="1"/>
  <c r="O989" i="1"/>
  <c r="N989" i="1"/>
  <c r="M989" i="1"/>
  <c r="F989" i="1"/>
  <c r="P989" i="1" s="1"/>
  <c r="C989" i="1"/>
  <c r="A989" i="1"/>
  <c r="O988" i="1"/>
  <c r="N988" i="1"/>
  <c r="M988" i="1"/>
  <c r="F988" i="1"/>
  <c r="P988" i="1" s="1"/>
  <c r="C988" i="1"/>
  <c r="A988" i="1"/>
  <c r="P987" i="1"/>
  <c r="O987" i="1"/>
  <c r="N987" i="1"/>
  <c r="M987" i="1"/>
  <c r="F987" i="1"/>
  <c r="C987" i="1"/>
  <c r="A987" i="1"/>
  <c r="P986" i="1"/>
  <c r="O986" i="1"/>
  <c r="N986" i="1"/>
  <c r="M986" i="1"/>
  <c r="F986" i="1"/>
  <c r="C986" i="1"/>
  <c r="A986" i="1"/>
  <c r="P985" i="1"/>
  <c r="O985" i="1"/>
  <c r="N985" i="1"/>
  <c r="M985" i="1"/>
  <c r="F985" i="1"/>
  <c r="C985" i="1"/>
  <c r="A985" i="1"/>
  <c r="O984" i="1"/>
  <c r="N984" i="1"/>
  <c r="M984" i="1"/>
  <c r="F984" i="1"/>
  <c r="C984" i="1"/>
  <c r="A984" i="1"/>
  <c r="O983" i="1"/>
  <c r="N983" i="1"/>
  <c r="M983" i="1"/>
  <c r="F983" i="1"/>
  <c r="P983" i="1" s="1"/>
  <c r="C983" i="1"/>
  <c r="A983" i="1"/>
  <c r="P982" i="1"/>
  <c r="O982" i="1"/>
  <c r="N982" i="1"/>
  <c r="M982" i="1"/>
  <c r="F982" i="1"/>
  <c r="C982" i="1"/>
  <c r="A982" i="1"/>
  <c r="P981" i="1"/>
  <c r="O981" i="1"/>
  <c r="N981" i="1"/>
  <c r="M981" i="1"/>
  <c r="F981" i="1"/>
  <c r="C981" i="1"/>
  <c r="A981" i="1"/>
  <c r="P980" i="1"/>
  <c r="O980" i="1"/>
  <c r="N980" i="1"/>
  <c r="M980" i="1"/>
  <c r="F980" i="1"/>
  <c r="C980" i="1"/>
  <c r="A980" i="1"/>
  <c r="O979" i="1"/>
  <c r="N979" i="1"/>
  <c r="M979" i="1"/>
  <c r="F979" i="1"/>
  <c r="P979" i="1" s="1"/>
  <c r="C979" i="1"/>
  <c r="A979" i="1"/>
  <c r="O978" i="1"/>
  <c r="N978" i="1"/>
  <c r="M978" i="1"/>
  <c r="F978" i="1"/>
  <c r="P978" i="1" s="1"/>
  <c r="C978" i="1"/>
  <c r="A978" i="1"/>
  <c r="P977" i="1"/>
  <c r="O977" i="1"/>
  <c r="N977" i="1"/>
  <c r="M977" i="1"/>
  <c r="F977" i="1"/>
  <c r="C977" i="1"/>
  <c r="A977" i="1"/>
  <c r="P976" i="1"/>
  <c r="O976" i="1"/>
  <c r="N976" i="1"/>
  <c r="M976" i="1"/>
  <c r="F976" i="1"/>
  <c r="C976" i="1"/>
  <c r="A976" i="1"/>
  <c r="P975" i="1"/>
  <c r="O975" i="1"/>
  <c r="N975" i="1"/>
  <c r="M975" i="1"/>
  <c r="F975" i="1"/>
  <c r="C975" i="1"/>
  <c r="A975" i="1"/>
  <c r="O974" i="1"/>
  <c r="N974" i="1"/>
  <c r="M974" i="1"/>
  <c r="F974" i="1"/>
  <c r="P974" i="1" s="1"/>
  <c r="C974" i="1"/>
  <c r="A974" i="1"/>
  <c r="O973" i="1"/>
  <c r="N973" i="1"/>
  <c r="M973" i="1"/>
  <c r="F973" i="1"/>
  <c r="P973" i="1" s="1"/>
  <c r="C973" i="1"/>
  <c r="A973" i="1"/>
  <c r="P972" i="1"/>
  <c r="O972" i="1"/>
  <c r="N972" i="1"/>
  <c r="M972" i="1"/>
  <c r="F972" i="1"/>
  <c r="C972" i="1"/>
  <c r="A972" i="1"/>
  <c r="P971" i="1"/>
  <c r="O971" i="1"/>
  <c r="N971" i="1"/>
  <c r="M971" i="1"/>
  <c r="F971" i="1"/>
  <c r="C971" i="1"/>
  <c r="A971" i="1"/>
  <c r="P970" i="1"/>
  <c r="O970" i="1"/>
  <c r="N970" i="1"/>
  <c r="M970" i="1"/>
  <c r="F970" i="1"/>
  <c r="C970" i="1"/>
  <c r="A970" i="1"/>
  <c r="O969" i="1"/>
  <c r="N969" i="1"/>
  <c r="M969" i="1"/>
  <c r="F969" i="1"/>
  <c r="P969" i="1" s="1"/>
  <c r="C969" i="1"/>
  <c r="A969" i="1"/>
  <c r="O968" i="1"/>
  <c r="N968" i="1"/>
  <c r="M968" i="1"/>
  <c r="F968" i="1"/>
  <c r="P968" i="1" s="1"/>
  <c r="C968" i="1"/>
  <c r="A968" i="1"/>
  <c r="P967" i="1"/>
  <c r="O967" i="1"/>
  <c r="N967" i="1"/>
  <c r="M967" i="1"/>
  <c r="F967" i="1"/>
  <c r="C967" i="1"/>
  <c r="A967" i="1"/>
  <c r="P966" i="1"/>
  <c r="O966" i="1"/>
  <c r="N966" i="1"/>
  <c r="M966" i="1"/>
  <c r="F966" i="1"/>
  <c r="C966" i="1"/>
  <c r="A966" i="1"/>
  <c r="P965" i="1"/>
  <c r="O965" i="1"/>
  <c r="N965" i="1"/>
  <c r="M965" i="1"/>
  <c r="F965" i="1"/>
  <c r="C965" i="1"/>
  <c r="A965" i="1"/>
  <c r="O964" i="1"/>
  <c r="N964" i="1"/>
  <c r="M964" i="1"/>
  <c r="F964" i="1"/>
  <c r="P964" i="1" s="1"/>
  <c r="C964" i="1"/>
  <c r="A964" i="1"/>
  <c r="O963" i="1"/>
  <c r="N963" i="1"/>
  <c r="M963" i="1"/>
  <c r="F963" i="1"/>
  <c r="P963" i="1" s="1"/>
  <c r="C963" i="1"/>
  <c r="A963" i="1"/>
  <c r="P962" i="1"/>
  <c r="O962" i="1"/>
  <c r="N962" i="1"/>
  <c r="M962" i="1"/>
  <c r="F962" i="1"/>
  <c r="C962" i="1"/>
  <c r="A962" i="1"/>
  <c r="P961" i="1"/>
  <c r="O961" i="1"/>
  <c r="N961" i="1"/>
  <c r="M961" i="1"/>
  <c r="F961" i="1"/>
  <c r="C961" i="1"/>
  <c r="A961" i="1"/>
  <c r="P960" i="1"/>
  <c r="O960" i="1"/>
  <c r="N960" i="1"/>
  <c r="M960" i="1"/>
  <c r="F960" i="1"/>
  <c r="C960" i="1"/>
  <c r="A960" i="1"/>
  <c r="O959" i="1"/>
  <c r="N959" i="1"/>
  <c r="M959" i="1"/>
  <c r="F959" i="1"/>
  <c r="C959" i="1"/>
  <c r="A959" i="1"/>
  <c r="O958" i="1"/>
  <c r="N958" i="1"/>
  <c r="M958" i="1"/>
  <c r="F958" i="1"/>
  <c r="P958" i="1" s="1"/>
  <c r="C958" i="1"/>
  <c r="A958" i="1"/>
  <c r="P957" i="1"/>
  <c r="O957" i="1"/>
  <c r="N957" i="1"/>
  <c r="M957" i="1"/>
  <c r="F957" i="1"/>
  <c r="C957" i="1"/>
  <c r="A957" i="1"/>
  <c r="P956" i="1"/>
  <c r="O956" i="1"/>
  <c r="N956" i="1"/>
  <c r="M956" i="1"/>
  <c r="F956" i="1"/>
  <c r="C956" i="1"/>
  <c r="A956" i="1"/>
  <c r="P955" i="1"/>
  <c r="O955" i="1"/>
  <c r="N955" i="1"/>
  <c r="M955" i="1"/>
  <c r="F955" i="1"/>
  <c r="C955" i="1"/>
  <c r="A955" i="1"/>
  <c r="O954" i="1"/>
  <c r="N954" i="1"/>
  <c r="M954" i="1"/>
  <c r="F954" i="1"/>
  <c r="C954" i="1"/>
  <c r="A954" i="1"/>
  <c r="O953" i="1"/>
  <c r="N953" i="1"/>
  <c r="M953" i="1"/>
  <c r="F953" i="1"/>
  <c r="P953" i="1" s="1"/>
  <c r="C953" i="1"/>
  <c r="A953" i="1"/>
  <c r="P952" i="1"/>
  <c r="O952" i="1"/>
  <c r="N952" i="1"/>
  <c r="M952" i="1"/>
  <c r="F952" i="1"/>
  <c r="C952" i="1"/>
  <c r="A952" i="1"/>
  <c r="O951" i="1"/>
  <c r="N951" i="1"/>
  <c r="M951" i="1"/>
  <c r="F951" i="1"/>
  <c r="P951" i="1" s="1"/>
  <c r="C951" i="1"/>
  <c r="A951" i="1"/>
  <c r="P950" i="1"/>
  <c r="O950" i="1"/>
  <c r="N950" i="1"/>
  <c r="M950" i="1"/>
  <c r="F950" i="1"/>
  <c r="C950" i="1"/>
  <c r="A950" i="1"/>
  <c r="P949" i="1"/>
  <c r="O949" i="1"/>
  <c r="N949" i="1"/>
  <c r="M949" i="1"/>
  <c r="F949" i="1"/>
  <c r="C949" i="1"/>
  <c r="A949" i="1"/>
  <c r="O948" i="1"/>
  <c r="N948" i="1"/>
  <c r="M948" i="1"/>
  <c r="F948" i="1"/>
  <c r="P948" i="1" s="1"/>
  <c r="C948" i="1"/>
  <c r="A948" i="1"/>
  <c r="O947" i="1"/>
  <c r="N947" i="1"/>
  <c r="M947" i="1"/>
  <c r="F947" i="1"/>
  <c r="C947" i="1"/>
  <c r="A947" i="1"/>
  <c r="O946" i="1"/>
  <c r="N946" i="1"/>
  <c r="M946" i="1"/>
  <c r="F946" i="1"/>
  <c r="P946" i="1" s="1"/>
  <c r="C946" i="1"/>
  <c r="A946" i="1"/>
  <c r="P945" i="1"/>
  <c r="O945" i="1"/>
  <c r="N945" i="1"/>
  <c r="M945" i="1"/>
  <c r="F945" i="1"/>
  <c r="C945" i="1"/>
  <c r="A945" i="1"/>
  <c r="P944" i="1"/>
  <c r="O944" i="1"/>
  <c r="N944" i="1"/>
  <c r="M944" i="1"/>
  <c r="F944" i="1"/>
  <c r="C944" i="1"/>
  <c r="A944" i="1"/>
  <c r="O943" i="1"/>
  <c r="N943" i="1"/>
  <c r="M943" i="1"/>
  <c r="F943" i="1"/>
  <c r="C943" i="1"/>
  <c r="A943" i="1"/>
  <c r="O942" i="1"/>
  <c r="N942" i="1"/>
  <c r="M942" i="1"/>
  <c r="F942" i="1"/>
  <c r="P942" i="1" s="1"/>
  <c r="C942" i="1"/>
  <c r="A942" i="1"/>
  <c r="O941" i="1"/>
  <c r="N941" i="1"/>
  <c r="M941" i="1"/>
  <c r="F941" i="1"/>
  <c r="P941" i="1" s="1"/>
  <c r="C941" i="1"/>
  <c r="A941" i="1"/>
  <c r="P940" i="1"/>
  <c r="O940" i="1"/>
  <c r="N940" i="1"/>
  <c r="M940" i="1"/>
  <c r="F940" i="1"/>
  <c r="C940" i="1"/>
  <c r="A940" i="1"/>
  <c r="P939" i="1"/>
  <c r="O939" i="1"/>
  <c r="N939" i="1"/>
  <c r="M939" i="1"/>
  <c r="F939" i="1"/>
  <c r="C939" i="1"/>
  <c r="A939" i="1"/>
  <c r="O938" i="1"/>
  <c r="N938" i="1"/>
  <c r="M938" i="1"/>
  <c r="F938" i="1"/>
  <c r="P938" i="1" s="1"/>
  <c r="C938" i="1"/>
  <c r="A938" i="1"/>
  <c r="O937" i="1"/>
  <c r="N937" i="1"/>
  <c r="M937" i="1"/>
  <c r="F937" i="1"/>
  <c r="P937" i="1" s="1"/>
  <c r="C937" i="1"/>
  <c r="A937" i="1"/>
  <c r="P936" i="1"/>
  <c r="O936" i="1"/>
  <c r="N936" i="1"/>
  <c r="M936" i="1"/>
  <c r="F936" i="1"/>
  <c r="C936" i="1"/>
  <c r="A936" i="1"/>
  <c r="P935" i="1"/>
  <c r="O935" i="1"/>
  <c r="N935" i="1"/>
  <c r="M935" i="1"/>
  <c r="F935" i="1"/>
  <c r="C935" i="1"/>
  <c r="A935" i="1"/>
  <c r="O934" i="1"/>
  <c r="N934" i="1"/>
  <c r="M934" i="1"/>
  <c r="F934" i="1"/>
  <c r="P934" i="1" s="1"/>
  <c r="C934" i="1"/>
  <c r="A934" i="1"/>
  <c r="O933" i="1"/>
  <c r="N933" i="1"/>
  <c r="M933" i="1"/>
  <c r="F933" i="1"/>
  <c r="P933" i="1" s="1"/>
  <c r="C933" i="1"/>
  <c r="A933" i="1"/>
  <c r="P932" i="1"/>
  <c r="O932" i="1"/>
  <c r="N932" i="1"/>
  <c r="M932" i="1"/>
  <c r="F932" i="1"/>
  <c r="C932" i="1"/>
  <c r="A932" i="1"/>
  <c r="P931" i="1"/>
  <c r="O931" i="1"/>
  <c r="N931" i="1"/>
  <c r="M931" i="1"/>
  <c r="F931" i="1"/>
  <c r="C931" i="1"/>
  <c r="A931" i="1"/>
  <c r="P930" i="1"/>
  <c r="O930" i="1"/>
  <c r="N930" i="1"/>
  <c r="M930" i="1"/>
  <c r="F930" i="1"/>
  <c r="C930" i="1"/>
  <c r="A930" i="1"/>
  <c r="O929" i="1"/>
  <c r="N929" i="1"/>
  <c r="M929" i="1"/>
  <c r="F929" i="1"/>
  <c r="C929" i="1"/>
  <c r="A929" i="1"/>
  <c r="O928" i="1"/>
  <c r="N928" i="1"/>
  <c r="M928" i="1"/>
  <c r="F928" i="1"/>
  <c r="P928" i="1" s="1"/>
  <c r="C928" i="1"/>
  <c r="A928" i="1"/>
  <c r="P927" i="1"/>
  <c r="O927" i="1"/>
  <c r="N927" i="1"/>
  <c r="M927" i="1"/>
  <c r="F927" i="1"/>
  <c r="C927" i="1"/>
  <c r="A927" i="1"/>
  <c r="O926" i="1"/>
  <c r="N926" i="1"/>
  <c r="M926" i="1"/>
  <c r="F926" i="1"/>
  <c r="P926" i="1" s="1"/>
  <c r="C926" i="1"/>
  <c r="A926" i="1"/>
  <c r="P925" i="1"/>
  <c r="O925" i="1"/>
  <c r="N925" i="1"/>
  <c r="M925" i="1"/>
  <c r="F925" i="1"/>
  <c r="C925" i="1"/>
  <c r="A925" i="1"/>
  <c r="P924" i="1"/>
  <c r="O924" i="1"/>
  <c r="N924" i="1"/>
  <c r="M924" i="1"/>
  <c r="F924" i="1"/>
  <c r="C924" i="1"/>
  <c r="A924" i="1"/>
  <c r="O923" i="1"/>
  <c r="N923" i="1"/>
  <c r="M923" i="1"/>
  <c r="F923" i="1"/>
  <c r="P923" i="1" s="1"/>
  <c r="C923" i="1"/>
  <c r="A923" i="1"/>
  <c r="O922" i="1"/>
  <c r="N922" i="1"/>
  <c r="M922" i="1"/>
  <c r="F922" i="1"/>
  <c r="C922" i="1"/>
  <c r="A922" i="1"/>
  <c r="O921" i="1"/>
  <c r="N921" i="1"/>
  <c r="M921" i="1"/>
  <c r="F921" i="1"/>
  <c r="P921" i="1" s="1"/>
  <c r="C921" i="1"/>
  <c r="A921" i="1"/>
  <c r="P920" i="1"/>
  <c r="O920" i="1"/>
  <c r="N920" i="1"/>
  <c r="M920" i="1"/>
  <c r="F920" i="1"/>
  <c r="C920" i="1"/>
  <c r="A920" i="1"/>
  <c r="P919" i="1"/>
  <c r="O919" i="1"/>
  <c r="N919" i="1"/>
  <c r="M919" i="1"/>
  <c r="F919" i="1"/>
  <c r="C919" i="1"/>
  <c r="A919" i="1"/>
  <c r="O918" i="1"/>
  <c r="N918" i="1"/>
  <c r="M918" i="1"/>
  <c r="F918" i="1"/>
  <c r="C918" i="1"/>
  <c r="A918" i="1"/>
  <c r="O917" i="1"/>
  <c r="N917" i="1"/>
  <c r="M917" i="1"/>
  <c r="F917" i="1"/>
  <c r="P917" i="1" s="1"/>
  <c r="C917" i="1"/>
  <c r="A917" i="1"/>
  <c r="O916" i="1"/>
  <c r="N916" i="1"/>
  <c r="M916" i="1"/>
  <c r="F916" i="1"/>
  <c r="P916" i="1" s="1"/>
  <c r="C916" i="1"/>
  <c r="A916" i="1"/>
  <c r="P915" i="1"/>
  <c r="O915" i="1"/>
  <c r="N915" i="1"/>
  <c r="M915" i="1"/>
  <c r="F915" i="1"/>
  <c r="C915" i="1"/>
  <c r="A915" i="1"/>
  <c r="P914" i="1"/>
  <c r="O914" i="1"/>
  <c r="N914" i="1"/>
  <c r="M914" i="1"/>
  <c r="F914" i="1"/>
  <c r="C914" i="1"/>
  <c r="A914" i="1"/>
  <c r="O913" i="1"/>
  <c r="N913" i="1"/>
  <c r="M913" i="1"/>
  <c r="F913" i="1"/>
  <c r="P913" i="1" s="1"/>
  <c r="C913" i="1"/>
  <c r="A913" i="1"/>
  <c r="O912" i="1"/>
  <c r="N912" i="1"/>
  <c r="M912" i="1"/>
  <c r="F912" i="1"/>
  <c r="P912" i="1" s="1"/>
  <c r="C912" i="1"/>
  <c r="A912" i="1"/>
  <c r="P911" i="1"/>
  <c r="O911" i="1"/>
  <c r="N911" i="1"/>
  <c r="M911" i="1"/>
  <c r="F911" i="1"/>
  <c r="C911" i="1"/>
  <c r="A911" i="1"/>
  <c r="P910" i="1"/>
  <c r="O910" i="1"/>
  <c r="N910" i="1"/>
  <c r="M910" i="1"/>
  <c r="F910" i="1"/>
  <c r="C910" i="1"/>
  <c r="A910" i="1"/>
  <c r="O909" i="1"/>
  <c r="N909" i="1"/>
  <c r="M909" i="1"/>
  <c r="F909" i="1"/>
  <c r="P909" i="1" s="1"/>
  <c r="C909" i="1"/>
  <c r="A909" i="1"/>
  <c r="O908" i="1"/>
  <c r="N908" i="1"/>
  <c r="M908" i="1"/>
  <c r="F908" i="1"/>
  <c r="P908" i="1" s="1"/>
  <c r="C908" i="1"/>
  <c r="A908" i="1"/>
  <c r="P907" i="1"/>
  <c r="O907" i="1"/>
  <c r="N907" i="1"/>
  <c r="M907" i="1"/>
  <c r="F907" i="1"/>
  <c r="C907" i="1"/>
  <c r="A907" i="1"/>
  <c r="P906" i="1"/>
  <c r="O906" i="1"/>
  <c r="N906" i="1"/>
  <c r="M906" i="1"/>
  <c r="F906" i="1"/>
  <c r="C906" i="1"/>
  <c r="A906" i="1"/>
  <c r="P905" i="1"/>
  <c r="O905" i="1"/>
  <c r="N905" i="1"/>
  <c r="M905" i="1"/>
  <c r="F905" i="1"/>
  <c r="C905" i="1"/>
  <c r="A905" i="1"/>
  <c r="O904" i="1"/>
  <c r="N904" i="1"/>
  <c r="M904" i="1"/>
  <c r="F904" i="1"/>
  <c r="C904" i="1"/>
  <c r="A904" i="1"/>
  <c r="O903" i="1"/>
  <c r="N903" i="1"/>
  <c r="M903" i="1"/>
  <c r="F903" i="1"/>
  <c r="P903" i="1" s="1"/>
  <c r="C903" i="1"/>
  <c r="A903" i="1"/>
  <c r="P902" i="1"/>
  <c r="O902" i="1"/>
  <c r="N902" i="1"/>
  <c r="M902" i="1"/>
  <c r="F902" i="1"/>
  <c r="C902" i="1"/>
  <c r="A902" i="1"/>
  <c r="O901" i="1"/>
  <c r="N901" i="1"/>
  <c r="M901" i="1"/>
  <c r="F901" i="1"/>
  <c r="P901" i="1" s="1"/>
  <c r="C901" i="1"/>
  <c r="A901" i="1"/>
  <c r="P900" i="1"/>
  <c r="O900" i="1"/>
  <c r="N900" i="1"/>
  <c r="M900" i="1"/>
  <c r="F900" i="1"/>
  <c r="C900" i="1"/>
  <c r="A900" i="1"/>
  <c r="P899" i="1"/>
  <c r="O899" i="1"/>
  <c r="N899" i="1"/>
  <c r="M899" i="1"/>
  <c r="F899" i="1"/>
  <c r="C899" i="1"/>
  <c r="A899" i="1"/>
  <c r="O898" i="1"/>
  <c r="N898" i="1"/>
  <c r="M898" i="1"/>
  <c r="F898" i="1"/>
  <c r="P898" i="1" s="1"/>
  <c r="C898" i="1"/>
  <c r="A898" i="1"/>
  <c r="O897" i="1"/>
  <c r="N897" i="1"/>
  <c r="M897" i="1"/>
  <c r="F897" i="1"/>
  <c r="C897" i="1"/>
  <c r="A897" i="1"/>
  <c r="O896" i="1"/>
  <c r="N896" i="1"/>
  <c r="M896" i="1"/>
  <c r="F896" i="1"/>
  <c r="P896" i="1" s="1"/>
  <c r="C896" i="1"/>
  <c r="A896" i="1"/>
  <c r="P895" i="1"/>
  <c r="O895" i="1"/>
  <c r="N895" i="1"/>
  <c r="M895" i="1"/>
  <c r="F895" i="1"/>
  <c r="C895" i="1"/>
  <c r="A895" i="1"/>
  <c r="P894" i="1"/>
  <c r="O894" i="1"/>
  <c r="N894" i="1"/>
  <c r="M894" i="1"/>
  <c r="F894" i="1"/>
  <c r="C894" i="1"/>
  <c r="A894" i="1"/>
  <c r="O893" i="1"/>
  <c r="N893" i="1"/>
  <c r="M893" i="1"/>
  <c r="F893" i="1"/>
  <c r="C893" i="1"/>
  <c r="A893" i="1"/>
  <c r="O892" i="1"/>
  <c r="N892" i="1"/>
  <c r="M892" i="1"/>
  <c r="F892" i="1"/>
  <c r="P892" i="1" s="1"/>
  <c r="C892" i="1"/>
  <c r="A892" i="1"/>
  <c r="O891" i="1"/>
  <c r="N891" i="1"/>
  <c r="M891" i="1"/>
  <c r="F891" i="1"/>
  <c r="P891" i="1" s="1"/>
  <c r="C891" i="1"/>
  <c r="A891" i="1"/>
  <c r="P890" i="1"/>
  <c r="O890" i="1"/>
  <c r="N890" i="1"/>
  <c r="M890" i="1"/>
  <c r="F890" i="1"/>
  <c r="C890" i="1"/>
  <c r="A890" i="1"/>
  <c r="P889" i="1"/>
  <c r="O889" i="1"/>
  <c r="N889" i="1"/>
  <c r="M889" i="1"/>
  <c r="F889" i="1"/>
  <c r="C889" i="1"/>
  <c r="A889" i="1"/>
  <c r="O888" i="1"/>
  <c r="N888" i="1"/>
  <c r="M888" i="1"/>
  <c r="F888" i="1"/>
  <c r="P888" i="1" s="1"/>
  <c r="C888" i="1"/>
  <c r="A888" i="1"/>
  <c r="O887" i="1"/>
  <c r="N887" i="1"/>
  <c r="M887" i="1"/>
  <c r="F887" i="1"/>
  <c r="P887" i="1" s="1"/>
  <c r="C887" i="1"/>
  <c r="A887" i="1"/>
  <c r="P886" i="1"/>
  <c r="O886" i="1"/>
  <c r="N886" i="1"/>
  <c r="M886" i="1"/>
  <c r="F886" i="1"/>
  <c r="C886" i="1"/>
  <c r="A886" i="1"/>
  <c r="P885" i="1"/>
  <c r="O885" i="1"/>
  <c r="N885" i="1"/>
  <c r="M885" i="1"/>
  <c r="F885" i="1"/>
  <c r="C885" i="1"/>
  <c r="A885" i="1"/>
  <c r="O884" i="1"/>
  <c r="N884" i="1"/>
  <c r="M884" i="1"/>
  <c r="F884" i="1"/>
  <c r="P884" i="1" s="1"/>
  <c r="C884" i="1"/>
  <c r="A884" i="1"/>
  <c r="O883" i="1"/>
  <c r="N883" i="1"/>
  <c r="M883" i="1"/>
  <c r="F883" i="1"/>
  <c r="P883" i="1" s="1"/>
  <c r="C883" i="1"/>
  <c r="A883" i="1"/>
  <c r="P882" i="1"/>
  <c r="O882" i="1"/>
  <c r="N882" i="1"/>
  <c r="M882" i="1"/>
  <c r="F882" i="1"/>
  <c r="C882" i="1"/>
  <c r="A882" i="1"/>
  <c r="P881" i="1"/>
  <c r="O881" i="1"/>
  <c r="N881" i="1"/>
  <c r="M881" i="1"/>
  <c r="F881" i="1"/>
  <c r="C881" i="1"/>
  <c r="A881" i="1"/>
  <c r="O880" i="1"/>
  <c r="N880" i="1"/>
  <c r="M880" i="1"/>
  <c r="F880" i="1"/>
  <c r="P880" i="1" s="1"/>
  <c r="C880" i="1"/>
  <c r="A880" i="1"/>
  <c r="O879" i="1"/>
  <c r="N879" i="1"/>
  <c r="M879" i="1"/>
  <c r="F879" i="1"/>
  <c r="P879" i="1" s="1"/>
  <c r="C879" i="1"/>
  <c r="A879" i="1"/>
  <c r="P878" i="1"/>
  <c r="O878" i="1"/>
  <c r="N878" i="1"/>
  <c r="M878" i="1"/>
  <c r="F878" i="1"/>
  <c r="C878" i="1"/>
  <c r="A878" i="1"/>
  <c r="P877" i="1"/>
  <c r="O877" i="1"/>
  <c r="N877" i="1"/>
  <c r="M877" i="1"/>
  <c r="F877" i="1"/>
  <c r="C877" i="1"/>
  <c r="A877" i="1"/>
  <c r="P876" i="1"/>
  <c r="O876" i="1"/>
  <c r="N876" i="1"/>
  <c r="M876" i="1"/>
  <c r="F876" i="1"/>
  <c r="C876" i="1"/>
  <c r="A876" i="1"/>
  <c r="O875" i="1"/>
  <c r="N875" i="1"/>
  <c r="M875" i="1"/>
  <c r="F875" i="1"/>
  <c r="P875" i="1" s="1"/>
  <c r="C875" i="1"/>
  <c r="A875" i="1"/>
  <c r="O874" i="1"/>
  <c r="N874" i="1"/>
  <c r="M874" i="1"/>
  <c r="F874" i="1"/>
  <c r="P874" i="1" s="1"/>
  <c r="C874" i="1"/>
  <c r="A874" i="1"/>
  <c r="P873" i="1"/>
  <c r="O873" i="1"/>
  <c r="N873" i="1"/>
  <c r="M873" i="1"/>
  <c r="F873" i="1"/>
  <c r="C873" i="1"/>
  <c r="A873" i="1"/>
  <c r="P872" i="1"/>
  <c r="O872" i="1"/>
  <c r="N872" i="1"/>
  <c r="M872" i="1"/>
  <c r="F872" i="1"/>
  <c r="C872" i="1"/>
  <c r="A872" i="1"/>
  <c r="P871" i="1"/>
  <c r="O871" i="1"/>
  <c r="N871" i="1"/>
  <c r="M871" i="1"/>
  <c r="F871" i="1"/>
  <c r="C871" i="1"/>
  <c r="A871" i="1"/>
  <c r="O870" i="1"/>
  <c r="N870" i="1"/>
  <c r="M870" i="1"/>
  <c r="F870" i="1"/>
  <c r="P870" i="1" s="1"/>
  <c r="C870" i="1"/>
  <c r="A870" i="1"/>
  <c r="O869" i="1"/>
  <c r="N869" i="1"/>
  <c r="M869" i="1"/>
  <c r="F869" i="1"/>
  <c r="P869" i="1" s="1"/>
  <c r="C869" i="1"/>
  <c r="A869" i="1"/>
  <c r="P868" i="1"/>
  <c r="O868" i="1"/>
  <c r="N868" i="1"/>
  <c r="M868" i="1"/>
  <c r="F868" i="1"/>
  <c r="C868" i="1"/>
  <c r="A868" i="1"/>
  <c r="P867" i="1"/>
  <c r="O867" i="1"/>
  <c r="N867" i="1"/>
  <c r="M867" i="1"/>
  <c r="F867" i="1"/>
  <c r="C867" i="1"/>
  <c r="A867" i="1"/>
  <c r="P866" i="1"/>
  <c r="O866" i="1"/>
  <c r="N866" i="1"/>
  <c r="M866" i="1"/>
  <c r="F866" i="1"/>
  <c r="C866" i="1"/>
  <c r="A866" i="1"/>
  <c r="O865" i="1"/>
  <c r="N865" i="1"/>
  <c r="M865" i="1"/>
  <c r="F865" i="1"/>
  <c r="P865" i="1" s="1"/>
  <c r="C865" i="1"/>
  <c r="A865" i="1"/>
  <c r="O864" i="1"/>
  <c r="N864" i="1"/>
  <c r="M864" i="1"/>
  <c r="F864" i="1"/>
  <c r="P864" i="1" s="1"/>
  <c r="C864" i="1"/>
  <c r="A864" i="1"/>
  <c r="P863" i="1"/>
  <c r="O863" i="1"/>
  <c r="N863" i="1"/>
  <c r="M863" i="1"/>
  <c r="F863" i="1"/>
  <c r="C863" i="1"/>
  <c r="A863" i="1"/>
  <c r="P862" i="1"/>
  <c r="O862" i="1"/>
  <c r="N862" i="1"/>
  <c r="M862" i="1"/>
  <c r="F862" i="1"/>
  <c r="C862" i="1"/>
  <c r="A862" i="1"/>
  <c r="P861" i="1"/>
  <c r="O861" i="1"/>
  <c r="N861" i="1"/>
  <c r="M861" i="1"/>
  <c r="F861" i="1"/>
  <c r="C861" i="1"/>
  <c r="A861" i="1"/>
  <c r="O860" i="1"/>
  <c r="N860" i="1"/>
  <c r="M860" i="1"/>
  <c r="F860" i="1"/>
  <c r="P860" i="1" s="1"/>
  <c r="C860" i="1"/>
  <c r="A860" i="1"/>
  <c r="O859" i="1"/>
  <c r="N859" i="1"/>
  <c r="M859" i="1"/>
  <c r="F859" i="1"/>
  <c r="P859" i="1" s="1"/>
  <c r="C859" i="1"/>
  <c r="A859" i="1"/>
  <c r="P858" i="1"/>
  <c r="O858" i="1"/>
  <c r="N858" i="1"/>
  <c r="M858" i="1"/>
  <c r="F858" i="1"/>
  <c r="C858" i="1"/>
  <c r="A858" i="1"/>
  <c r="P857" i="1"/>
  <c r="O857" i="1"/>
  <c r="N857" i="1"/>
  <c r="M857" i="1"/>
  <c r="F857" i="1"/>
  <c r="C857" i="1"/>
  <c r="A857" i="1"/>
  <c r="P856" i="1"/>
  <c r="O856" i="1"/>
  <c r="N856" i="1"/>
  <c r="M856" i="1"/>
  <c r="F856" i="1"/>
  <c r="C856" i="1"/>
  <c r="A856" i="1"/>
  <c r="O855" i="1"/>
  <c r="N855" i="1"/>
  <c r="M855" i="1"/>
  <c r="F855" i="1"/>
  <c r="P855" i="1" s="1"/>
  <c r="C855" i="1"/>
  <c r="A855" i="1"/>
  <c r="O854" i="1"/>
  <c r="N854" i="1"/>
  <c r="M854" i="1"/>
  <c r="F854" i="1"/>
  <c r="P854" i="1" s="1"/>
  <c r="C854" i="1"/>
  <c r="A854" i="1"/>
  <c r="P853" i="1"/>
  <c r="O853" i="1"/>
  <c r="N853" i="1"/>
  <c r="M853" i="1"/>
  <c r="F853" i="1"/>
  <c r="C853" i="1"/>
  <c r="A853" i="1"/>
  <c r="P852" i="1"/>
  <c r="O852" i="1"/>
  <c r="N852" i="1"/>
  <c r="M852" i="1"/>
  <c r="F852" i="1"/>
  <c r="C852" i="1"/>
  <c r="A852" i="1"/>
  <c r="P851" i="1"/>
  <c r="O851" i="1"/>
  <c r="N851" i="1"/>
  <c r="M851" i="1"/>
  <c r="F851" i="1"/>
  <c r="C851" i="1"/>
  <c r="A851" i="1"/>
  <c r="O850" i="1"/>
  <c r="N850" i="1"/>
  <c r="M850" i="1"/>
  <c r="F850" i="1"/>
  <c r="P850" i="1" s="1"/>
  <c r="C850" i="1"/>
  <c r="A850" i="1"/>
  <c r="O849" i="1"/>
  <c r="N849" i="1"/>
  <c r="M849" i="1"/>
  <c r="F849" i="1"/>
  <c r="P849" i="1" s="1"/>
  <c r="C849" i="1"/>
  <c r="A849" i="1"/>
  <c r="P848" i="1"/>
  <c r="O848" i="1"/>
  <c r="N848" i="1"/>
  <c r="M848" i="1"/>
  <c r="F848" i="1"/>
  <c r="C848" i="1"/>
  <c r="A848" i="1"/>
  <c r="P847" i="1"/>
  <c r="O847" i="1"/>
  <c r="N847" i="1"/>
  <c r="M847" i="1"/>
  <c r="F847" i="1"/>
  <c r="C847" i="1"/>
  <c r="A847" i="1"/>
  <c r="P846" i="1"/>
  <c r="O846" i="1"/>
  <c r="N846" i="1"/>
  <c r="M846" i="1"/>
  <c r="F846" i="1"/>
  <c r="C846" i="1"/>
  <c r="A846" i="1"/>
  <c r="O845" i="1"/>
  <c r="N845" i="1"/>
  <c r="M845" i="1"/>
  <c r="F845" i="1"/>
  <c r="P845" i="1" s="1"/>
  <c r="C845" i="1"/>
  <c r="A845" i="1"/>
  <c r="O844" i="1"/>
  <c r="N844" i="1"/>
  <c r="M844" i="1"/>
  <c r="F844" i="1"/>
  <c r="P844" i="1" s="1"/>
  <c r="C844" i="1"/>
  <c r="A844" i="1"/>
  <c r="P843" i="1"/>
  <c r="O843" i="1"/>
  <c r="N843" i="1"/>
  <c r="M843" i="1"/>
  <c r="F843" i="1"/>
  <c r="C843" i="1"/>
  <c r="A843" i="1"/>
  <c r="P842" i="1"/>
  <c r="O842" i="1"/>
  <c r="N842" i="1"/>
  <c r="M842" i="1"/>
  <c r="F842" i="1"/>
  <c r="C842" i="1"/>
  <c r="A842" i="1"/>
  <c r="P841" i="1"/>
  <c r="O841" i="1"/>
  <c r="N841" i="1"/>
  <c r="M841" i="1"/>
  <c r="F841" i="1"/>
  <c r="C841" i="1"/>
  <c r="A841" i="1"/>
  <c r="O840" i="1"/>
  <c r="N840" i="1"/>
  <c r="M840" i="1"/>
  <c r="F840" i="1"/>
  <c r="P840" i="1" s="1"/>
  <c r="C840" i="1"/>
  <c r="A840" i="1"/>
  <c r="O839" i="1"/>
  <c r="N839" i="1"/>
  <c r="M839" i="1"/>
  <c r="F839" i="1"/>
  <c r="P839" i="1" s="1"/>
  <c r="C839" i="1"/>
  <c r="A839" i="1"/>
  <c r="P838" i="1"/>
  <c r="O838" i="1"/>
  <c r="N838" i="1"/>
  <c r="M838" i="1"/>
  <c r="F838" i="1"/>
  <c r="C838" i="1"/>
  <c r="A838" i="1"/>
  <c r="P837" i="1"/>
  <c r="O837" i="1"/>
  <c r="N837" i="1"/>
  <c r="M837" i="1"/>
  <c r="F837" i="1"/>
  <c r="C837" i="1"/>
  <c r="A837" i="1"/>
  <c r="P836" i="1"/>
  <c r="O836" i="1"/>
  <c r="N836" i="1"/>
  <c r="M836" i="1"/>
  <c r="F836" i="1"/>
  <c r="C836" i="1"/>
  <c r="A836" i="1"/>
  <c r="O835" i="1"/>
  <c r="N835" i="1"/>
  <c r="M835" i="1"/>
  <c r="F835" i="1"/>
  <c r="P835" i="1" s="1"/>
  <c r="C835" i="1"/>
  <c r="A835" i="1"/>
  <c r="O834" i="1"/>
  <c r="N834" i="1"/>
  <c r="M834" i="1"/>
  <c r="F834" i="1"/>
  <c r="P834" i="1" s="1"/>
  <c r="C834" i="1"/>
  <c r="A834" i="1"/>
  <c r="P833" i="1"/>
  <c r="O833" i="1"/>
  <c r="N833" i="1"/>
  <c r="M833" i="1"/>
  <c r="F833" i="1"/>
  <c r="C833" i="1"/>
  <c r="A833" i="1"/>
  <c r="P832" i="1"/>
  <c r="O832" i="1"/>
  <c r="N832" i="1"/>
  <c r="M832" i="1"/>
  <c r="F832" i="1"/>
  <c r="C832" i="1"/>
  <c r="A832" i="1"/>
  <c r="P831" i="1"/>
  <c r="O831" i="1"/>
  <c r="N831" i="1"/>
  <c r="M831" i="1"/>
  <c r="F831" i="1"/>
  <c r="C831" i="1"/>
  <c r="A831" i="1"/>
  <c r="O830" i="1"/>
  <c r="N830" i="1"/>
  <c r="M830" i="1"/>
  <c r="F830" i="1"/>
  <c r="P830" i="1" s="1"/>
  <c r="C830" i="1"/>
  <c r="A830" i="1"/>
  <c r="O829" i="1"/>
  <c r="N829" i="1"/>
  <c r="M829" i="1"/>
  <c r="F829" i="1"/>
  <c r="P829" i="1" s="1"/>
  <c r="C829" i="1"/>
  <c r="A829" i="1"/>
  <c r="P828" i="1"/>
  <c r="O828" i="1"/>
  <c r="N828" i="1"/>
  <c r="M828" i="1"/>
  <c r="F828" i="1"/>
  <c r="C828" i="1"/>
  <c r="A828" i="1"/>
  <c r="P827" i="1"/>
  <c r="O827" i="1"/>
  <c r="N827" i="1"/>
  <c r="M827" i="1"/>
  <c r="F827" i="1"/>
  <c r="C827" i="1"/>
  <c r="A827" i="1"/>
  <c r="P826" i="1"/>
  <c r="O826" i="1"/>
  <c r="N826" i="1"/>
  <c r="M826" i="1"/>
  <c r="F826" i="1"/>
  <c r="C826" i="1"/>
  <c r="A826" i="1"/>
  <c r="O825" i="1"/>
  <c r="N825" i="1"/>
  <c r="M825" i="1"/>
  <c r="F825" i="1"/>
  <c r="P825" i="1" s="1"/>
  <c r="C825" i="1"/>
  <c r="A825" i="1"/>
  <c r="O824" i="1"/>
  <c r="N824" i="1"/>
  <c r="M824" i="1"/>
  <c r="F824" i="1"/>
  <c r="P824" i="1" s="1"/>
  <c r="C824" i="1"/>
  <c r="A824" i="1"/>
  <c r="P823" i="1"/>
  <c r="O823" i="1"/>
  <c r="N823" i="1"/>
  <c r="M823" i="1"/>
  <c r="F823" i="1"/>
  <c r="C823" i="1"/>
  <c r="A823" i="1"/>
  <c r="P822" i="1"/>
  <c r="O822" i="1"/>
  <c r="N822" i="1"/>
  <c r="M822" i="1"/>
  <c r="F822" i="1"/>
  <c r="C822" i="1"/>
  <c r="A822" i="1"/>
  <c r="P821" i="1"/>
  <c r="O821" i="1"/>
  <c r="N821" i="1"/>
  <c r="M821" i="1"/>
  <c r="F821" i="1"/>
  <c r="C821" i="1"/>
  <c r="A821" i="1"/>
  <c r="O820" i="1"/>
  <c r="N820" i="1"/>
  <c r="M820" i="1"/>
  <c r="F820" i="1"/>
  <c r="P820" i="1" s="1"/>
  <c r="C820" i="1"/>
  <c r="A820" i="1"/>
  <c r="O819" i="1"/>
  <c r="N819" i="1"/>
  <c r="M819" i="1"/>
  <c r="F819" i="1"/>
  <c r="P819" i="1" s="1"/>
  <c r="C819" i="1"/>
  <c r="A819" i="1"/>
  <c r="P818" i="1"/>
  <c r="O818" i="1"/>
  <c r="N818" i="1"/>
  <c r="M818" i="1"/>
  <c r="F818" i="1"/>
  <c r="C818" i="1"/>
  <c r="A818" i="1"/>
  <c r="P817" i="1"/>
  <c r="O817" i="1"/>
  <c r="N817" i="1"/>
  <c r="M817" i="1"/>
  <c r="F817" i="1"/>
  <c r="C817" i="1"/>
  <c r="A817" i="1"/>
  <c r="P816" i="1"/>
  <c r="O816" i="1"/>
  <c r="N816" i="1"/>
  <c r="M816" i="1"/>
  <c r="F816" i="1"/>
  <c r="C816" i="1"/>
  <c r="A816" i="1"/>
  <c r="O815" i="1"/>
  <c r="N815" i="1"/>
  <c r="M815" i="1"/>
  <c r="F815" i="1"/>
  <c r="P815" i="1" s="1"/>
  <c r="C815" i="1"/>
  <c r="A815" i="1"/>
  <c r="O814" i="1"/>
  <c r="N814" i="1"/>
  <c r="M814" i="1"/>
  <c r="F814" i="1"/>
  <c r="P814" i="1" s="1"/>
  <c r="C814" i="1"/>
  <c r="A814" i="1"/>
  <c r="P813" i="1"/>
  <c r="O813" i="1"/>
  <c r="N813" i="1"/>
  <c r="M813" i="1"/>
  <c r="F813" i="1"/>
  <c r="C813" i="1"/>
  <c r="A813" i="1"/>
  <c r="P812" i="1"/>
  <c r="O812" i="1"/>
  <c r="N812" i="1"/>
  <c r="M812" i="1"/>
  <c r="F812" i="1"/>
  <c r="C812" i="1"/>
  <c r="A812" i="1"/>
  <c r="P811" i="1"/>
  <c r="O811" i="1"/>
  <c r="N811" i="1"/>
  <c r="M811" i="1"/>
  <c r="F811" i="1"/>
  <c r="C811" i="1"/>
  <c r="A811" i="1"/>
  <c r="O810" i="1"/>
  <c r="N810" i="1"/>
  <c r="M810" i="1"/>
  <c r="F810" i="1"/>
  <c r="P810" i="1" s="1"/>
  <c r="C810" i="1"/>
  <c r="A810" i="1"/>
  <c r="O809" i="1"/>
  <c r="N809" i="1"/>
  <c r="M809" i="1"/>
  <c r="F809" i="1"/>
  <c r="P809" i="1" s="1"/>
  <c r="C809" i="1"/>
  <c r="A809" i="1"/>
  <c r="P808" i="1"/>
  <c r="O808" i="1"/>
  <c r="N808" i="1"/>
  <c r="M808" i="1"/>
  <c r="F808" i="1"/>
  <c r="C808" i="1"/>
  <c r="A808" i="1"/>
  <c r="P807" i="1"/>
  <c r="O807" i="1"/>
  <c r="N807" i="1"/>
  <c r="M807" i="1"/>
  <c r="F807" i="1"/>
  <c r="C807" i="1"/>
  <c r="A807" i="1"/>
  <c r="P806" i="1"/>
  <c r="O806" i="1"/>
  <c r="N806" i="1"/>
  <c r="M806" i="1"/>
  <c r="F806" i="1"/>
  <c r="C806" i="1"/>
  <c r="A806" i="1"/>
  <c r="O805" i="1"/>
  <c r="N805" i="1"/>
  <c r="M805" i="1"/>
  <c r="F805" i="1"/>
  <c r="P805" i="1" s="1"/>
  <c r="C805" i="1"/>
  <c r="A805" i="1"/>
  <c r="O804" i="1"/>
  <c r="N804" i="1"/>
  <c r="M804" i="1"/>
  <c r="F804" i="1"/>
  <c r="P804" i="1" s="1"/>
  <c r="C804" i="1"/>
  <c r="A804" i="1"/>
  <c r="P803" i="1"/>
  <c r="O803" i="1"/>
  <c r="N803" i="1"/>
  <c r="M803" i="1"/>
  <c r="F803" i="1"/>
  <c r="C803" i="1"/>
  <c r="A803" i="1"/>
  <c r="P802" i="1"/>
  <c r="O802" i="1"/>
  <c r="N802" i="1"/>
  <c r="M802" i="1"/>
  <c r="F802" i="1"/>
  <c r="C802" i="1"/>
  <c r="A802" i="1"/>
  <c r="P801" i="1"/>
  <c r="O801" i="1"/>
  <c r="N801" i="1"/>
  <c r="M801" i="1"/>
  <c r="F801" i="1"/>
  <c r="C801" i="1"/>
  <c r="A801" i="1"/>
  <c r="O800" i="1"/>
  <c r="N800" i="1"/>
  <c r="M800" i="1"/>
  <c r="F800" i="1"/>
  <c r="P800" i="1" s="1"/>
  <c r="C800" i="1"/>
  <c r="A800" i="1"/>
  <c r="O799" i="1"/>
  <c r="N799" i="1"/>
  <c r="M799" i="1"/>
  <c r="F799" i="1"/>
  <c r="P799" i="1" s="1"/>
  <c r="C799" i="1"/>
  <c r="A799" i="1"/>
  <c r="P798" i="1"/>
  <c r="O798" i="1"/>
  <c r="N798" i="1"/>
  <c r="M798" i="1"/>
  <c r="F798" i="1"/>
  <c r="C798" i="1"/>
  <c r="A798" i="1"/>
  <c r="P797" i="1"/>
  <c r="O797" i="1"/>
  <c r="N797" i="1"/>
  <c r="M797" i="1"/>
  <c r="F797" i="1"/>
  <c r="C797" i="1"/>
  <c r="A797" i="1"/>
  <c r="P796" i="1"/>
  <c r="O796" i="1"/>
  <c r="N796" i="1"/>
  <c r="M796" i="1"/>
  <c r="F796" i="1"/>
  <c r="C796" i="1"/>
  <c r="A796" i="1"/>
  <c r="O795" i="1"/>
  <c r="N795" i="1"/>
  <c r="M795" i="1"/>
  <c r="F795" i="1"/>
  <c r="P795" i="1" s="1"/>
  <c r="C795" i="1"/>
  <c r="A795" i="1"/>
  <c r="O794" i="1"/>
  <c r="N794" i="1"/>
  <c r="M794" i="1"/>
  <c r="F794" i="1"/>
  <c r="P794" i="1" s="1"/>
  <c r="C794" i="1"/>
  <c r="A794" i="1"/>
  <c r="P793" i="1"/>
  <c r="O793" i="1"/>
  <c r="N793" i="1"/>
  <c r="M793" i="1"/>
  <c r="F793" i="1"/>
  <c r="C793" i="1"/>
  <c r="A793" i="1"/>
  <c r="P792" i="1"/>
  <c r="O792" i="1"/>
  <c r="N792" i="1"/>
  <c r="M792" i="1"/>
  <c r="F792" i="1"/>
  <c r="C792" i="1"/>
  <c r="A792" i="1"/>
  <c r="P791" i="1"/>
  <c r="O791" i="1"/>
  <c r="N791" i="1"/>
  <c r="M791" i="1"/>
  <c r="F791" i="1"/>
  <c r="C791" i="1"/>
  <c r="A791" i="1"/>
  <c r="O790" i="1"/>
  <c r="N790" i="1"/>
  <c r="M790" i="1"/>
  <c r="F790" i="1"/>
  <c r="P790" i="1" s="1"/>
  <c r="C790" i="1"/>
  <c r="A790" i="1"/>
  <c r="O789" i="1"/>
  <c r="N789" i="1"/>
  <c r="M789" i="1"/>
  <c r="F789" i="1"/>
  <c r="P789" i="1" s="1"/>
  <c r="C789" i="1"/>
  <c r="A789" i="1"/>
  <c r="P788" i="1"/>
  <c r="O788" i="1"/>
  <c r="N788" i="1"/>
  <c r="M788" i="1"/>
  <c r="F788" i="1"/>
  <c r="C788" i="1"/>
  <c r="A788" i="1"/>
  <c r="P787" i="1"/>
  <c r="O787" i="1"/>
  <c r="N787" i="1"/>
  <c r="M787" i="1"/>
  <c r="F787" i="1"/>
  <c r="C787" i="1"/>
  <c r="A787" i="1"/>
  <c r="P786" i="1"/>
  <c r="O786" i="1"/>
  <c r="N786" i="1"/>
  <c r="M786" i="1"/>
  <c r="F786" i="1"/>
  <c r="C786" i="1"/>
  <c r="A786" i="1"/>
  <c r="O785" i="1"/>
  <c r="N785" i="1"/>
  <c r="M785" i="1"/>
  <c r="F785" i="1"/>
  <c r="P785" i="1" s="1"/>
  <c r="C785" i="1"/>
  <c r="A785" i="1"/>
  <c r="O784" i="1"/>
  <c r="N784" i="1"/>
  <c r="M784" i="1"/>
  <c r="F784" i="1"/>
  <c r="P784" i="1" s="1"/>
  <c r="C784" i="1"/>
  <c r="A784" i="1"/>
  <c r="P783" i="1"/>
  <c r="O783" i="1"/>
  <c r="N783" i="1"/>
  <c r="M783" i="1"/>
  <c r="F783" i="1"/>
  <c r="C783" i="1"/>
  <c r="A783" i="1"/>
  <c r="P782" i="1"/>
  <c r="O782" i="1"/>
  <c r="N782" i="1"/>
  <c r="M782" i="1"/>
  <c r="F782" i="1"/>
  <c r="C782" i="1"/>
  <c r="A782" i="1"/>
  <c r="P781" i="1"/>
  <c r="O781" i="1"/>
  <c r="N781" i="1"/>
  <c r="M781" i="1"/>
  <c r="F781" i="1"/>
  <c r="C781" i="1"/>
  <c r="A781" i="1"/>
  <c r="O780" i="1"/>
  <c r="N780" i="1"/>
  <c r="M780" i="1"/>
  <c r="F780" i="1"/>
  <c r="P780" i="1" s="1"/>
  <c r="C780" i="1"/>
  <c r="A780" i="1"/>
  <c r="O779" i="1"/>
  <c r="N779" i="1"/>
  <c r="M779" i="1"/>
  <c r="F779" i="1"/>
  <c r="P779" i="1" s="1"/>
  <c r="C779" i="1"/>
  <c r="A779" i="1"/>
  <c r="P778" i="1"/>
  <c r="O778" i="1"/>
  <c r="N778" i="1"/>
  <c r="M778" i="1"/>
  <c r="F778" i="1"/>
  <c r="C778" i="1"/>
  <c r="A778" i="1"/>
  <c r="P777" i="1"/>
  <c r="O777" i="1"/>
  <c r="N777" i="1"/>
  <c r="M777" i="1"/>
  <c r="F777" i="1"/>
  <c r="C777" i="1"/>
  <c r="A777" i="1"/>
  <c r="P776" i="1"/>
  <c r="O776" i="1"/>
  <c r="N776" i="1"/>
  <c r="M776" i="1"/>
  <c r="F776" i="1"/>
  <c r="C776" i="1"/>
  <c r="A776" i="1"/>
  <c r="O775" i="1"/>
  <c r="N775" i="1"/>
  <c r="M775" i="1"/>
  <c r="F775" i="1"/>
  <c r="P775" i="1" s="1"/>
  <c r="C775" i="1"/>
  <c r="A775" i="1"/>
  <c r="O774" i="1"/>
  <c r="N774" i="1"/>
  <c r="M774" i="1"/>
  <c r="F774" i="1"/>
  <c r="P774" i="1" s="1"/>
  <c r="C774" i="1"/>
  <c r="A774" i="1"/>
  <c r="P773" i="1"/>
  <c r="O773" i="1"/>
  <c r="N773" i="1"/>
  <c r="M773" i="1"/>
  <c r="F773" i="1"/>
  <c r="C773" i="1"/>
  <c r="A773" i="1"/>
  <c r="P772" i="1"/>
  <c r="O772" i="1"/>
  <c r="N772" i="1"/>
  <c r="M772" i="1"/>
  <c r="F772" i="1"/>
  <c r="C772" i="1"/>
  <c r="A772" i="1"/>
  <c r="P771" i="1"/>
  <c r="O771" i="1"/>
  <c r="N771" i="1"/>
  <c r="M771" i="1"/>
  <c r="F771" i="1"/>
  <c r="C771" i="1"/>
  <c r="A771" i="1"/>
  <c r="O770" i="1"/>
  <c r="N770" i="1"/>
  <c r="M770" i="1"/>
  <c r="F770" i="1"/>
  <c r="P770" i="1" s="1"/>
  <c r="C770" i="1"/>
  <c r="A770" i="1"/>
  <c r="O769" i="1"/>
  <c r="N769" i="1"/>
  <c r="M769" i="1"/>
  <c r="F769" i="1"/>
  <c r="P769" i="1" s="1"/>
  <c r="C769" i="1"/>
  <c r="A769" i="1"/>
  <c r="P768" i="1"/>
  <c r="O768" i="1"/>
  <c r="N768" i="1"/>
  <c r="M768" i="1"/>
  <c r="F768" i="1"/>
  <c r="C768" i="1"/>
  <c r="A768" i="1"/>
  <c r="P767" i="1"/>
  <c r="O767" i="1"/>
  <c r="N767" i="1"/>
  <c r="M767" i="1"/>
  <c r="F767" i="1"/>
  <c r="C767" i="1"/>
  <c r="A767" i="1"/>
  <c r="P766" i="1"/>
  <c r="O766" i="1"/>
  <c r="N766" i="1"/>
  <c r="M766" i="1"/>
  <c r="F766" i="1"/>
  <c r="C766" i="1"/>
  <c r="A766" i="1"/>
  <c r="O765" i="1"/>
  <c r="N765" i="1"/>
  <c r="M765" i="1"/>
  <c r="F765" i="1"/>
  <c r="P765" i="1" s="1"/>
  <c r="C765" i="1"/>
  <c r="A765" i="1"/>
  <c r="O764" i="1"/>
  <c r="N764" i="1"/>
  <c r="M764" i="1"/>
  <c r="F764" i="1"/>
  <c r="P764" i="1" s="1"/>
  <c r="C764" i="1"/>
  <c r="A764" i="1"/>
  <c r="P763" i="1"/>
  <c r="O763" i="1"/>
  <c r="N763" i="1"/>
  <c r="M763" i="1"/>
  <c r="F763" i="1"/>
  <c r="C763" i="1"/>
  <c r="A763" i="1"/>
  <c r="P762" i="1"/>
  <c r="O762" i="1"/>
  <c r="N762" i="1"/>
  <c r="M762" i="1"/>
  <c r="F762" i="1"/>
  <c r="C762" i="1"/>
  <c r="A762" i="1"/>
  <c r="P761" i="1"/>
  <c r="O761" i="1"/>
  <c r="N761" i="1"/>
  <c r="M761" i="1"/>
  <c r="F761" i="1"/>
  <c r="C761" i="1"/>
  <c r="A761" i="1"/>
  <c r="O760" i="1"/>
  <c r="N760" i="1"/>
  <c r="M760" i="1"/>
  <c r="F760" i="1"/>
  <c r="P760" i="1" s="1"/>
  <c r="C760" i="1"/>
  <c r="A760" i="1"/>
  <c r="O759" i="1"/>
  <c r="N759" i="1"/>
  <c r="M759" i="1"/>
  <c r="F759" i="1"/>
  <c r="P759" i="1" s="1"/>
  <c r="C759" i="1"/>
  <c r="A759" i="1"/>
  <c r="P758" i="1"/>
  <c r="O758" i="1"/>
  <c r="N758" i="1"/>
  <c r="M758" i="1"/>
  <c r="F758" i="1"/>
  <c r="C758" i="1"/>
  <c r="A758" i="1"/>
  <c r="P757" i="1"/>
  <c r="O757" i="1"/>
  <c r="N757" i="1"/>
  <c r="M757" i="1"/>
  <c r="F757" i="1"/>
  <c r="C757" i="1"/>
  <c r="A757" i="1"/>
  <c r="P756" i="1"/>
  <c r="O756" i="1"/>
  <c r="N756" i="1"/>
  <c r="M756" i="1"/>
  <c r="F756" i="1"/>
  <c r="C756" i="1"/>
  <c r="A756" i="1"/>
  <c r="O755" i="1"/>
  <c r="N755" i="1"/>
  <c r="M755" i="1"/>
  <c r="F755" i="1"/>
  <c r="P755" i="1" s="1"/>
  <c r="C755" i="1"/>
  <c r="A755" i="1"/>
  <c r="O754" i="1"/>
  <c r="N754" i="1"/>
  <c r="M754" i="1"/>
  <c r="F754" i="1"/>
  <c r="P754" i="1" s="1"/>
  <c r="C754" i="1"/>
  <c r="A754" i="1"/>
  <c r="P753" i="1"/>
  <c r="O753" i="1"/>
  <c r="N753" i="1"/>
  <c r="M753" i="1"/>
  <c r="F753" i="1"/>
  <c r="C753" i="1"/>
  <c r="A753" i="1"/>
  <c r="P752" i="1"/>
  <c r="O752" i="1"/>
  <c r="N752" i="1"/>
  <c r="M752" i="1"/>
  <c r="F752" i="1"/>
  <c r="C752" i="1"/>
  <c r="A752" i="1"/>
  <c r="P751" i="1"/>
  <c r="O751" i="1"/>
  <c r="N751" i="1"/>
  <c r="M751" i="1"/>
  <c r="F751" i="1"/>
  <c r="C751" i="1"/>
  <c r="A751" i="1"/>
  <c r="O750" i="1"/>
  <c r="N750" i="1"/>
  <c r="M750" i="1"/>
  <c r="F750" i="1"/>
  <c r="P750" i="1" s="1"/>
  <c r="C750" i="1"/>
  <c r="A750" i="1"/>
  <c r="O749" i="1"/>
  <c r="N749" i="1"/>
  <c r="M749" i="1"/>
  <c r="F749" i="1"/>
  <c r="P749" i="1" s="1"/>
  <c r="C749" i="1"/>
  <c r="A749" i="1"/>
  <c r="P748" i="1"/>
  <c r="O748" i="1"/>
  <c r="N748" i="1"/>
  <c r="M748" i="1"/>
  <c r="F748" i="1"/>
  <c r="C748" i="1"/>
  <c r="A748" i="1"/>
  <c r="P747" i="1"/>
  <c r="O747" i="1"/>
  <c r="N747" i="1"/>
  <c r="M747" i="1"/>
  <c r="F747" i="1"/>
  <c r="C747" i="1"/>
  <c r="A747" i="1"/>
  <c r="P746" i="1"/>
  <c r="O746" i="1"/>
  <c r="N746" i="1"/>
  <c r="M746" i="1"/>
  <c r="F746" i="1"/>
  <c r="C746" i="1"/>
  <c r="A746" i="1"/>
  <c r="O745" i="1"/>
  <c r="N745" i="1"/>
  <c r="M745" i="1"/>
  <c r="F745" i="1"/>
  <c r="P745" i="1" s="1"/>
  <c r="C745" i="1"/>
  <c r="A745" i="1"/>
  <c r="O744" i="1"/>
  <c r="N744" i="1"/>
  <c r="M744" i="1"/>
  <c r="F744" i="1"/>
  <c r="P744" i="1" s="1"/>
  <c r="C744" i="1"/>
  <c r="A744" i="1"/>
  <c r="P743" i="1"/>
  <c r="O743" i="1"/>
  <c r="N743" i="1"/>
  <c r="M743" i="1"/>
  <c r="F743" i="1"/>
  <c r="C743" i="1"/>
  <c r="A743" i="1"/>
  <c r="P742" i="1"/>
  <c r="O742" i="1"/>
  <c r="N742" i="1"/>
  <c r="M742" i="1"/>
  <c r="F742" i="1"/>
  <c r="C742" i="1"/>
  <c r="A742" i="1"/>
  <c r="P741" i="1"/>
  <c r="O741" i="1"/>
  <c r="N741" i="1"/>
  <c r="M741" i="1"/>
  <c r="F741" i="1"/>
  <c r="C741" i="1"/>
  <c r="A741" i="1"/>
  <c r="O740" i="1"/>
  <c r="N740" i="1"/>
  <c r="M740" i="1"/>
  <c r="F740" i="1"/>
  <c r="P740" i="1" s="1"/>
  <c r="C740" i="1"/>
  <c r="A740" i="1"/>
  <c r="O739" i="1"/>
  <c r="N739" i="1"/>
  <c r="M739" i="1"/>
  <c r="F739" i="1"/>
  <c r="P739" i="1" s="1"/>
  <c r="C739" i="1"/>
  <c r="A739" i="1"/>
  <c r="P738" i="1"/>
  <c r="O738" i="1"/>
  <c r="N738" i="1"/>
  <c r="M738" i="1"/>
  <c r="F738" i="1"/>
  <c r="C738" i="1"/>
  <c r="A738" i="1"/>
  <c r="P737" i="1"/>
  <c r="O737" i="1"/>
  <c r="N737" i="1"/>
  <c r="M737" i="1"/>
  <c r="F737" i="1"/>
  <c r="C737" i="1"/>
  <c r="A737" i="1"/>
  <c r="P736" i="1"/>
  <c r="O736" i="1"/>
  <c r="N736" i="1"/>
  <c r="M736" i="1"/>
  <c r="F736" i="1"/>
  <c r="C736" i="1"/>
  <c r="A736" i="1"/>
  <c r="O735" i="1"/>
  <c r="N735" i="1"/>
  <c r="M735" i="1"/>
  <c r="F735" i="1"/>
  <c r="P735" i="1" s="1"/>
  <c r="C735" i="1"/>
  <c r="A735" i="1"/>
  <c r="O734" i="1"/>
  <c r="N734" i="1"/>
  <c r="M734" i="1"/>
  <c r="F734" i="1"/>
  <c r="P734" i="1" s="1"/>
  <c r="C734" i="1"/>
  <c r="A734" i="1"/>
  <c r="P733" i="1"/>
  <c r="O733" i="1"/>
  <c r="N733" i="1"/>
  <c r="M733" i="1"/>
  <c r="F733" i="1"/>
  <c r="C733" i="1"/>
  <c r="A733" i="1"/>
  <c r="P732" i="1"/>
  <c r="O732" i="1"/>
  <c r="N732" i="1"/>
  <c r="M732" i="1"/>
  <c r="F732" i="1"/>
  <c r="C732" i="1"/>
  <c r="A732" i="1"/>
  <c r="P731" i="1"/>
  <c r="O731" i="1"/>
  <c r="N731" i="1"/>
  <c r="M731" i="1"/>
  <c r="F731" i="1"/>
  <c r="C731" i="1"/>
  <c r="A731" i="1"/>
  <c r="O730" i="1"/>
  <c r="N730" i="1"/>
  <c r="M730" i="1"/>
  <c r="F730" i="1"/>
  <c r="P730" i="1" s="1"/>
  <c r="C730" i="1"/>
  <c r="A730" i="1"/>
  <c r="O729" i="1"/>
  <c r="N729" i="1"/>
  <c r="M729" i="1"/>
  <c r="F729" i="1"/>
  <c r="P729" i="1" s="1"/>
  <c r="C729" i="1"/>
  <c r="A729" i="1"/>
  <c r="P728" i="1"/>
  <c r="O728" i="1"/>
  <c r="N728" i="1"/>
  <c r="M728" i="1"/>
  <c r="F728" i="1"/>
  <c r="C728" i="1"/>
  <c r="A728" i="1"/>
  <c r="P727" i="1"/>
  <c r="O727" i="1"/>
  <c r="N727" i="1"/>
  <c r="M727" i="1"/>
  <c r="F727" i="1"/>
  <c r="C727" i="1"/>
  <c r="A727" i="1"/>
  <c r="P726" i="1"/>
  <c r="O726" i="1"/>
  <c r="N726" i="1"/>
  <c r="M726" i="1"/>
  <c r="F726" i="1"/>
  <c r="C726" i="1"/>
  <c r="A726" i="1"/>
  <c r="O725" i="1"/>
  <c r="N725" i="1"/>
  <c r="M725" i="1"/>
  <c r="F725" i="1"/>
  <c r="P725" i="1" s="1"/>
  <c r="C725" i="1"/>
  <c r="A725" i="1"/>
  <c r="O724" i="1"/>
  <c r="N724" i="1"/>
  <c r="M724" i="1"/>
  <c r="F724" i="1"/>
  <c r="P724" i="1" s="1"/>
  <c r="C724" i="1"/>
  <c r="A724" i="1"/>
  <c r="P723" i="1"/>
  <c r="O723" i="1"/>
  <c r="N723" i="1"/>
  <c r="M723" i="1"/>
  <c r="F723" i="1"/>
  <c r="C723" i="1"/>
  <c r="A723" i="1"/>
  <c r="P722" i="1"/>
  <c r="O722" i="1"/>
  <c r="N722" i="1"/>
  <c r="M722" i="1"/>
  <c r="F722" i="1"/>
  <c r="C722" i="1"/>
  <c r="A722" i="1"/>
  <c r="P721" i="1"/>
  <c r="O721" i="1"/>
  <c r="N721" i="1"/>
  <c r="M721" i="1"/>
  <c r="F721" i="1"/>
  <c r="C721" i="1"/>
  <c r="A721" i="1"/>
  <c r="O720" i="1"/>
  <c r="N720" i="1"/>
  <c r="M720" i="1"/>
  <c r="F720" i="1"/>
  <c r="P720" i="1" s="1"/>
  <c r="C720" i="1"/>
  <c r="A720" i="1"/>
  <c r="O719" i="1"/>
  <c r="N719" i="1"/>
  <c r="M719" i="1"/>
  <c r="F719" i="1"/>
  <c r="P719" i="1" s="1"/>
  <c r="C719" i="1"/>
  <c r="A719" i="1"/>
  <c r="P718" i="1"/>
  <c r="O718" i="1"/>
  <c r="N718" i="1"/>
  <c r="M718" i="1"/>
  <c r="F718" i="1"/>
  <c r="C718" i="1"/>
  <c r="A718" i="1"/>
  <c r="P717" i="1"/>
  <c r="O717" i="1"/>
  <c r="N717" i="1"/>
  <c r="M717" i="1"/>
  <c r="F717" i="1"/>
  <c r="C717" i="1"/>
  <c r="A717" i="1"/>
  <c r="P716" i="1"/>
  <c r="O716" i="1"/>
  <c r="N716" i="1"/>
  <c r="M716" i="1"/>
  <c r="F716" i="1"/>
  <c r="C716" i="1"/>
  <c r="A716" i="1"/>
  <c r="O715" i="1"/>
  <c r="N715" i="1"/>
  <c r="M715" i="1"/>
  <c r="F715" i="1"/>
  <c r="P715" i="1" s="1"/>
  <c r="C715" i="1"/>
  <c r="A715" i="1"/>
  <c r="O714" i="1"/>
  <c r="N714" i="1"/>
  <c r="M714" i="1"/>
  <c r="F714" i="1"/>
  <c r="P714" i="1" s="1"/>
  <c r="C714" i="1"/>
  <c r="A714" i="1"/>
  <c r="P713" i="1"/>
  <c r="O713" i="1"/>
  <c r="N713" i="1"/>
  <c r="M713" i="1"/>
  <c r="F713" i="1"/>
  <c r="C713" i="1"/>
  <c r="A713" i="1"/>
  <c r="P712" i="1"/>
  <c r="O712" i="1"/>
  <c r="N712" i="1"/>
  <c r="M712" i="1"/>
  <c r="F712" i="1"/>
  <c r="C712" i="1"/>
  <c r="A712" i="1"/>
  <c r="P711" i="1"/>
  <c r="O711" i="1"/>
  <c r="N711" i="1"/>
  <c r="M711" i="1"/>
  <c r="F711" i="1"/>
  <c r="C711" i="1"/>
  <c r="A711" i="1"/>
  <c r="O710" i="1"/>
  <c r="N710" i="1"/>
  <c r="M710" i="1"/>
  <c r="F710" i="1"/>
  <c r="P710" i="1" s="1"/>
  <c r="C710" i="1"/>
  <c r="A710" i="1"/>
  <c r="O709" i="1"/>
  <c r="N709" i="1"/>
  <c r="M709" i="1"/>
  <c r="F709" i="1"/>
  <c r="P709" i="1" s="1"/>
  <c r="C709" i="1"/>
  <c r="A709" i="1"/>
  <c r="P708" i="1"/>
  <c r="O708" i="1"/>
  <c r="N708" i="1"/>
  <c r="M708" i="1"/>
  <c r="F708" i="1"/>
  <c r="C708" i="1"/>
  <c r="A708" i="1"/>
  <c r="P707" i="1"/>
  <c r="O707" i="1"/>
  <c r="N707" i="1"/>
  <c r="M707" i="1"/>
  <c r="F707" i="1"/>
  <c r="C707" i="1"/>
  <c r="A707" i="1"/>
  <c r="P706" i="1"/>
  <c r="O706" i="1"/>
  <c r="N706" i="1"/>
  <c r="M706" i="1"/>
  <c r="F706" i="1"/>
  <c r="C706" i="1"/>
  <c r="A706" i="1"/>
  <c r="O705" i="1"/>
  <c r="N705" i="1"/>
  <c r="M705" i="1"/>
  <c r="F705" i="1"/>
  <c r="P705" i="1" s="1"/>
  <c r="C705" i="1"/>
  <c r="A705" i="1"/>
  <c r="O704" i="1"/>
  <c r="N704" i="1"/>
  <c r="M704" i="1"/>
  <c r="F704" i="1"/>
  <c r="P704" i="1" s="1"/>
  <c r="C704" i="1"/>
  <c r="A704" i="1"/>
  <c r="P703" i="1"/>
  <c r="O703" i="1"/>
  <c r="N703" i="1"/>
  <c r="M703" i="1"/>
  <c r="F703" i="1"/>
  <c r="C703" i="1"/>
  <c r="A703" i="1"/>
  <c r="P702" i="1"/>
  <c r="O702" i="1"/>
  <c r="N702" i="1"/>
  <c r="M702" i="1"/>
  <c r="F702" i="1"/>
  <c r="C702" i="1"/>
  <c r="A702" i="1"/>
  <c r="P701" i="1"/>
  <c r="O701" i="1"/>
  <c r="N701" i="1"/>
  <c r="M701" i="1"/>
  <c r="F701" i="1"/>
  <c r="C701" i="1"/>
  <c r="A701" i="1"/>
  <c r="O700" i="1"/>
  <c r="N700" i="1"/>
  <c r="M700" i="1"/>
  <c r="F700" i="1"/>
  <c r="P700" i="1" s="1"/>
  <c r="C700" i="1"/>
  <c r="A700" i="1"/>
  <c r="O699" i="1"/>
  <c r="N699" i="1"/>
  <c r="M699" i="1"/>
  <c r="F699" i="1"/>
  <c r="P699" i="1" s="1"/>
  <c r="C699" i="1"/>
  <c r="A699" i="1"/>
  <c r="P698" i="1"/>
  <c r="O698" i="1"/>
  <c r="N698" i="1"/>
  <c r="M698" i="1"/>
  <c r="F698" i="1"/>
  <c r="C698" i="1"/>
  <c r="A698" i="1"/>
  <c r="P697" i="1"/>
  <c r="O697" i="1"/>
  <c r="N697" i="1"/>
  <c r="M697" i="1"/>
  <c r="F697" i="1"/>
  <c r="C697" i="1"/>
  <c r="A697" i="1"/>
  <c r="P696" i="1"/>
  <c r="O696" i="1"/>
  <c r="N696" i="1"/>
  <c r="M696" i="1"/>
  <c r="F696" i="1"/>
  <c r="C696" i="1"/>
  <c r="A696" i="1"/>
  <c r="O695" i="1"/>
  <c r="N695" i="1"/>
  <c r="M695" i="1"/>
  <c r="F695" i="1"/>
  <c r="P695" i="1" s="1"/>
  <c r="C695" i="1"/>
  <c r="A695" i="1"/>
  <c r="O694" i="1"/>
  <c r="N694" i="1"/>
  <c r="M694" i="1"/>
  <c r="F694" i="1"/>
  <c r="P694" i="1" s="1"/>
  <c r="C694" i="1"/>
  <c r="A694" i="1"/>
  <c r="P693" i="1"/>
  <c r="O693" i="1"/>
  <c r="N693" i="1"/>
  <c r="M693" i="1"/>
  <c r="F693" i="1"/>
  <c r="C693" i="1"/>
  <c r="A693" i="1"/>
  <c r="P692" i="1"/>
  <c r="O692" i="1"/>
  <c r="N692" i="1"/>
  <c r="M692" i="1"/>
  <c r="F692" i="1"/>
  <c r="C692" i="1"/>
  <c r="A692" i="1"/>
  <c r="P691" i="1"/>
  <c r="O691" i="1"/>
  <c r="N691" i="1"/>
  <c r="M691" i="1"/>
  <c r="F691" i="1"/>
  <c r="C691" i="1"/>
  <c r="A691" i="1"/>
  <c r="O690" i="1"/>
  <c r="N690" i="1"/>
  <c r="M690" i="1"/>
  <c r="F690" i="1"/>
  <c r="P690" i="1" s="1"/>
  <c r="C690" i="1"/>
  <c r="A690" i="1"/>
  <c r="O689" i="1"/>
  <c r="N689" i="1"/>
  <c r="M689" i="1"/>
  <c r="F689" i="1"/>
  <c r="P689" i="1" s="1"/>
  <c r="C689" i="1"/>
  <c r="A689" i="1"/>
  <c r="P688" i="1"/>
  <c r="O688" i="1"/>
  <c r="N688" i="1"/>
  <c r="M688" i="1"/>
  <c r="F688" i="1"/>
  <c r="C688" i="1"/>
  <c r="A688" i="1"/>
  <c r="P687" i="1"/>
  <c r="O687" i="1"/>
  <c r="N687" i="1"/>
  <c r="M687" i="1"/>
  <c r="F687" i="1"/>
  <c r="C687" i="1"/>
  <c r="A687" i="1"/>
  <c r="P686" i="1"/>
  <c r="O686" i="1"/>
  <c r="N686" i="1"/>
  <c r="M686" i="1"/>
  <c r="F686" i="1"/>
  <c r="C686" i="1"/>
  <c r="A686" i="1"/>
  <c r="O685" i="1"/>
  <c r="N685" i="1"/>
  <c r="M685" i="1"/>
  <c r="F685" i="1"/>
  <c r="P685" i="1" s="1"/>
  <c r="C685" i="1"/>
  <c r="A685" i="1"/>
  <c r="O684" i="1"/>
  <c r="N684" i="1"/>
  <c r="M684" i="1"/>
  <c r="F684" i="1"/>
  <c r="P684" i="1" s="1"/>
  <c r="C684" i="1"/>
  <c r="A684" i="1"/>
  <c r="P683" i="1"/>
  <c r="O683" i="1"/>
  <c r="N683" i="1"/>
  <c r="M683" i="1"/>
  <c r="F683" i="1"/>
  <c r="C683" i="1"/>
  <c r="A683" i="1"/>
  <c r="P682" i="1"/>
  <c r="O682" i="1"/>
  <c r="N682" i="1"/>
  <c r="M682" i="1"/>
  <c r="F682" i="1"/>
  <c r="C682" i="1"/>
  <c r="A682" i="1"/>
  <c r="P681" i="1"/>
  <c r="O681" i="1"/>
  <c r="N681" i="1"/>
  <c r="M681" i="1"/>
  <c r="F681" i="1"/>
  <c r="C681" i="1"/>
  <c r="A681" i="1"/>
  <c r="O680" i="1"/>
  <c r="N680" i="1"/>
  <c r="M680" i="1"/>
  <c r="F680" i="1"/>
  <c r="P680" i="1" s="1"/>
  <c r="C680" i="1"/>
  <c r="A680" i="1"/>
  <c r="O679" i="1"/>
  <c r="N679" i="1"/>
  <c r="M679" i="1"/>
  <c r="F679" i="1"/>
  <c r="P679" i="1" s="1"/>
  <c r="C679" i="1"/>
  <c r="A679" i="1"/>
  <c r="P678" i="1"/>
  <c r="O678" i="1"/>
  <c r="N678" i="1"/>
  <c r="M678" i="1"/>
  <c r="F678" i="1"/>
  <c r="C678" i="1"/>
  <c r="A678" i="1"/>
  <c r="P677" i="1"/>
  <c r="O677" i="1"/>
  <c r="N677" i="1"/>
  <c r="M677" i="1"/>
  <c r="F677" i="1"/>
  <c r="C677" i="1"/>
  <c r="A677" i="1"/>
  <c r="P676" i="1"/>
  <c r="O676" i="1"/>
  <c r="N676" i="1"/>
  <c r="M676" i="1"/>
  <c r="F676" i="1"/>
  <c r="C676" i="1"/>
  <c r="A676" i="1"/>
  <c r="O675" i="1"/>
  <c r="N675" i="1"/>
  <c r="M675" i="1"/>
  <c r="F675" i="1"/>
  <c r="P675" i="1" s="1"/>
  <c r="C675" i="1"/>
  <c r="A675" i="1"/>
  <c r="O674" i="1"/>
  <c r="N674" i="1"/>
  <c r="M674" i="1"/>
  <c r="F674" i="1"/>
  <c r="P674" i="1" s="1"/>
  <c r="C674" i="1"/>
  <c r="A674" i="1"/>
  <c r="P673" i="1"/>
  <c r="O673" i="1"/>
  <c r="N673" i="1"/>
  <c r="M673" i="1"/>
  <c r="F673" i="1"/>
  <c r="C673" i="1"/>
  <c r="A673" i="1"/>
  <c r="P672" i="1"/>
  <c r="O672" i="1"/>
  <c r="N672" i="1"/>
  <c r="M672" i="1"/>
  <c r="F672" i="1"/>
  <c r="C672" i="1"/>
  <c r="A672" i="1"/>
  <c r="P671" i="1"/>
  <c r="O671" i="1"/>
  <c r="N671" i="1"/>
  <c r="M671" i="1"/>
  <c r="F671" i="1"/>
  <c r="C671" i="1"/>
  <c r="A671" i="1"/>
  <c r="O670" i="1"/>
  <c r="N670" i="1"/>
  <c r="M670" i="1"/>
  <c r="F670" i="1"/>
  <c r="P670" i="1" s="1"/>
  <c r="C670" i="1"/>
  <c r="A670" i="1"/>
  <c r="O669" i="1"/>
  <c r="N669" i="1"/>
  <c r="M669" i="1"/>
  <c r="F669" i="1"/>
  <c r="P669" i="1" s="1"/>
  <c r="C669" i="1"/>
  <c r="A669" i="1"/>
  <c r="P668" i="1"/>
  <c r="O668" i="1"/>
  <c r="N668" i="1"/>
  <c r="M668" i="1"/>
  <c r="F668" i="1"/>
  <c r="C668" i="1"/>
  <c r="A668" i="1"/>
  <c r="P667" i="1"/>
  <c r="O667" i="1"/>
  <c r="N667" i="1"/>
  <c r="M667" i="1"/>
  <c r="F667" i="1"/>
  <c r="C667" i="1"/>
  <c r="A667" i="1"/>
  <c r="P666" i="1"/>
  <c r="O666" i="1"/>
  <c r="N666" i="1"/>
  <c r="M666" i="1"/>
  <c r="F666" i="1"/>
  <c r="C666" i="1"/>
  <c r="A666" i="1"/>
  <c r="O665" i="1"/>
  <c r="N665" i="1"/>
  <c r="M665" i="1"/>
  <c r="F665" i="1"/>
  <c r="C665" i="1"/>
  <c r="A665" i="1"/>
  <c r="O664" i="1"/>
  <c r="N664" i="1"/>
  <c r="M664" i="1"/>
  <c r="F664" i="1"/>
  <c r="P664" i="1" s="1"/>
  <c r="C664" i="1"/>
  <c r="A664" i="1"/>
  <c r="P663" i="1"/>
  <c r="O663" i="1"/>
  <c r="N663" i="1"/>
  <c r="M663" i="1"/>
  <c r="F663" i="1"/>
  <c r="C663" i="1"/>
  <c r="A663" i="1"/>
  <c r="P662" i="1"/>
  <c r="O662" i="1"/>
  <c r="N662" i="1"/>
  <c r="M662" i="1"/>
  <c r="F662" i="1"/>
  <c r="C662" i="1"/>
  <c r="A662" i="1"/>
  <c r="P661" i="1"/>
  <c r="O661" i="1"/>
  <c r="N661" i="1"/>
  <c r="M661" i="1"/>
  <c r="F661" i="1"/>
  <c r="C661" i="1"/>
  <c r="A661" i="1"/>
  <c r="O660" i="1"/>
  <c r="N660" i="1"/>
  <c r="M660" i="1"/>
  <c r="F660" i="1"/>
  <c r="P660" i="1" s="1"/>
  <c r="C660" i="1"/>
  <c r="A660" i="1"/>
  <c r="O659" i="1"/>
  <c r="N659" i="1"/>
  <c r="M659" i="1"/>
  <c r="F659" i="1"/>
  <c r="P659" i="1" s="1"/>
  <c r="C659" i="1"/>
  <c r="A659" i="1"/>
  <c r="P658" i="1"/>
  <c r="O658" i="1"/>
  <c r="N658" i="1"/>
  <c r="M658" i="1"/>
  <c r="F658" i="1"/>
  <c r="C658" i="1"/>
  <c r="A658" i="1"/>
  <c r="P657" i="1"/>
  <c r="O657" i="1"/>
  <c r="N657" i="1"/>
  <c r="M657" i="1"/>
  <c r="F657" i="1"/>
  <c r="C657" i="1"/>
  <c r="A657" i="1"/>
  <c r="P656" i="1"/>
  <c r="O656" i="1"/>
  <c r="N656" i="1"/>
  <c r="M656" i="1"/>
  <c r="F656" i="1"/>
  <c r="C656" i="1"/>
  <c r="A656" i="1"/>
  <c r="O655" i="1"/>
  <c r="N655" i="1"/>
  <c r="M655" i="1"/>
  <c r="F655" i="1"/>
  <c r="C655" i="1"/>
  <c r="A655" i="1"/>
  <c r="O654" i="1"/>
  <c r="N654" i="1"/>
  <c r="M654" i="1"/>
  <c r="F654" i="1"/>
  <c r="P654" i="1" s="1"/>
  <c r="C654" i="1"/>
  <c r="A654" i="1"/>
  <c r="P653" i="1"/>
  <c r="O653" i="1"/>
  <c r="N653" i="1"/>
  <c r="M653" i="1"/>
  <c r="F653" i="1"/>
  <c r="C653" i="1"/>
  <c r="A653" i="1"/>
  <c r="P652" i="1"/>
  <c r="O652" i="1"/>
  <c r="N652" i="1"/>
  <c r="M652" i="1"/>
  <c r="F652" i="1"/>
  <c r="C652" i="1"/>
  <c r="A652" i="1"/>
  <c r="P651" i="1"/>
  <c r="O651" i="1"/>
  <c r="N651" i="1"/>
  <c r="M651" i="1"/>
  <c r="F651" i="1"/>
  <c r="C651" i="1"/>
  <c r="A651" i="1"/>
  <c r="O650" i="1"/>
  <c r="N650" i="1"/>
  <c r="M650" i="1"/>
  <c r="F650" i="1"/>
  <c r="P650" i="1" s="1"/>
  <c r="C650" i="1"/>
  <c r="A650" i="1"/>
  <c r="O649" i="1"/>
  <c r="N649" i="1"/>
  <c r="M649" i="1"/>
  <c r="F649" i="1"/>
  <c r="P649" i="1" s="1"/>
  <c r="C649" i="1"/>
  <c r="A649" i="1"/>
  <c r="P648" i="1"/>
  <c r="O648" i="1"/>
  <c r="N648" i="1"/>
  <c r="M648" i="1"/>
  <c r="F648" i="1"/>
  <c r="C648" i="1"/>
  <c r="A648" i="1"/>
  <c r="P647" i="1"/>
  <c r="O647" i="1"/>
  <c r="N647" i="1"/>
  <c r="M647" i="1"/>
  <c r="F647" i="1"/>
  <c r="C647" i="1"/>
  <c r="A647" i="1"/>
  <c r="P646" i="1"/>
  <c r="O646" i="1"/>
  <c r="N646" i="1"/>
  <c r="M646" i="1"/>
  <c r="F646" i="1"/>
  <c r="C646" i="1"/>
  <c r="A646" i="1"/>
  <c r="O645" i="1"/>
  <c r="N645" i="1"/>
  <c r="M645" i="1"/>
  <c r="F645" i="1"/>
  <c r="C645" i="1"/>
  <c r="A645" i="1"/>
  <c r="O644" i="1"/>
  <c r="N644" i="1"/>
  <c r="M644" i="1"/>
  <c r="F644" i="1"/>
  <c r="P644" i="1" s="1"/>
  <c r="C644" i="1"/>
  <c r="A644" i="1"/>
  <c r="P643" i="1"/>
  <c r="O643" i="1"/>
  <c r="N643" i="1"/>
  <c r="M643" i="1"/>
  <c r="F643" i="1"/>
  <c r="C643" i="1"/>
  <c r="A643" i="1"/>
  <c r="O642" i="1"/>
  <c r="N642" i="1"/>
  <c r="M642" i="1"/>
  <c r="F642" i="1"/>
  <c r="P642" i="1" s="1"/>
  <c r="C642" i="1"/>
  <c r="A642" i="1"/>
  <c r="P641" i="1"/>
  <c r="O641" i="1"/>
  <c r="N641" i="1"/>
  <c r="M641" i="1"/>
  <c r="F641" i="1"/>
  <c r="C641" i="1"/>
  <c r="A641" i="1"/>
  <c r="O640" i="1"/>
  <c r="N640" i="1"/>
  <c r="M640" i="1"/>
  <c r="F640" i="1"/>
  <c r="P640" i="1" s="1"/>
  <c r="C640" i="1"/>
  <c r="A640" i="1"/>
  <c r="O639" i="1"/>
  <c r="N639" i="1"/>
  <c r="M639" i="1"/>
  <c r="F639" i="1"/>
  <c r="P639" i="1" s="1"/>
  <c r="C639" i="1"/>
  <c r="A639" i="1"/>
  <c r="P638" i="1"/>
  <c r="O638" i="1"/>
  <c r="N638" i="1"/>
  <c r="M638" i="1"/>
  <c r="F638" i="1"/>
  <c r="C638" i="1"/>
  <c r="A638" i="1"/>
  <c r="P637" i="1"/>
  <c r="O637" i="1"/>
  <c r="N637" i="1"/>
  <c r="M637" i="1"/>
  <c r="F637" i="1"/>
  <c r="C637" i="1"/>
  <c r="A637" i="1"/>
  <c r="P636" i="1"/>
  <c r="O636" i="1"/>
  <c r="N636" i="1"/>
  <c r="M636" i="1"/>
  <c r="F636" i="1"/>
  <c r="C636" i="1"/>
  <c r="A636" i="1"/>
  <c r="O635" i="1"/>
  <c r="N635" i="1"/>
  <c r="M635" i="1"/>
  <c r="F635" i="1"/>
  <c r="C635" i="1"/>
  <c r="A635" i="1"/>
  <c r="O634" i="1"/>
  <c r="N634" i="1"/>
  <c r="M634" i="1"/>
  <c r="F634" i="1"/>
  <c r="P634" i="1" s="1"/>
  <c r="C634" i="1"/>
  <c r="A634" i="1"/>
  <c r="P633" i="1"/>
  <c r="O633" i="1"/>
  <c r="N633" i="1"/>
  <c r="M633" i="1"/>
  <c r="F633" i="1"/>
  <c r="C633" i="1"/>
  <c r="A633" i="1"/>
  <c r="O632" i="1"/>
  <c r="N632" i="1"/>
  <c r="M632" i="1"/>
  <c r="F632" i="1"/>
  <c r="P632" i="1" s="1"/>
  <c r="C632" i="1"/>
  <c r="A632" i="1"/>
  <c r="P631" i="1"/>
  <c r="O631" i="1"/>
  <c r="N631" i="1"/>
  <c r="M631" i="1"/>
  <c r="F631" i="1"/>
  <c r="C631" i="1"/>
  <c r="A631" i="1"/>
  <c r="O630" i="1"/>
  <c r="N630" i="1"/>
  <c r="M630" i="1"/>
  <c r="F630" i="1"/>
  <c r="P630" i="1" s="1"/>
  <c r="C630" i="1"/>
  <c r="A630" i="1"/>
  <c r="O629" i="1"/>
  <c r="N629" i="1"/>
  <c r="M629" i="1"/>
  <c r="F629" i="1"/>
  <c r="P629" i="1" s="1"/>
  <c r="C629" i="1"/>
  <c r="A629" i="1"/>
  <c r="P628" i="1"/>
  <c r="O628" i="1"/>
  <c r="N628" i="1"/>
  <c r="M628" i="1"/>
  <c r="F628" i="1"/>
  <c r="C628" i="1"/>
  <c r="A628" i="1"/>
  <c r="P627" i="1"/>
  <c r="O627" i="1"/>
  <c r="N627" i="1"/>
  <c r="M627" i="1"/>
  <c r="F627" i="1"/>
  <c r="C627" i="1"/>
  <c r="A627" i="1"/>
  <c r="P626" i="1"/>
  <c r="O626" i="1"/>
  <c r="N626" i="1"/>
  <c r="M626" i="1"/>
  <c r="F626" i="1"/>
  <c r="C626" i="1"/>
  <c r="A626" i="1"/>
  <c r="O625" i="1"/>
  <c r="N625" i="1"/>
  <c r="M625" i="1"/>
  <c r="F625" i="1"/>
  <c r="P625" i="1" s="1"/>
  <c r="C625" i="1"/>
  <c r="A625" i="1"/>
  <c r="O624" i="1"/>
  <c r="N624" i="1"/>
  <c r="M624" i="1"/>
  <c r="F624" i="1"/>
  <c r="P624" i="1" s="1"/>
  <c r="C624" i="1"/>
  <c r="A624" i="1"/>
  <c r="P623" i="1"/>
  <c r="O623" i="1"/>
  <c r="N623" i="1"/>
  <c r="M623" i="1"/>
  <c r="F623" i="1"/>
  <c r="C623" i="1"/>
  <c r="A623" i="1"/>
  <c r="O622" i="1"/>
  <c r="N622" i="1"/>
  <c r="M622" i="1"/>
  <c r="F622" i="1"/>
  <c r="P622" i="1" s="1"/>
  <c r="C622" i="1"/>
  <c r="A622" i="1"/>
  <c r="P621" i="1"/>
  <c r="O621" i="1"/>
  <c r="N621" i="1"/>
  <c r="M621" i="1"/>
  <c r="F621" i="1"/>
  <c r="C621" i="1"/>
  <c r="A621" i="1"/>
  <c r="O620" i="1"/>
  <c r="N620" i="1"/>
  <c r="M620" i="1"/>
  <c r="F620" i="1"/>
  <c r="P620" i="1" s="1"/>
  <c r="C620" i="1"/>
  <c r="A620" i="1"/>
  <c r="O619" i="1"/>
  <c r="N619" i="1"/>
  <c r="M619" i="1"/>
  <c r="F619" i="1"/>
  <c r="P619" i="1" s="1"/>
  <c r="C619" i="1"/>
  <c r="A619" i="1"/>
  <c r="P618" i="1"/>
  <c r="O618" i="1"/>
  <c r="N618" i="1"/>
  <c r="M618" i="1"/>
  <c r="F618" i="1"/>
  <c r="C618" i="1"/>
  <c r="A618" i="1"/>
  <c r="O617" i="1"/>
  <c r="N617" i="1"/>
  <c r="M617" i="1"/>
  <c r="F617" i="1"/>
  <c r="P617" i="1" s="1"/>
  <c r="C617" i="1"/>
  <c r="A617" i="1"/>
  <c r="P616" i="1"/>
  <c r="O616" i="1"/>
  <c r="N616" i="1"/>
  <c r="M616" i="1"/>
  <c r="F616" i="1"/>
  <c r="C616" i="1"/>
  <c r="A616" i="1"/>
  <c r="O615" i="1"/>
  <c r="N615" i="1"/>
  <c r="M615" i="1"/>
  <c r="F615" i="1"/>
  <c r="C615" i="1"/>
  <c r="A615" i="1"/>
  <c r="O614" i="1"/>
  <c r="N614" i="1"/>
  <c r="M614" i="1"/>
  <c r="F614" i="1"/>
  <c r="P614" i="1" s="1"/>
  <c r="C614" i="1"/>
  <c r="A614" i="1"/>
  <c r="P613" i="1"/>
  <c r="O613" i="1"/>
  <c r="N613" i="1"/>
  <c r="M613" i="1"/>
  <c r="F613" i="1"/>
  <c r="C613" i="1"/>
  <c r="A613" i="1"/>
  <c r="P612" i="1"/>
  <c r="O612" i="1"/>
  <c r="N612" i="1"/>
  <c r="M612" i="1"/>
  <c r="F612" i="1"/>
  <c r="C612" i="1"/>
  <c r="A612" i="1"/>
  <c r="P611" i="1"/>
  <c r="O611" i="1"/>
  <c r="N611" i="1"/>
  <c r="M611" i="1"/>
  <c r="F611" i="1"/>
  <c r="C611" i="1"/>
  <c r="A611" i="1"/>
  <c r="O610" i="1"/>
  <c r="N610" i="1"/>
  <c r="M610" i="1"/>
  <c r="F610" i="1"/>
  <c r="P610" i="1" s="1"/>
  <c r="C610" i="1"/>
  <c r="A610" i="1"/>
  <c r="O609" i="1"/>
  <c r="N609" i="1"/>
  <c r="M609" i="1"/>
  <c r="F609" i="1"/>
  <c r="P609" i="1" s="1"/>
  <c r="C609" i="1"/>
  <c r="A609" i="1"/>
  <c r="P608" i="1"/>
  <c r="O608" i="1"/>
  <c r="N608" i="1"/>
  <c r="M608" i="1"/>
  <c r="F608" i="1"/>
  <c r="C608" i="1"/>
  <c r="A608" i="1"/>
  <c r="O607" i="1"/>
  <c r="N607" i="1"/>
  <c r="M607" i="1"/>
  <c r="F607" i="1"/>
  <c r="P607" i="1" s="1"/>
  <c r="C607" i="1"/>
  <c r="A607" i="1"/>
  <c r="P606" i="1"/>
  <c r="O606" i="1"/>
  <c r="N606" i="1"/>
  <c r="M606" i="1"/>
  <c r="F606" i="1"/>
  <c r="C606" i="1"/>
  <c r="A606" i="1"/>
  <c r="O605" i="1"/>
  <c r="N605" i="1"/>
  <c r="M605" i="1"/>
  <c r="F605" i="1"/>
  <c r="P605" i="1" s="1"/>
  <c r="C605" i="1"/>
  <c r="A605" i="1"/>
  <c r="O604" i="1"/>
  <c r="N604" i="1"/>
  <c r="M604" i="1"/>
  <c r="F604" i="1"/>
  <c r="P604" i="1" s="1"/>
  <c r="C604" i="1"/>
  <c r="A604" i="1"/>
  <c r="P603" i="1"/>
  <c r="O603" i="1"/>
  <c r="N603" i="1"/>
  <c r="M603" i="1"/>
  <c r="F603" i="1"/>
  <c r="C603" i="1"/>
  <c r="A603" i="1"/>
  <c r="P602" i="1"/>
  <c r="O602" i="1"/>
  <c r="N602" i="1"/>
  <c r="M602" i="1"/>
  <c r="F602" i="1"/>
  <c r="C602" i="1"/>
  <c r="A602" i="1"/>
  <c r="P601" i="1"/>
  <c r="O601" i="1"/>
  <c r="N601" i="1"/>
  <c r="M601" i="1"/>
  <c r="F601" i="1"/>
  <c r="C601" i="1"/>
  <c r="A601" i="1"/>
  <c r="O600" i="1"/>
  <c r="N600" i="1"/>
  <c r="M600" i="1"/>
  <c r="F600" i="1"/>
  <c r="P600" i="1" s="1"/>
  <c r="C600" i="1"/>
  <c r="A600" i="1"/>
  <c r="O599" i="1"/>
  <c r="N599" i="1"/>
  <c r="M599" i="1"/>
  <c r="F599" i="1"/>
  <c r="P599" i="1" s="1"/>
  <c r="C599" i="1"/>
  <c r="A599" i="1"/>
  <c r="P598" i="1"/>
  <c r="O598" i="1"/>
  <c r="N598" i="1"/>
  <c r="M598" i="1"/>
  <c r="F598" i="1"/>
  <c r="C598" i="1"/>
  <c r="A598" i="1"/>
  <c r="O597" i="1"/>
  <c r="N597" i="1"/>
  <c r="M597" i="1"/>
  <c r="F597" i="1"/>
  <c r="P597" i="1" s="1"/>
  <c r="C597" i="1"/>
  <c r="A597" i="1"/>
  <c r="P596" i="1"/>
  <c r="O596" i="1"/>
  <c r="N596" i="1"/>
  <c r="M596" i="1"/>
  <c r="F596" i="1"/>
  <c r="C596" i="1"/>
  <c r="A596" i="1"/>
  <c r="O595" i="1"/>
  <c r="N595" i="1"/>
  <c r="M595" i="1"/>
  <c r="F595" i="1"/>
  <c r="P595" i="1" s="1"/>
  <c r="C595" i="1"/>
  <c r="A595" i="1"/>
  <c r="O594" i="1"/>
  <c r="N594" i="1"/>
  <c r="M594" i="1"/>
  <c r="F594" i="1"/>
  <c r="P594" i="1" s="1"/>
  <c r="C594" i="1"/>
  <c r="A594" i="1"/>
  <c r="O593" i="1"/>
  <c r="N593" i="1"/>
  <c r="M593" i="1"/>
  <c r="F593" i="1"/>
  <c r="P593" i="1" s="1"/>
  <c r="C593" i="1"/>
  <c r="A593" i="1"/>
  <c r="O592" i="1"/>
  <c r="N592" i="1"/>
  <c r="M592" i="1"/>
  <c r="F592" i="1"/>
  <c r="P592" i="1" s="1"/>
  <c r="C592" i="1"/>
  <c r="A592" i="1"/>
  <c r="P591" i="1"/>
  <c r="O591" i="1"/>
  <c r="N591" i="1"/>
  <c r="M591" i="1"/>
  <c r="F591" i="1"/>
  <c r="C591" i="1"/>
  <c r="A591" i="1"/>
  <c r="O590" i="1"/>
  <c r="N590" i="1"/>
  <c r="M590" i="1"/>
  <c r="F590" i="1"/>
  <c r="C590" i="1"/>
  <c r="A590" i="1"/>
  <c r="O589" i="1"/>
  <c r="N589" i="1"/>
  <c r="M589" i="1"/>
  <c r="F589" i="1"/>
  <c r="P589" i="1" s="1"/>
  <c r="C589" i="1"/>
  <c r="A589" i="1"/>
  <c r="P588" i="1"/>
  <c r="O588" i="1"/>
  <c r="N588" i="1"/>
  <c r="M588" i="1"/>
  <c r="F588" i="1"/>
  <c r="C588" i="1"/>
  <c r="A588" i="1"/>
  <c r="P587" i="1"/>
  <c r="O587" i="1"/>
  <c r="N587" i="1"/>
  <c r="M587" i="1"/>
  <c r="F587" i="1"/>
  <c r="C587" i="1"/>
  <c r="A587" i="1"/>
  <c r="P586" i="1"/>
  <c r="O586" i="1"/>
  <c r="N586" i="1"/>
  <c r="M586" i="1"/>
  <c r="F586" i="1"/>
  <c r="C586" i="1"/>
  <c r="A586" i="1"/>
  <c r="O585" i="1"/>
  <c r="N585" i="1"/>
  <c r="M585" i="1"/>
  <c r="F585" i="1"/>
  <c r="P585" i="1" s="1"/>
  <c r="C585" i="1"/>
  <c r="A585" i="1"/>
  <c r="O584" i="1"/>
  <c r="N584" i="1"/>
  <c r="M584" i="1"/>
  <c r="F584" i="1"/>
  <c r="P584" i="1" s="1"/>
  <c r="C584" i="1"/>
  <c r="A584" i="1"/>
  <c r="O583" i="1"/>
  <c r="N583" i="1"/>
  <c r="M583" i="1"/>
  <c r="F583" i="1"/>
  <c r="P583" i="1" s="1"/>
  <c r="C583" i="1"/>
  <c r="A583" i="1"/>
  <c r="O582" i="1"/>
  <c r="N582" i="1"/>
  <c r="M582" i="1"/>
  <c r="F582" i="1"/>
  <c r="P582" i="1" s="1"/>
  <c r="C582" i="1"/>
  <c r="A582" i="1"/>
  <c r="P581" i="1"/>
  <c r="O581" i="1"/>
  <c r="N581" i="1"/>
  <c r="M581" i="1"/>
  <c r="F581" i="1"/>
  <c r="C581" i="1"/>
  <c r="A581" i="1"/>
  <c r="O580" i="1"/>
  <c r="N580" i="1"/>
  <c r="M580" i="1"/>
  <c r="F580" i="1"/>
  <c r="P580" i="1" s="1"/>
  <c r="C580" i="1"/>
  <c r="A580" i="1"/>
  <c r="O579" i="1"/>
  <c r="N579" i="1"/>
  <c r="M579" i="1"/>
  <c r="F579" i="1"/>
  <c r="P579" i="1" s="1"/>
  <c r="C579" i="1"/>
  <c r="A579" i="1"/>
  <c r="P578" i="1"/>
  <c r="O578" i="1"/>
  <c r="N578" i="1"/>
  <c r="M578" i="1"/>
  <c r="F578" i="1"/>
  <c r="C578" i="1"/>
  <c r="A578" i="1"/>
  <c r="P577" i="1"/>
  <c r="O577" i="1"/>
  <c r="N577" i="1"/>
  <c r="M577" i="1"/>
  <c r="F577" i="1"/>
  <c r="C577" i="1"/>
  <c r="A577" i="1"/>
  <c r="P576" i="1"/>
  <c r="O576" i="1"/>
  <c r="N576" i="1"/>
  <c r="M576" i="1"/>
  <c r="F576" i="1"/>
  <c r="C576" i="1"/>
  <c r="A576" i="1"/>
  <c r="O575" i="1"/>
  <c r="N575" i="1"/>
  <c r="M575" i="1"/>
  <c r="F575" i="1"/>
  <c r="P575" i="1" s="1"/>
  <c r="C575" i="1"/>
  <c r="A575" i="1"/>
  <c r="O574" i="1"/>
  <c r="N574" i="1"/>
  <c r="M574" i="1"/>
  <c r="F574" i="1"/>
  <c r="P574" i="1" s="1"/>
  <c r="C574" i="1"/>
  <c r="A574" i="1"/>
  <c r="P573" i="1"/>
  <c r="O573" i="1"/>
  <c r="N573" i="1"/>
  <c r="M573" i="1"/>
  <c r="F573" i="1"/>
  <c r="C573" i="1"/>
  <c r="A573" i="1"/>
  <c r="O572" i="1"/>
  <c r="N572" i="1"/>
  <c r="M572" i="1"/>
  <c r="F572" i="1"/>
  <c r="P572" i="1" s="1"/>
  <c r="C572" i="1"/>
  <c r="A572" i="1"/>
  <c r="P571" i="1"/>
  <c r="O571" i="1"/>
  <c r="N571" i="1"/>
  <c r="M571" i="1"/>
  <c r="F571" i="1"/>
  <c r="C571" i="1"/>
  <c r="A571" i="1"/>
  <c r="O570" i="1"/>
  <c r="N570" i="1"/>
  <c r="M570" i="1"/>
  <c r="F570" i="1"/>
  <c r="P570" i="1" s="1"/>
  <c r="C570" i="1"/>
  <c r="A570" i="1"/>
  <c r="O569" i="1"/>
  <c r="N569" i="1"/>
  <c r="M569" i="1"/>
  <c r="F569" i="1"/>
  <c r="P569" i="1" s="1"/>
  <c r="C569" i="1"/>
  <c r="A569" i="1"/>
  <c r="O568" i="1"/>
  <c r="N568" i="1"/>
  <c r="M568" i="1"/>
  <c r="F568" i="1"/>
  <c r="P568" i="1" s="1"/>
  <c r="C568" i="1"/>
  <c r="A568" i="1"/>
  <c r="O567" i="1"/>
  <c r="N567" i="1"/>
  <c r="M567" i="1"/>
  <c r="F567" i="1"/>
  <c r="P567" i="1" s="1"/>
  <c r="C567" i="1"/>
  <c r="A567" i="1"/>
  <c r="P566" i="1"/>
  <c r="O566" i="1"/>
  <c r="N566" i="1"/>
  <c r="M566" i="1"/>
  <c r="F566" i="1"/>
  <c r="C566" i="1"/>
  <c r="A566" i="1"/>
  <c r="O565" i="1"/>
  <c r="N565" i="1"/>
  <c r="M565" i="1"/>
  <c r="F565" i="1"/>
  <c r="C565" i="1"/>
  <c r="A565" i="1"/>
  <c r="O564" i="1"/>
  <c r="N564" i="1"/>
  <c r="M564" i="1"/>
  <c r="F564" i="1"/>
  <c r="P564" i="1" s="1"/>
  <c r="C564" i="1"/>
  <c r="A564" i="1"/>
  <c r="P563" i="1"/>
  <c r="O563" i="1"/>
  <c r="N563" i="1"/>
  <c r="M563" i="1"/>
  <c r="F563" i="1"/>
  <c r="C563" i="1"/>
  <c r="A563" i="1"/>
  <c r="P562" i="1"/>
  <c r="O562" i="1"/>
  <c r="N562" i="1"/>
  <c r="M562" i="1"/>
  <c r="F562" i="1"/>
  <c r="C562" i="1"/>
  <c r="A562" i="1"/>
  <c r="P561" i="1"/>
  <c r="O561" i="1"/>
  <c r="N561" i="1"/>
  <c r="M561" i="1"/>
  <c r="F561" i="1"/>
  <c r="C561" i="1"/>
  <c r="A561" i="1"/>
  <c r="O560" i="1"/>
  <c r="N560" i="1"/>
  <c r="M560" i="1"/>
  <c r="F560" i="1"/>
  <c r="P560" i="1" s="1"/>
  <c r="C560" i="1"/>
  <c r="A560" i="1"/>
  <c r="O559" i="1"/>
  <c r="N559" i="1"/>
  <c r="M559" i="1"/>
  <c r="F559" i="1"/>
  <c r="P559" i="1" s="1"/>
  <c r="C559" i="1"/>
  <c r="A559" i="1"/>
  <c r="O558" i="1"/>
  <c r="N558" i="1"/>
  <c r="M558" i="1"/>
  <c r="F558" i="1"/>
  <c r="P558" i="1" s="1"/>
  <c r="C558" i="1"/>
  <c r="A558" i="1"/>
  <c r="O557" i="1"/>
  <c r="N557" i="1"/>
  <c r="M557" i="1"/>
  <c r="F557" i="1"/>
  <c r="P557" i="1" s="1"/>
  <c r="C557" i="1"/>
  <c r="A557" i="1"/>
  <c r="P556" i="1"/>
  <c r="O556" i="1"/>
  <c r="N556" i="1"/>
  <c r="M556" i="1"/>
  <c r="F556" i="1"/>
  <c r="C556" i="1"/>
  <c r="A556" i="1"/>
  <c r="O555" i="1"/>
  <c r="N555" i="1"/>
  <c r="M555" i="1"/>
  <c r="F555" i="1"/>
  <c r="P555" i="1" s="1"/>
  <c r="C555" i="1"/>
  <c r="A555" i="1"/>
  <c r="O554" i="1"/>
  <c r="N554" i="1"/>
  <c r="M554" i="1"/>
  <c r="F554" i="1"/>
  <c r="P554" i="1" s="1"/>
  <c r="C554" i="1"/>
  <c r="A554" i="1"/>
  <c r="P553" i="1"/>
  <c r="O553" i="1"/>
  <c r="N553" i="1"/>
  <c r="M553" i="1"/>
  <c r="F553" i="1"/>
  <c r="C553" i="1"/>
  <c r="A553" i="1"/>
  <c r="P552" i="1"/>
  <c r="O552" i="1"/>
  <c r="N552" i="1"/>
  <c r="M552" i="1"/>
  <c r="F552" i="1"/>
  <c r="C552" i="1"/>
  <c r="A552" i="1"/>
  <c r="P551" i="1"/>
  <c r="O551" i="1"/>
  <c r="N551" i="1"/>
  <c r="M551" i="1"/>
  <c r="F551" i="1"/>
  <c r="C551" i="1"/>
  <c r="A551" i="1"/>
  <c r="O550" i="1"/>
  <c r="N550" i="1"/>
  <c r="M550" i="1"/>
  <c r="F550" i="1"/>
  <c r="P550" i="1" s="1"/>
  <c r="C550" i="1"/>
  <c r="A550" i="1"/>
  <c r="O549" i="1"/>
  <c r="N549" i="1"/>
  <c r="M549" i="1"/>
  <c r="F549" i="1"/>
  <c r="P549" i="1" s="1"/>
  <c r="C549" i="1"/>
  <c r="A549" i="1"/>
  <c r="P548" i="1"/>
  <c r="O548" i="1"/>
  <c r="N548" i="1"/>
  <c r="M548" i="1"/>
  <c r="F548" i="1"/>
  <c r="C548" i="1"/>
  <c r="A548" i="1"/>
  <c r="O547" i="1"/>
  <c r="N547" i="1"/>
  <c r="M547" i="1"/>
  <c r="F547" i="1"/>
  <c r="P547" i="1" s="1"/>
  <c r="C547" i="1"/>
  <c r="A547" i="1"/>
  <c r="P546" i="1"/>
  <c r="O546" i="1"/>
  <c r="N546" i="1"/>
  <c r="M546" i="1"/>
  <c r="F546" i="1"/>
  <c r="C546" i="1"/>
  <c r="A546" i="1"/>
  <c r="O545" i="1"/>
  <c r="N545" i="1"/>
  <c r="M545" i="1"/>
  <c r="F545" i="1"/>
  <c r="P545" i="1" s="1"/>
  <c r="C545" i="1"/>
  <c r="A545" i="1"/>
  <c r="O544" i="1"/>
  <c r="N544" i="1"/>
  <c r="M544" i="1"/>
  <c r="F544" i="1"/>
  <c r="P544" i="1" s="1"/>
  <c r="C544" i="1"/>
  <c r="A544" i="1"/>
  <c r="P543" i="1"/>
  <c r="O543" i="1"/>
  <c r="N543" i="1"/>
  <c r="M543" i="1"/>
  <c r="F543" i="1"/>
  <c r="C543" i="1"/>
  <c r="A543" i="1"/>
  <c r="O542" i="1"/>
  <c r="N542" i="1"/>
  <c r="M542" i="1"/>
  <c r="F542" i="1"/>
  <c r="P542" i="1" s="1"/>
  <c r="C542" i="1"/>
  <c r="A542" i="1"/>
  <c r="P541" i="1"/>
  <c r="O541" i="1"/>
  <c r="N541" i="1"/>
  <c r="M541" i="1"/>
  <c r="F541" i="1"/>
  <c r="C541" i="1"/>
  <c r="A541" i="1"/>
  <c r="P540" i="1"/>
  <c r="O540" i="1"/>
  <c r="N540" i="1"/>
  <c r="M540" i="1"/>
  <c r="F540" i="1"/>
  <c r="C540" i="1"/>
  <c r="A540" i="1"/>
  <c r="O539" i="1"/>
  <c r="N539" i="1"/>
  <c r="M539" i="1"/>
  <c r="F539" i="1"/>
  <c r="P539" i="1" s="1"/>
  <c r="C539" i="1"/>
  <c r="A539" i="1"/>
  <c r="O538" i="1"/>
  <c r="N538" i="1"/>
  <c r="M538" i="1"/>
  <c r="F538" i="1"/>
  <c r="P538" i="1" s="1"/>
  <c r="C538" i="1"/>
  <c r="A538" i="1"/>
  <c r="P537" i="1"/>
  <c r="O537" i="1"/>
  <c r="N537" i="1"/>
  <c r="M537" i="1"/>
  <c r="F537" i="1"/>
  <c r="C537" i="1"/>
  <c r="A537" i="1"/>
  <c r="P536" i="1"/>
  <c r="O536" i="1"/>
  <c r="N536" i="1"/>
  <c r="M536" i="1"/>
  <c r="F536" i="1"/>
  <c r="C536" i="1"/>
  <c r="A536" i="1"/>
  <c r="P535" i="1"/>
  <c r="O535" i="1"/>
  <c r="N535" i="1"/>
  <c r="M535" i="1"/>
  <c r="F535" i="1"/>
  <c r="C535" i="1"/>
  <c r="A535" i="1"/>
  <c r="O534" i="1"/>
  <c r="N534" i="1"/>
  <c r="M534" i="1"/>
  <c r="F534" i="1"/>
  <c r="P534" i="1" s="1"/>
  <c r="C534" i="1"/>
  <c r="A534" i="1"/>
  <c r="O533" i="1"/>
  <c r="N533" i="1"/>
  <c r="M533" i="1"/>
  <c r="F533" i="1"/>
  <c r="P533" i="1" s="1"/>
  <c r="C533" i="1"/>
  <c r="A533" i="1"/>
  <c r="P532" i="1"/>
  <c r="O532" i="1"/>
  <c r="N532" i="1"/>
  <c r="M532" i="1"/>
  <c r="F532" i="1"/>
  <c r="C532" i="1"/>
  <c r="A532" i="1"/>
  <c r="P531" i="1"/>
  <c r="O531" i="1"/>
  <c r="N531" i="1"/>
  <c r="M531" i="1"/>
  <c r="F531" i="1"/>
  <c r="C531" i="1"/>
  <c r="A531" i="1"/>
  <c r="O530" i="1"/>
  <c r="N530" i="1"/>
  <c r="M530" i="1"/>
  <c r="F530" i="1"/>
  <c r="C530" i="1"/>
  <c r="A530" i="1"/>
  <c r="O529" i="1"/>
  <c r="N529" i="1"/>
  <c r="M529" i="1"/>
  <c r="F529" i="1"/>
  <c r="P529" i="1" s="1"/>
  <c r="C529" i="1"/>
  <c r="A529" i="1"/>
  <c r="P528" i="1"/>
  <c r="O528" i="1"/>
  <c r="N528" i="1"/>
  <c r="M528" i="1"/>
  <c r="F528" i="1"/>
  <c r="C528" i="1"/>
  <c r="A528" i="1"/>
  <c r="P527" i="1"/>
  <c r="O527" i="1"/>
  <c r="N527" i="1"/>
  <c r="M527" i="1"/>
  <c r="F527" i="1"/>
  <c r="C527" i="1"/>
  <c r="A527" i="1"/>
  <c r="P526" i="1"/>
  <c r="O526" i="1"/>
  <c r="N526" i="1"/>
  <c r="M526" i="1"/>
  <c r="F526" i="1"/>
  <c r="C526" i="1"/>
  <c r="A526" i="1"/>
  <c r="O525" i="1"/>
  <c r="N525" i="1"/>
  <c r="M525" i="1"/>
  <c r="F525" i="1"/>
  <c r="P525" i="1" s="1"/>
  <c r="C525" i="1"/>
  <c r="A525" i="1"/>
  <c r="O524" i="1"/>
  <c r="N524" i="1"/>
  <c r="M524" i="1"/>
  <c r="F524" i="1"/>
  <c r="P524" i="1" s="1"/>
  <c r="C524" i="1"/>
  <c r="A524" i="1"/>
  <c r="P523" i="1"/>
  <c r="O523" i="1"/>
  <c r="N523" i="1"/>
  <c r="M523" i="1"/>
  <c r="F523" i="1"/>
  <c r="C523" i="1"/>
  <c r="A523" i="1"/>
  <c r="O522" i="1"/>
  <c r="N522" i="1"/>
  <c r="M522" i="1"/>
  <c r="F522" i="1"/>
  <c r="P522" i="1" s="1"/>
  <c r="C522" i="1"/>
  <c r="A522" i="1"/>
  <c r="P521" i="1"/>
  <c r="O521" i="1"/>
  <c r="N521" i="1"/>
  <c r="M521" i="1"/>
  <c r="F521" i="1"/>
  <c r="C521" i="1"/>
  <c r="A521" i="1"/>
  <c r="O520" i="1"/>
  <c r="N520" i="1"/>
  <c r="M520" i="1"/>
  <c r="F520" i="1"/>
  <c r="P520" i="1" s="1"/>
  <c r="C520" i="1"/>
  <c r="A520" i="1"/>
  <c r="O519" i="1"/>
  <c r="N519" i="1"/>
  <c r="M519" i="1"/>
  <c r="F519" i="1"/>
  <c r="P519" i="1" s="1"/>
  <c r="C519" i="1"/>
  <c r="A519" i="1"/>
  <c r="P518" i="1"/>
  <c r="O518" i="1"/>
  <c r="N518" i="1"/>
  <c r="M518" i="1"/>
  <c r="F518" i="1"/>
  <c r="C518" i="1"/>
  <c r="A518" i="1"/>
  <c r="O517" i="1"/>
  <c r="N517" i="1"/>
  <c r="M517" i="1"/>
  <c r="F517" i="1"/>
  <c r="P517" i="1" s="1"/>
  <c r="C517" i="1"/>
  <c r="A517" i="1"/>
  <c r="P516" i="1"/>
  <c r="O516" i="1"/>
  <c r="N516" i="1"/>
  <c r="M516" i="1"/>
  <c r="F516" i="1"/>
  <c r="C516" i="1"/>
  <c r="A516" i="1"/>
  <c r="P515" i="1"/>
  <c r="O515" i="1"/>
  <c r="N515" i="1"/>
  <c r="M515" i="1"/>
  <c r="F515" i="1"/>
  <c r="C515" i="1"/>
  <c r="A515" i="1"/>
  <c r="O514" i="1"/>
  <c r="N514" i="1"/>
  <c r="M514" i="1"/>
  <c r="F514" i="1"/>
  <c r="P514" i="1" s="1"/>
  <c r="C514" i="1"/>
  <c r="A514" i="1"/>
  <c r="O513" i="1"/>
  <c r="N513" i="1"/>
  <c r="M513" i="1"/>
  <c r="F513" i="1"/>
  <c r="P513" i="1" s="1"/>
  <c r="C513" i="1"/>
  <c r="A513" i="1"/>
  <c r="P512" i="1"/>
  <c r="O512" i="1"/>
  <c r="N512" i="1"/>
  <c r="M512" i="1"/>
  <c r="F512" i="1"/>
  <c r="C512" i="1"/>
  <c r="A512" i="1"/>
  <c r="P511" i="1"/>
  <c r="O511" i="1"/>
  <c r="N511" i="1"/>
  <c r="M511" i="1"/>
  <c r="F511" i="1"/>
  <c r="C511" i="1"/>
  <c r="A511" i="1"/>
  <c r="P510" i="1"/>
  <c r="O510" i="1"/>
  <c r="N510" i="1"/>
  <c r="M510" i="1"/>
  <c r="F510" i="1"/>
  <c r="C510" i="1"/>
  <c r="A510" i="1"/>
  <c r="O509" i="1"/>
  <c r="N509" i="1"/>
  <c r="M509" i="1"/>
  <c r="F509" i="1"/>
  <c r="P509" i="1" s="1"/>
  <c r="C509" i="1"/>
  <c r="A509" i="1"/>
  <c r="O508" i="1"/>
  <c r="N508" i="1"/>
  <c r="M508" i="1"/>
  <c r="F508" i="1"/>
  <c r="P508" i="1" s="1"/>
  <c r="C508" i="1"/>
  <c r="A508" i="1"/>
  <c r="P507" i="1"/>
  <c r="O507" i="1"/>
  <c r="N507" i="1"/>
  <c r="M507" i="1"/>
  <c r="F507" i="1"/>
  <c r="C507" i="1"/>
  <c r="A507" i="1"/>
  <c r="P506" i="1"/>
  <c r="O506" i="1"/>
  <c r="N506" i="1"/>
  <c r="M506" i="1"/>
  <c r="F506" i="1"/>
  <c r="C506" i="1"/>
  <c r="A506" i="1"/>
  <c r="O505" i="1"/>
  <c r="N505" i="1"/>
  <c r="M505" i="1"/>
  <c r="F505" i="1"/>
  <c r="C505" i="1"/>
  <c r="A505" i="1"/>
  <c r="O504" i="1"/>
  <c r="N504" i="1"/>
  <c r="M504" i="1"/>
  <c r="F504" i="1"/>
  <c r="P504" i="1" s="1"/>
  <c r="C504" i="1"/>
  <c r="A504" i="1"/>
  <c r="P503" i="1"/>
  <c r="O503" i="1"/>
  <c r="N503" i="1"/>
  <c r="M503" i="1"/>
  <c r="F503" i="1"/>
  <c r="C503" i="1"/>
  <c r="A503" i="1"/>
  <c r="P502" i="1"/>
  <c r="O502" i="1"/>
  <c r="N502" i="1"/>
  <c r="M502" i="1"/>
  <c r="F502" i="1"/>
  <c r="C502" i="1"/>
  <c r="A502" i="1"/>
  <c r="P501" i="1"/>
  <c r="O501" i="1"/>
  <c r="N501" i="1"/>
  <c r="M501" i="1"/>
  <c r="F501" i="1"/>
  <c r="C501" i="1"/>
  <c r="A501" i="1"/>
  <c r="O500" i="1"/>
  <c r="N500" i="1"/>
  <c r="M500" i="1"/>
  <c r="F500" i="1"/>
  <c r="P500" i="1" s="1"/>
  <c r="C500" i="1"/>
  <c r="A500" i="1"/>
  <c r="O499" i="1"/>
  <c r="N499" i="1"/>
  <c r="M499" i="1"/>
  <c r="F499" i="1"/>
  <c r="P499" i="1" s="1"/>
  <c r="C499" i="1"/>
  <c r="A499" i="1"/>
  <c r="P498" i="1"/>
  <c r="O498" i="1"/>
  <c r="N498" i="1"/>
  <c r="M498" i="1"/>
  <c r="F498" i="1"/>
  <c r="C498" i="1"/>
  <c r="A498" i="1"/>
  <c r="O497" i="1"/>
  <c r="N497" i="1"/>
  <c r="M497" i="1"/>
  <c r="F497" i="1"/>
  <c r="P497" i="1" s="1"/>
  <c r="C497" i="1"/>
  <c r="A497" i="1"/>
  <c r="P496" i="1"/>
  <c r="O496" i="1"/>
  <c r="N496" i="1"/>
  <c r="M496" i="1"/>
  <c r="F496" i="1"/>
  <c r="C496" i="1"/>
  <c r="A496" i="1"/>
  <c r="O495" i="1"/>
  <c r="N495" i="1"/>
  <c r="M495" i="1"/>
  <c r="F495" i="1"/>
  <c r="P495" i="1" s="1"/>
  <c r="C495" i="1"/>
  <c r="A495" i="1"/>
  <c r="O494" i="1"/>
  <c r="N494" i="1"/>
  <c r="M494" i="1"/>
  <c r="F494" i="1"/>
  <c r="P494" i="1" s="1"/>
  <c r="C494" i="1"/>
  <c r="A494" i="1"/>
  <c r="P493" i="1"/>
  <c r="O493" i="1"/>
  <c r="N493" i="1"/>
  <c r="M493" i="1"/>
  <c r="F493" i="1"/>
  <c r="C493" i="1"/>
  <c r="A493" i="1"/>
  <c r="O492" i="1"/>
  <c r="N492" i="1"/>
  <c r="M492" i="1"/>
  <c r="F492" i="1"/>
  <c r="P492" i="1" s="1"/>
  <c r="C492" i="1"/>
  <c r="A492" i="1"/>
  <c r="O491" i="1"/>
  <c r="N491" i="1"/>
  <c r="M491" i="1"/>
  <c r="F491" i="1"/>
  <c r="P491" i="1" s="1"/>
  <c r="C491" i="1"/>
  <c r="A491" i="1"/>
  <c r="P490" i="1"/>
  <c r="O490" i="1"/>
  <c r="N490" i="1"/>
  <c r="M490" i="1"/>
  <c r="F490" i="1"/>
  <c r="C490" i="1"/>
  <c r="A490" i="1"/>
  <c r="P489" i="1"/>
  <c r="O489" i="1"/>
  <c r="N489" i="1"/>
  <c r="M489" i="1"/>
  <c r="F489" i="1"/>
  <c r="C489" i="1"/>
  <c r="A489" i="1"/>
  <c r="O488" i="1"/>
  <c r="N488" i="1"/>
  <c r="M488" i="1"/>
  <c r="F488" i="1"/>
  <c r="P488" i="1" s="1"/>
  <c r="C488" i="1"/>
  <c r="A488" i="1"/>
  <c r="O487" i="1"/>
  <c r="N487" i="1"/>
  <c r="M487" i="1"/>
  <c r="F487" i="1"/>
  <c r="P487" i="1" s="1"/>
  <c r="C487" i="1"/>
  <c r="A487" i="1"/>
  <c r="O486" i="1"/>
  <c r="N486" i="1"/>
  <c r="M486" i="1"/>
  <c r="F486" i="1"/>
  <c r="P486" i="1" s="1"/>
  <c r="C486" i="1"/>
  <c r="A486" i="1"/>
  <c r="P485" i="1"/>
  <c r="O485" i="1"/>
  <c r="N485" i="1"/>
  <c r="M485" i="1"/>
  <c r="F485" i="1"/>
  <c r="C485" i="1"/>
  <c r="A485" i="1"/>
  <c r="P484" i="1"/>
  <c r="O484" i="1"/>
  <c r="N484" i="1"/>
  <c r="M484" i="1"/>
  <c r="F484" i="1"/>
  <c r="C484" i="1"/>
  <c r="A484" i="1"/>
  <c r="O483" i="1"/>
  <c r="N483" i="1"/>
  <c r="M483" i="1"/>
  <c r="F483" i="1"/>
  <c r="P483" i="1" s="1"/>
  <c r="C483" i="1"/>
  <c r="A483" i="1"/>
  <c r="O482" i="1"/>
  <c r="N482" i="1"/>
  <c r="M482" i="1"/>
  <c r="F482" i="1"/>
  <c r="P482" i="1" s="1"/>
  <c r="C482" i="1"/>
  <c r="A482" i="1"/>
  <c r="O481" i="1"/>
  <c r="N481" i="1"/>
  <c r="M481" i="1"/>
  <c r="F481" i="1"/>
  <c r="P481" i="1" s="1"/>
  <c r="C481" i="1"/>
  <c r="A481" i="1"/>
  <c r="P480" i="1"/>
  <c r="O480" i="1"/>
  <c r="N480" i="1"/>
  <c r="M480" i="1"/>
  <c r="F480" i="1"/>
  <c r="C480" i="1"/>
  <c r="A480" i="1"/>
  <c r="P479" i="1"/>
  <c r="O479" i="1"/>
  <c r="N479" i="1"/>
  <c r="M479" i="1"/>
  <c r="F479" i="1"/>
  <c r="C479" i="1"/>
  <c r="A479" i="1"/>
  <c r="O478" i="1"/>
  <c r="N478" i="1"/>
  <c r="M478" i="1"/>
  <c r="F478" i="1"/>
  <c r="P478" i="1" s="1"/>
  <c r="C478" i="1"/>
  <c r="A478" i="1"/>
  <c r="O477" i="1"/>
  <c r="N477" i="1"/>
  <c r="M477" i="1"/>
  <c r="F477" i="1"/>
  <c r="P477" i="1" s="1"/>
  <c r="C477" i="1"/>
  <c r="A477" i="1"/>
  <c r="O476" i="1"/>
  <c r="N476" i="1"/>
  <c r="M476" i="1"/>
  <c r="F476" i="1"/>
  <c r="P476" i="1" s="1"/>
  <c r="C476" i="1"/>
  <c r="A476" i="1"/>
  <c r="P475" i="1"/>
  <c r="O475" i="1"/>
  <c r="N475" i="1"/>
  <c r="M475" i="1"/>
  <c r="F475" i="1"/>
  <c r="C475" i="1"/>
  <c r="A475" i="1"/>
  <c r="P474" i="1"/>
  <c r="O474" i="1"/>
  <c r="N474" i="1"/>
  <c r="M474" i="1"/>
  <c r="F474" i="1"/>
  <c r="C474" i="1"/>
  <c r="A474" i="1"/>
  <c r="O473" i="1"/>
  <c r="N473" i="1"/>
  <c r="M473" i="1"/>
  <c r="F473" i="1"/>
  <c r="P473" i="1" s="1"/>
  <c r="C473" i="1"/>
  <c r="A473" i="1"/>
  <c r="O472" i="1"/>
  <c r="N472" i="1"/>
  <c r="M472" i="1"/>
  <c r="F472" i="1"/>
  <c r="P472" i="1" s="1"/>
  <c r="C472" i="1"/>
  <c r="A472" i="1"/>
  <c r="O471" i="1"/>
  <c r="N471" i="1"/>
  <c r="M471" i="1"/>
  <c r="F471" i="1"/>
  <c r="P471" i="1" s="1"/>
  <c r="C471" i="1"/>
  <c r="A471" i="1"/>
  <c r="P470" i="1"/>
  <c r="O470" i="1"/>
  <c r="N470" i="1"/>
  <c r="M470" i="1"/>
  <c r="F470" i="1"/>
  <c r="C470" i="1"/>
  <c r="A470" i="1"/>
  <c r="P469" i="1"/>
  <c r="O469" i="1"/>
  <c r="N469" i="1"/>
  <c r="M469" i="1"/>
  <c r="F469" i="1"/>
  <c r="C469" i="1"/>
  <c r="A469" i="1"/>
  <c r="O468" i="1"/>
  <c r="N468" i="1"/>
  <c r="M468" i="1"/>
  <c r="F468" i="1"/>
  <c r="C468" i="1"/>
  <c r="A468" i="1"/>
  <c r="O467" i="1"/>
  <c r="N467" i="1"/>
  <c r="M467" i="1"/>
  <c r="F467" i="1"/>
  <c r="P467" i="1" s="1"/>
  <c r="C467" i="1"/>
  <c r="A467" i="1"/>
  <c r="O466" i="1"/>
  <c r="N466" i="1"/>
  <c r="M466" i="1"/>
  <c r="F466" i="1"/>
  <c r="P466" i="1" s="1"/>
  <c r="C466" i="1"/>
  <c r="A466" i="1"/>
  <c r="P465" i="1"/>
  <c r="O465" i="1"/>
  <c r="N465" i="1"/>
  <c r="M465" i="1"/>
  <c r="F465" i="1"/>
  <c r="C465" i="1"/>
  <c r="A465" i="1"/>
  <c r="P464" i="1"/>
  <c r="O464" i="1"/>
  <c r="N464" i="1"/>
  <c r="M464" i="1"/>
  <c r="F464" i="1"/>
  <c r="C464" i="1"/>
  <c r="A464" i="1"/>
  <c r="O463" i="1"/>
  <c r="N463" i="1"/>
  <c r="M463" i="1"/>
  <c r="F463" i="1"/>
  <c r="C463" i="1"/>
  <c r="A463" i="1"/>
  <c r="O462" i="1"/>
  <c r="N462" i="1"/>
  <c r="M462" i="1"/>
  <c r="F462" i="1"/>
  <c r="P462" i="1" s="1"/>
  <c r="C462" i="1"/>
  <c r="A462" i="1"/>
  <c r="O461" i="1"/>
  <c r="N461" i="1"/>
  <c r="M461" i="1"/>
  <c r="F461" i="1"/>
  <c r="P461" i="1" s="1"/>
  <c r="C461" i="1"/>
  <c r="A461" i="1"/>
  <c r="P460" i="1"/>
  <c r="O460" i="1"/>
  <c r="N460" i="1"/>
  <c r="M460" i="1"/>
  <c r="F460" i="1"/>
  <c r="C460" i="1"/>
  <c r="A460" i="1"/>
  <c r="P459" i="1"/>
  <c r="O459" i="1"/>
  <c r="N459" i="1"/>
  <c r="M459" i="1"/>
  <c r="F459" i="1"/>
  <c r="C459" i="1"/>
  <c r="A459" i="1"/>
  <c r="O458" i="1"/>
  <c r="N458" i="1"/>
  <c r="M458" i="1"/>
  <c r="F458" i="1"/>
  <c r="C458" i="1"/>
  <c r="A458" i="1"/>
  <c r="O457" i="1"/>
  <c r="N457" i="1"/>
  <c r="M457" i="1"/>
  <c r="F457" i="1"/>
  <c r="P457" i="1" s="1"/>
  <c r="C457" i="1"/>
  <c r="A457" i="1"/>
  <c r="O456" i="1"/>
  <c r="N456" i="1"/>
  <c r="M456" i="1"/>
  <c r="F456" i="1"/>
  <c r="P456" i="1" s="1"/>
  <c r="C456" i="1"/>
  <c r="A456" i="1"/>
  <c r="P455" i="1"/>
  <c r="O455" i="1"/>
  <c r="N455" i="1"/>
  <c r="M455" i="1"/>
  <c r="F455" i="1"/>
  <c r="C455" i="1"/>
  <c r="A455" i="1"/>
  <c r="P454" i="1"/>
  <c r="O454" i="1"/>
  <c r="N454" i="1"/>
  <c r="M454" i="1"/>
  <c r="F454" i="1"/>
  <c r="C454" i="1"/>
  <c r="A454" i="1"/>
  <c r="O453" i="1"/>
  <c r="N453" i="1"/>
  <c r="M453" i="1"/>
  <c r="F453" i="1"/>
  <c r="P453" i="1" s="1"/>
  <c r="C453" i="1"/>
  <c r="A453" i="1"/>
  <c r="O452" i="1"/>
  <c r="N452" i="1"/>
  <c r="M452" i="1"/>
  <c r="F452" i="1"/>
  <c r="P452" i="1" s="1"/>
  <c r="C452" i="1"/>
  <c r="A452" i="1"/>
  <c r="O451" i="1"/>
  <c r="N451" i="1"/>
  <c r="M451" i="1"/>
  <c r="F451" i="1"/>
  <c r="P451" i="1" s="1"/>
  <c r="C451" i="1"/>
  <c r="A451" i="1"/>
  <c r="P450" i="1"/>
  <c r="O450" i="1"/>
  <c r="N450" i="1"/>
  <c r="M450" i="1"/>
  <c r="F450" i="1"/>
  <c r="C450" i="1"/>
  <c r="A450" i="1"/>
  <c r="P449" i="1"/>
  <c r="O449" i="1"/>
  <c r="N449" i="1"/>
  <c r="M449" i="1"/>
  <c r="F449" i="1"/>
  <c r="C449" i="1"/>
  <c r="A449" i="1"/>
  <c r="O448" i="1"/>
  <c r="N448" i="1"/>
  <c r="M448" i="1"/>
  <c r="F448" i="1"/>
  <c r="P448" i="1" s="1"/>
  <c r="C448" i="1"/>
  <c r="A448" i="1"/>
  <c r="O447" i="1"/>
  <c r="N447" i="1"/>
  <c r="M447" i="1"/>
  <c r="F447" i="1"/>
  <c r="P447" i="1" s="1"/>
  <c r="C447" i="1"/>
  <c r="A447" i="1"/>
  <c r="O446" i="1"/>
  <c r="N446" i="1"/>
  <c r="M446" i="1"/>
  <c r="F446" i="1"/>
  <c r="P446" i="1" s="1"/>
  <c r="C446" i="1"/>
  <c r="A446" i="1"/>
  <c r="P445" i="1"/>
  <c r="O445" i="1"/>
  <c r="N445" i="1"/>
  <c r="M445" i="1"/>
  <c r="F445" i="1"/>
  <c r="C445" i="1"/>
  <c r="A445" i="1"/>
  <c r="P444" i="1"/>
  <c r="O444" i="1"/>
  <c r="N444" i="1"/>
  <c r="M444" i="1"/>
  <c r="F444" i="1"/>
  <c r="C444" i="1"/>
  <c r="A444" i="1"/>
  <c r="O443" i="1"/>
  <c r="N443" i="1"/>
  <c r="M443" i="1"/>
  <c r="F443" i="1"/>
  <c r="P443" i="1" s="1"/>
  <c r="C443" i="1"/>
  <c r="A443" i="1"/>
  <c r="O442" i="1"/>
  <c r="N442" i="1"/>
  <c r="M442" i="1"/>
  <c r="F442" i="1"/>
  <c r="P442" i="1" s="1"/>
  <c r="C442" i="1"/>
  <c r="A442" i="1"/>
  <c r="O441" i="1"/>
  <c r="N441" i="1"/>
  <c r="M441" i="1"/>
  <c r="F441" i="1"/>
  <c r="P441" i="1" s="1"/>
  <c r="C441" i="1"/>
  <c r="A441" i="1"/>
  <c r="P440" i="1"/>
  <c r="O440" i="1"/>
  <c r="N440" i="1"/>
  <c r="M440" i="1"/>
  <c r="F440" i="1"/>
  <c r="C440" i="1"/>
  <c r="A440" i="1"/>
  <c r="P439" i="1"/>
  <c r="O439" i="1"/>
  <c r="N439" i="1"/>
  <c r="M439" i="1"/>
  <c r="F439" i="1"/>
  <c r="C439" i="1"/>
  <c r="A439" i="1"/>
  <c r="O438" i="1"/>
  <c r="N438" i="1"/>
  <c r="M438" i="1"/>
  <c r="F438" i="1"/>
  <c r="P438" i="1" s="1"/>
  <c r="C438" i="1"/>
  <c r="A438" i="1"/>
  <c r="O437" i="1"/>
  <c r="N437" i="1"/>
  <c r="M437" i="1"/>
  <c r="F437" i="1"/>
  <c r="P437" i="1" s="1"/>
  <c r="C437" i="1"/>
  <c r="A437" i="1"/>
  <c r="O436" i="1"/>
  <c r="N436" i="1"/>
  <c r="M436" i="1"/>
  <c r="F436" i="1"/>
  <c r="P436" i="1" s="1"/>
  <c r="C436" i="1"/>
  <c r="A436" i="1"/>
  <c r="P435" i="1"/>
  <c r="O435" i="1"/>
  <c r="N435" i="1"/>
  <c r="M435" i="1"/>
  <c r="F435" i="1"/>
  <c r="C435" i="1"/>
  <c r="A435" i="1"/>
  <c r="P434" i="1"/>
  <c r="O434" i="1"/>
  <c r="N434" i="1"/>
  <c r="M434" i="1"/>
  <c r="F434" i="1"/>
  <c r="C434" i="1"/>
  <c r="A434" i="1"/>
  <c r="O433" i="1"/>
  <c r="N433" i="1"/>
  <c r="M433" i="1"/>
  <c r="F433" i="1"/>
  <c r="P433" i="1" s="1"/>
  <c r="C433" i="1"/>
  <c r="A433" i="1"/>
  <c r="O432" i="1"/>
  <c r="N432" i="1"/>
  <c r="M432" i="1"/>
  <c r="F432" i="1"/>
  <c r="P432" i="1" s="1"/>
  <c r="C432" i="1"/>
  <c r="A432" i="1"/>
  <c r="O431" i="1"/>
  <c r="N431" i="1"/>
  <c r="M431" i="1"/>
  <c r="F431" i="1"/>
  <c r="P431" i="1" s="1"/>
  <c r="C431" i="1"/>
  <c r="A431" i="1"/>
  <c r="P430" i="1"/>
  <c r="O430" i="1"/>
  <c r="N430" i="1"/>
  <c r="M430" i="1"/>
  <c r="F430" i="1"/>
  <c r="C430" i="1"/>
  <c r="A430" i="1"/>
  <c r="P429" i="1"/>
  <c r="O429" i="1"/>
  <c r="N429" i="1"/>
  <c r="M429" i="1"/>
  <c r="F429" i="1"/>
  <c r="C429" i="1"/>
  <c r="A429" i="1"/>
  <c r="O428" i="1"/>
  <c r="N428" i="1"/>
  <c r="M428" i="1"/>
  <c r="F428" i="1"/>
  <c r="P428" i="1" s="1"/>
  <c r="C428" i="1"/>
  <c r="A428" i="1"/>
  <c r="O427" i="1"/>
  <c r="N427" i="1"/>
  <c r="M427" i="1"/>
  <c r="F427" i="1"/>
  <c r="P427" i="1" s="1"/>
  <c r="C427" i="1"/>
  <c r="A427" i="1"/>
  <c r="O426" i="1"/>
  <c r="N426" i="1"/>
  <c r="M426" i="1"/>
  <c r="F426" i="1"/>
  <c r="P426" i="1" s="1"/>
  <c r="C426" i="1"/>
  <c r="A426" i="1"/>
  <c r="P425" i="1"/>
  <c r="O425" i="1"/>
  <c r="N425" i="1"/>
  <c r="M425" i="1"/>
  <c r="F425" i="1"/>
  <c r="C425" i="1"/>
  <c r="A425" i="1"/>
  <c r="P424" i="1"/>
  <c r="O424" i="1"/>
  <c r="N424" i="1"/>
  <c r="M424" i="1"/>
  <c r="F424" i="1"/>
  <c r="C424" i="1"/>
  <c r="A424" i="1"/>
  <c r="O423" i="1"/>
  <c r="N423" i="1"/>
  <c r="M423" i="1"/>
  <c r="F423" i="1"/>
  <c r="P423" i="1" s="1"/>
  <c r="C423" i="1"/>
  <c r="A423" i="1"/>
  <c r="O422" i="1"/>
  <c r="N422" i="1"/>
  <c r="M422" i="1"/>
  <c r="F422" i="1"/>
  <c r="P422" i="1" s="1"/>
  <c r="C422" i="1"/>
  <c r="A422" i="1"/>
  <c r="O421" i="1"/>
  <c r="N421" i="1"/>
  <c r="M421" i="1"/>
  <c r="F421" i="1"/>
  <c r="P421" i="1" s="1"/>
  <c r="C421" i="1"/>
  <c r="A421" i="1"/>
  <c r="P420" i="1"/>
  <c r="O420" i="1"/>
  <c r="N420" i="1"/>
  <c r="M420" i="1"/>
  <c r="F420" i="1"/>
  <c r="C420" i="1"/>
  <c r="A420" i="1"/>
  <c r="P419" i="1"/>
  <c r="O419" i="1"/>
  <c r="N419" i="1"/>
  <c r="M419" i="1"/>
  <c r="F419" i="1"/>
  <c r="C419" i="1"/>
  <c r="A419" i="1"/>
  <c r="O418" i="1"/>
  <c r="N418" i="1"/>
  <c r="M418" i="1"/>
  <c r="F418" i="1"/>
  <c r="P418" i="1" s="1"/>
  <c r="C418" i="1"/>
  <c r="A418" i="1"/>
  <c r="O417" i="1"/>
  <c r="N417" i="1"/>
  <c r="M417" i="1"/>
  <c r="F417" i="1"/>
  <c r="P417" i="1" s="1"/>
  <c r="C417" i="1"/>
  <c r="A417" i="1"/>
  <c r="O416" i="1"/>
  <c r="N416" i="1"/>
  <c r="M416" i="1"/>
  <c r="F416" i="1"/>
  <c r="P416" i="1" s="1"/>
  <c r="C416" i="1"/>
  <c r="A416" i="1"/>
  <c r="P415" i="1"/>
  <c r="O415" i="1"/>
  <c r="N415" i="1"/>
  <c r="M415" i="1"/>
  <c r="F415" i="1"/>
  <c r="C415" i="1"/>
  <c r="A415" i="1"/>
  <c r="P414" i="1"/>
  <c r="O414" i="1"/>
  <c r="N414" i="1"/>
  <c r="M414" i="1"/>
  <c r="F414" i="1"/>
  <c r="C414" i="1"/>
  <c r="A414" i="1"/>
  <c r="O413" i="1"/>
  <c r="N413" i="1"/>
  <c r="M413" i="1"/>
  <c r="F413" i="1"/>
  <c r="P413" i="1" s="1"/>
  <c r="C413" i="1"/>
  <c r="A413" i="1"/>
  <c r="O412" i="1"/>
  <c r="N412" i="1"/>
  <c r="M412" i="1"/>
  <c r="F412" i="1"/>
  <c r="P412" i="1" s="1"/>
  <c r="C412" i="1"/>
  <c r="A412" i="1"/>
  <c r="O411" i="1"/>
  <c r="N411" i="1"/>
  <c r="M411" i="1"/>
  <c r="F411" i="1"/>
  <c r="P411" i="1" s="1"/>
  <c r="C411" i="1"/>
  <c r="A411" i="1"/>
  <c r="P410" i="1"/>
  <c r="O410" i="1"/>
  <c r="N410" i="1"/>
  <c r="M410" i="1"/>
  <c r="F410" i="1"/>
  <c r="C410" i="1"/>
  <c r="A410" i="1"/>
  <c r="P409" i="1"/>
  <c r="O409" i="1"/>
  <c r="N409" i="1"/>
  <c r="M409" i="1"/>
  <c r="F409" i="1"/>
  <c r="C409" i="1"/>
  <c r="A409" i="1"/>
  <c r="O408" i="1"/>
  <c r="N408" i="1"/>
  <c r="M408" i="1"/>
  <c r="F408" i="1"/>
  <c r="P408" i="1" s="1"/>
  <c r="C408" i="1"/>
  <c r="A408" i="1"/>
  <c r="O407" i="1"/>
  <c r="N407" i="1"/>
  <c r="M407" i="1"/>
  <c r="F407" i="1"/>
  <c r="P407" i="1" s="1"/>
  <c r="C407" i="1"/>
  <c r="A407" i="1"/>
  <c r="O406" i="1"/>
  <c r="N406" i="1"/>
  <c r="M406" i="1"/>
  <c r="F406" i="1"/>
  <c r="P406" i="1" s="1"/>
  <c r="C406" i="1"/>
  <c r="A406" i="1"/>
  <c r="P405" i="1"/>
  <c r="O405" i="1"/>
  <c r="N405" i="1"/>
  <c r="M405" i="1"/>
  <c r="F405" i="1"/>
  <c r="C405" i="1"/>
  <c r="A405" i="1"/>
  <c r="P404" i="1"/>
  <c r="O404" i="1"/>
  <c r="N404" i="1"/>
  <c r="M404" i="1"/>
  <c r="F404" i="1"/>
  <c r="C404" i="1"/>
  <c r="A404" i="1"/>
  <c r="O403" i="1"/>
  <c r="N403" i="1"/>
  <c r="M403" i="1"/>
  <c r="F403" i="1"/>
  <c r="P403" i="1" s="1"/>
  <c r="C403" i="1"/>
  <c r="A403" i="1"/>
  <c r="O402" i="1"/>
  <c r="N402" i="1"/>
  <c r="M402" i="1"/>
  <c r="F402" i="1"/>
  <c r="P402" i="1" s="1"/>
  <c r="C402" i="1"/>
  <c r="A402" i="1"/>
  <c r="O401" i="1"/>
  <c r="N401" i="1"/>
  <c r="M401" i="1"/>
  <c r="F401" i="1"/>
  <c r="P401" i="1" s="1"/>
  <c r="C401" i="1"/>
  <c r="A401" i="1"/>
  <c r="P400" i="1"/>
  <c r="O400" i="1"/>
  <c r="N400" i="1"/>
  <c r="M400" i="1"/>
  <c r="F400" i="1"/>
  <c r="C400" i="1"/>
  <c r="A400" i="1"/>
  <c r="P399" i="1"/>
  <c r="O399" i="1"/>
  <c r="N399" i="1"/>
  <c r="M399" i="1"/>
  <c r="F399" i="1"/>
  <c r="C399" i="1"/>
  <c r="A399" i="1"/>
  <c r="O398" i="1"/>
  <c r="N398" i="1"/>
  <c r="M398" i="1"/>
  <c r="F398" i="1"/>
  <c r="P398" i="1" s="1"/>
  <c r="C398" i="1"/>
  <c r="A398" i="1"/>
  <c r="O397" i="1"/>
  <c r="N397" i="1"/>
  <c r="M397" i="1"/>
  <c r="F397" i="1"/>
  <c r="P397" i="1" s="1"/>
  <c r="C397" i="1"/>
  <c r="A397" i="1"/>
  <c r="O396" i="1"/>
  <c r="N396" i="1"/>
  <c r="M396" i="1"/>
  <c r="F396" i="1"/>
  <c r="P396" i="1" s="1"/>
  <c r="C396" i="1"/>
  <c r="A396" i="1"/>
  <c r="P395" i="1"/>
  <c r="O395" i="1"/>
  <c r="N395" i="1"/>
  <c r="M395" i="1"/>
  <c r="F395" i="1"/>
  <c r="C395" i="1"/>
  <c r="A395" i="1"/>
  <c r="P394" i="1"/>
  <c r="O394" i="1"/>
  <c r="N394" i="1"/>
  <c r="M394" i="1"/>
  <c r="F394" i="1"/>
  <c r="C394" i="1"/>
  <c r="A394" i="1"/>
  <c r="O393" i="1"/>
  <c r="N393" i="1"/>
  <c r="M393" i="1"/>
  <c r="F393" i="1"/>
  <c r="P393" i="1" s="1"/>
  <c r="C393" i="1"/>
  <c r="A393" i="1"/>
  <c r="O392" i="1"/>
  <c r="N392" i="1"/>
  <c r="M392" i="1"/>
  <c r="F392" i="1"/>
  <c r="P392" i="1" s="1"/>
  <c r="C392" i="1"/>
  <c r="A392" i="1"/>
  <c r="O391" i="1"/>
  <c r="N391" i="1"/>
  <c r="M391" i="1"/>
  <c r="F391" i="1"/>
  <c r="P391" i="1" s="1"/>
  <c r="C391" i="1"/>
  <c r="A391" i="1"/>
  <c r="P390" i="1"/>
  <c r="O390" i="1"/>
  <c r="N390" i="1"/>
  <c r="M390" i="1"/>
  <c r="F390" i="1"/>
  <c r="C390" i="1"/>
  <c r="A390" i="1"/>
  <c r="O389" i="1"/>
  <c r="N389" i="1"/>
  <c r="M389" i="1"/>
  <c r="F389" i="1"/>
  <c r="P389" i="1" s="1"/>
  <c r="C389" i="1"/>
  <c r="A389" i="1"/>
  <c r="O388" i="1"/>
  <c r="N388" i="1"/>
  <c r="M388" i="1"/>
  <c r="F388" i="1"/>
  <c r="P388" i="1" s="1"/>
  <c r="C388" i="1"/>
  <c r="A388" i="1"/>
  <c r="P387" i="1"/>
  <c r="O387" i="1"/>
  <c r="N387" i="1"/>
  <c r="M387" i="1"/>
  <c r="F387" i="1"/>
  <c r="C387" i="1"/>
  <c r="A387" i="1"/>
  <c r="O386" i="1"/>
  <c r="N386" i="1"/>
  <c r="M386" i="1"/>
  <c r="F386" i="1"/>
  <c r="P386" i="1" s="1"/>
  <c r="C386" i="1"/>
  <c r="A386" i="1"/>
  <c r="P385" i="1"/>
  <c r="O385" i="1"/>
  <c r="N385" i="1"/>
  <c r="M385" i="1"/>
  <c r="F385" i="1"/>
  <c r="C385" i="1"/>
  <c r="A385" i="1"/>
  <c r="P384" i="1"/>
  <c r="O384" i="1"/>
  <c r="N384" i="1"/>
  <c r="M384" i="1"/>
  <c r="F384" i="1"/>
  <c r="C384" i="1"/>
  <c r="A384" i="1"/>
  <c r="O383" i="1"/>
  <c r="N383" i="1"/>
  <c r="M383" i="1"/>
  <c r="F383" i="1"/>
  <c r="P383" i="1" s="1"/>
  <c r="C383" i="1"/>
  <c r="A383" i="1"/>
  <c r="O382" i="1"/>
  <c r="N382" i="1"/>
  <c r="M382" i="1"/>
  <c r="F382" i="1"/>
  <c r="P382" i="1" s="1"/>
  <c r="C382" i="1"/>
  <c r="A382" i="1"/>
  <c r="O381" i="1"/>
  <c r="N381" i="1"/>
  <c r="M381" i="1"/>
  <c r="F381" i="1"/>
  <c r="P381" i="1" s="1"/>
  <c r="C381" i="1"/>
  <c r="A381" i="1"/>
  <c r="P380" i="1"/>
  <c r="O380" i="1"/>
  <c r="N380" i="1"/>
  <c r="M380" i="1"/>
  <c r="F380" i="1"/>
  <c r="C380" i="1"/>
  <c r="A380" i="1"/>
  <c r="O379" i="1"/>
  <c r="N379" i="1"/>
  <c r="M379" i="1"/>
  <c r="F379" i="1"/>
  <c r="P379" i="1" s="1"/>
  <c r="C379" i="1"/>
  <c r="A379" i="1"/>
  <c r="O378" i="1"/>
  <c r="N378" i="1"/>
  <c r="M378" i="1"/>
  <c r="F378" i="1"/>
  <c r="P378" i="1" s="1"/>
  <c r="C378" i="1"/>
  <c r="A378" i="1"/>
  <c r="P377" i="1"/>
  <c r="O377" i="1"/>
  <c r="N377" i="1"/>
  <c r="M377" i="1"/>
  <c r="F377" i="1"/>
  <c r="C377" i="1"/>
  <c r="A377" i="1"/>
  <c r="O376" i="1"/>
  <c r="N376" i="1"/>
  <c r="M376" i="1"/>
  <c r="F376" i="1"/>
  <c r="P376" i="1" s="1"/>
  <c r="C376" i="1"/>
  <c r="A376" i="1"/>
  <c r="P375" i="1"/>
  <c r="O375" i="1"/>
  <c r="N375" i="1"/>
  <c r="M375" i="1"/>
  <c r="F375" i="1"/>
  <c r="C375" i="1"/>
  <c r="A375" i="1"/>
  <c r="P374" i="1"/>
  <c r="O374" i="1"/>
  <c r="N374" i="1"/>
  <c r="M374" i="1"/>
  <c r="F374" i="1"/>
  <c r="C374" i="1"/>
  <c r="A374" i="1"/>
  <c r="O373" i="1"/>
  <c r="N373" i="1"/>
  <c r="M373" i="1"/>
  <c r="F373" i="1"/>
  <c r="P373" i="1" s="1"/>
  <c r="C373" i="1"/>
  <c r="A373" i="1"/>
  <c r="P372" i="1"/>
  <c r="O372" i="1"/>
  <c r="N372" i="1"/>
  <c r="M372" i="1"/>
  <c r="F372" i="1"/>
  <c r="C372" i="1"/>
  <c r="A372" i="1"/>
  <c r="O371" i="1"/>
  <c r="N371" i="1"/>
  <c r="M371" i="1"/>
  <c r="F371" i="1"/>
  <c r="P371" i="1" s="1"/>
  <c r="C371" i="1"/>
  <c r="A371" i="1"/>
  <c r="P370" i="1"/>
  <c r="O370" i="1"/>
  <c r="N370" i="1"/>
  <c r="M370" i="1"/>
  <c r="F370" i="1"/>
  <c r="C370" i="1"/>
  <c r="A370" i="1"/>
  <c r="P369" i="1"/>
  <c r="O369" i="1"/>
  <c r="N369" i="1"/>
  <c r="M369" i="1"/>
  <c r="F369" i="1"/>
  <c r="C369" i="1"/>
  <c r="A369" i="1"/>
  <c r="O368" i="1"/>
  <c r="N368" i="1"/>
  <c r="M368" i="1"/>
  <c r="F368" i="1"/>
  <c r="P368" i="1" s="1"/>
  <c r="C368" i="1"/>
  <c r="A368" i="1"/>
  <c r="O367" i="1"/>
  <c r="N367" i="1"/>
  <c r="M367" i="1"/>
  <c r="F367" i="1"/>
  <c r="P367" i="1" s="1"/>
  <c r="C367" i="1"/>
  <c r="A367" i="1"/>
  <c r="O366" i="1"/>
  <c r="N366" i="1"/>
  <c r="M366" i="1"/>
  <c r="F366" i="1"/>
  <c r="P366" i="1" s="1"/>
  <c r="C366" i="1"/>
  <c r="A366" i="1"/>
  <c r="P365" i="1"/>
  <c r="O365" i="1"/>
  <c r="N365" i="1"/>
  <c r="M365" i="1"/>
  <c r="F365" i="1"/>
  <c r="C365" i="1"/>
  <c r="A365" i="1"/>
  <c r="O364" i="1"/>
  <c r="N364" i="1"/>
  <c r="M364" i="1"/>
  <c r="F364" i="1"/>
  <c r="P364" i="1" s="1"/>
  <c r="C364" i="1"/>
  <c r="A364" i="1"/>
  <c r="O363" i="1"/>
  <c r="N363" i="1"/>
  <c r="M363" i="1"/>
  <c r="F363" i="1"/>
  <c r="P363" i="1" s="1"/>
  <c r="C363" i="1"/>
  <c r="A363" i="1"/>
  <c r="P362" i="1"/>
  <c r="O362" i="1"/>
  <c r="N362" i="1"/>
  <c r="M362" i="1"/>
  <c r="F362" i="1"/>
  <c r="C362" i="1"/>
  <c r="A362" i="1"/>
  <c r="O361" i="1"/>
  <c r="N361" i="1"/>
  <c r="M361" i="1"/>
  <c r="F361" i="1"/>
  <c r="P361" i="1" s="1"/>
  <c r="C361" i="1"/>
  <c r="A361" i="1"/>
  <c r="P360" i="1"/>
  <c r="O360" i="1"/>
  <c r="N360" i="1"/>
  <c r="M360" i="1"/>
  <c r="F360" i="1"/>
  <c r="C360" i="1"/>
  <c r="A360" i="1"/>
  <c r="P359" i="1"/>
  <c r="O359" i="1"/>
  <c r="N359" i="1"/>
  <c r="M359" i="1"/>
  <c r="F359" i="1"/>
  <c r="C359" i="1"/>
  <c r="A359" i="1"/>
  <c r="O358" i="1"/>
  <c r="N358" i="1"/>
  <c r="M358" i="1"/>
  <c r="F358" i="1"/>
  <c r="P358" i="1" s="1"/>
  <c r="C358" i="1"/>
  <c r="A358" i="1"/>
  <c r="O357" i="1"/>
  <c r="N357" i="1"/>
  <c r="M357" i="1"/>
  <c r="F357" i="1"/>
  <c r="P357" i="1" s="1"/>
  <c r="C357" i="1"/>
  <c r="A357" i="1"/>
  <c r="O356" i="1"/>
  <c r="N356" i="1"/>
  <c r="M356" i="1"/>
  <c r="F356" i="1"/>
  <c r="P356" i="1" s="1"/>
  <c r="C356" i="1"/>
  <c r="A356" i="1"/>
  <c r="P355" i="1"/>
  <c r="O355" i="1"/>
  <c r="N355" i="1"/>
  <c r="M355" i="1"/>
  <c r="F355" i="1"/>
  <c r="C355" i="1"/>
  <c r="A355" i="1"/>
  <c r="O354" i="1"/>
  <c r="N354" i="1"/>
  <c r="M354" i="1"/>
  <c r="F354" i="1"/>
  <c r="P354" i="1" s="1"/>
  <c r="C354" i="1"/>
  <c r="A354" i="1"/>
  <c r="O353" i="1"/>
  <c r="N353" i="1"/>
  <c r="M353" i="1"/>
  <c r="F353" i="1"/>
  <c r="P353" i="1" s="1"/>
  <c r="C353" i="1"/>
  <c r="A353" i="1"/>
  <c r="P352" i="1"/>
  <c r="O352" i="1"/>
  <c r="N352" i="1"/>
  <c r="M352" i="1"/>
  <c r="F352" i="1"/>
  <c r="C352" i="1"/>
  <c r="A352" i="1"/>
  <c r="O351" i="1"/>
  <c r="N351" i="1"/>
  <c r="M351" i="1"/>
  <c r="F351" i="1"/>
  <c r="P351" i="1" s="1"/>
  <c r="C351" i="1"/>
  <c r="A351" i="1"/>
  <c r="P350" i="1"/>
  <c r="O350" i="1"/>
  <c r="N350" i="1"/>
  <c r="M350" i="1"/>
  <c r="F350" i="1"/>
  <c r="C350" i="1"/>
  <c r="A350" i="1"/>
  <c r="P349" i="1"/>
  <c r="O349" i="1"/>
  <c r="N349" i="1"/>
  <c r="M349" i="1"/>
  <c r="F349" i="1"/>
  <c r="C349" i="1"/>
  <c r="A349" i="1"/>
  <c r="O348" i="1"/>
  <c r="N348" i="1"/>
  <c r="M348" i="1"/>
  <c r="F348" i="1"/>
  <c r="P348" i="1" s="1"/>
  <c r="C348" i="1"/>
  <c r="A348" i="1"/>
  <c r="P347" i="1"/>
  <c r="O347" i="1"/>
  <c r="N347" i="1"/>
  <c r="M347" i="1"/>
  <c r="F347" i="1"/>
  <c r="C347" i="1"/>
  <c r="A347" i="1"/>
  <c r="O346" i="1"/>
  <c r="N346" i="1"/>
  <c r="M346" i="1"/>
  <c r="F346" i="1"/>
  <c r="P346" i="1" s="1"/>
  <c r="C346" i="1"/>
  <c r="A346" i="1"/>
  <c r="P345" i="1"/>
  <c r="O345" i="1"/>
  <c r="N345" i="1"/>
  <c r="M345" i="1"/>
  <c r="F345" i="1"/>
  <c r="C345" i="1"/>
  <c r="A345" i="1"/>
  <c r="P344" i="1"/>
  <c r="O344" i="1"/>
  <c r="N344" i="1"/>
  <c r="M344" i="1"/>
  <c r="F344" i="1"/>
  <c r="C344" i="1"/>
  <c r="A344" i="1"/>
  <c r="O343" i="1"/>
  <c r="N343" i="1"/>
  <c r="M343" i="1"/>
  <c r="F343" i="1"/>
  <c r="P343" i="1" s="1"/>
  <c r="C343" i="1"/>
  <c r="A343" i="1"/>
  <c r="O342" i="1"/>
  <c r="N342" i="1"/>
  <c r="M342" i="1"/>
  <c r="F342" i="1"/>
  <c r="P342" i="1" s="1"/>
  <c r="C342" i="1"/>
  <c r="A342" i="1"/>
  <c r="O341" i="1"/>
  <c r="N341" i="1"/>
  <c r="M341" i="1"/>
  <c r="F341" i="1"/>
  <c r="P341" i="1" s="1"/>
  <c r="C341" i="1"/>
  <c r="A341" i="1"/>
  <c r="P340" i="1"/>
  <c r="O340" i="1"/>
  <c r="N340" i="1"/>
  <c r="M340" i="1"/>
  <c r="F340" i="1"/>
  <c r="C340" i="1"/>
  <c r="A340" i="1"/>
  <c r="O339" i="1"/>
  <c r="N339" i="1"/>
  <c r="M339" i="1"/>
  <c r="F339" i="1"/>
  <c r="P339" i="1" s="1"/>
  <c r="C339" i="1"/>
  <c r="A339" i="1"/>
  <c r="O338" i="1"/>
  <c r="N338" i="1"/>
  <c r="M338" i="1"/>
  <c r="F338" i="1"/>
  <c r="P338" i="1" s="1"/>
  <c r="C338" i="1"/>
  <c r="A338" i="1"/>
  <c r="P337" i="1"/>
  <c r="O337" i="1"/>
  <c r="N337" i="1"/>
  <c r="M337" i="1"/>
  <c r="F337" i="1"/>
  <c r="C337" i="1"/>
  <c r="A337" i="1"/>
  <c r="O336" i="1"/>
  <c r="N336" i="1"/>
  <c r="M336" i="1"/>
  <c r="F336" i="1"/>
  <c r="P336" i="1" s="1"/>
  <c r="C336" i="1"/>
  <c r="A336" i="1"/>
  <c r="P335" i="1"/>
  <c r="O335" i="1"/>
  <c r="N335" i="1"/>
  <c r="M335" i="1"/>
  <c r="F335" i="1"/>
  <c r="C335" i="1"/>
  <c r="A335" i="1"/>
  <c r="P334" i="1"/>
  <c r="O334" i="1"/>
  <c r="N334" i="1"/>
  <c r="M334" i="1"/>
  <c r="F334" i="1"/>
  <c r="C334" i="1"/>
  <c r="A334" i="1"/>
  <c r="O333" i="1"/>
  <c r="N333" i="1"/>
  <c r="M333" i="1"/>
  <c r="F333" i="1"/>
  <c r="P333" i="1" s="1"/>
  <c r="C333" i="1"/>
  <c r="A333" i="1"/>
  <c r="O332" i="1"/>
  <c r="N332" i="1"/>
  <c r="M332" i="1"/>
  <c r="F332" i="1"/>
  <c r="P332" i="1" s="1"/>
  <c r="C332" i="1"/>
  <c r="A332" i="1"/>
  <c r="O331" i="1"/>
  <c r="N331" i="1"/>
  <c r="M331" i="1"/>
  <c r="F331" i="1"/>
  <c r="P331" i="1" s="1"/>
  <c r="C331" i="1"/>
  <c r="A331" i="1"/>
  <c r="P330" i="1"/>
  <c r="O330" i="1"/>
  <c r="N330" i="1"/>
  <c r="M330" i="1"/>
  <c r="F330" i="1"/>
  <c r="C330" i="1"/>
  <c r="A330" i="1"/>
  <c r="O329" i="1"/>
  <c r="N329" i="1"/>
  <c r="M329" i="1"/>
  <c r="F329" i="1"/>
  <c r="P329" i="1" s="1"/>
  <c r="C329" i="1"/>
  <c r="A329" i="1"/>
  <c r="O328" i="1"/>
  <c r="N328" i="1"/>
  <c r="M328" i="1"/>
  <c r="F328" i="1"/>
  <c r="P328" i="1" s="1"/>
  <c r="C328" i="1"/>
  <c r="A328" i="1"/>
  <c r="P327" i="1"/>
  <c r="O327" i="1"/>
  <c r="N327" i="1"/>
  <c r="M327" i="1"/>
  <c r="F327" i="1"/>
  <c r="C327" i="1"/>
  <c r="A327" i="1"/>
  <c r="O326" i="1"/>
  <c r="N326" i="1"/>
  <c r="M326" i="1"/>
  <c r="F326" i="1"/>
  <c r="P326" i="1" s="1"/>
  <c r="C326" i="1"/>
  <c r="A326" i="1"/>
  <c r="P325" i="1"/>
  <c r="O325" i="1"/>
  <c r="N325" i="1"/>
  <c r="M325" i="1"/>
  <c r="F325" i="1"/>
  <c r="C325" i="1"/>
  <c r="A325" i="1"/>
  <c r="P324" i="1"/>
  <c r="O324" i="1"/>
  <c r="N324" i="1"/>
  <c r="M324" i="1"/>
  <c r="F324" i="1"/>
  <c r="C324" i="1"/>
  <c r="A324" i="1"/>
  <c r="O323" i="1"/>
  <c r="N323" i="1"/>
  <c r="M323" i="1"/>
  <c r="F323" i="1"/>
  <c r="P323" i="1" s="1"/>
  <c r="C323" i="1"/>
  <c r="A323" i="1"/>
  <c r="P322" i="1"/>
  <c r="O322" i="1"/>
  <c r="N322" i="1"/>
  <c r="M322" i="1"/>
  <c r="F322" i="1"/>
  <c r="C322" i="1"/>
  <c r="A322" i="1"/>
  <c r="O321" i="1"/>
  <c r="N321" i="1"/>
  <c r="M321" i="1"/>
  <c r="F321" i="1"/>
  <c r="P321" i="1" s="1"/>
  <c r="C321" i="1"/>
  <c r="A321" i="1"/>
  <c r="P320" i="1"/>
  <c r="O320" i="1"/>
  <c r="N320" i="1"/>
  <c r="M320" i="1"/>
  <c r="F320" i="1"/>
  <c r="C320" i="1"/>
  <c r="A320" i="1"/>
  <c r="P319" i="1"/>
  <c r="O319" i="1"/>
  <c r="N319" i="1"/>
  <c r="M319" i="1"/>
  <c r="F319" i="1"/>
  <c r="C319" i="1"/>
  <c r="A319" i="1"/>
  <c r="O318" i="1"/>
  <c r="N318" i="1"/>
  <c r="M318" i="1"/>
  <c r="F318" i="1"/>
  <c r="P318" i="1" s="1"/>
  <c r="C318" i="1"/>
  <c r="A318" i="1"/>
  <c r="O317" i="1"/>
  <c r="N317" i="1"/>
  <c r="M317" i="1"/>
  <c r="F317" i="1"/>
  <c r="P317" i="1" s="1"/>
  <c r="C317" i="1"/>
  <c r="A317" i="1"/>
  <c r="O316" i="1"/>
  <c r="N316" i="1"/>
  <c r="M316" i="1"/>
  <c r="F316" i="1"/>
  <c r="P316" i="1" s="1"/>
  <c r="C316" i="1"/>
  <c r="A316" i="1"/>
  <c r="P315" i="1"/>
  <c r="O315" i="1"/>
  <c r="N315" i="1"/>
  <c r="M315" i="1"/>
  <c r="F315" i="1"/>
  <c r="C315" i="1"/>
  <c r="A315" i="1"/>
  <c r="O314" i="1"/>
  <c r="N314" i="1"/>
  <c r="M314" i="1"/>
  <c r="F314" i="1"/>
  <c r="P314" i="1" s="1"/>
  <c r="C314" i="1"/>
  <c r="A314" i="1"/>
  <c r="O313" i="1"/>
  <c r="N313" i="1"/>
  <c r="M313" i="1"/>
  <c r="F313" i="1"/>
  <c r="P313" i="1" s="1"/>
  <c r="C313" i="1"/>
  <c r="A313" i="1"/>
  <c r="O312" i="1"/>
  <c r="N312" i="1"/>
  <c r="M312" i="1"/>
  <c r="F312" i="1"/>
  <c r="P312" i="1" s="1"/>
  <c r="C312" i="1"/>
  <c r="A312" i="1"/>
  <c r="O311" i="1"/>
  <c r="N311" i="1"/>
  <c r="M311" i="1"/>
  <c r="F311" i="1"/>
  <c r="P311" i="1" s="1"/>
  <c r="C311" i="1"/>
  <c r="A311" i="1"/>
  <c r="P310" i="1"/>
  <c r="O310" i="1"/>
  <c r="N310" i="1"/>
  <c r="M310" i="1"/>
  <c r="F310" i="1"/>
  <c r="C310" i="1"/>
  <c r="A310" i="1"/>
  <c r="O309" i="1"/>
  <c r="N309" i="1"/>
  <c r="M309" i="1"/>
  <c r="F309" i="1"/>
  <c r="P309" i="1" s="1"/>
  <c r="C309" i="1"/>
  <c r="A309" i="1"/>
  <c r="O308" i="1"/>
  <c r="N308" i="1"/>
  <c r="M308" i="1"/>
  <c r="F308" i="1"/>
  <c r="P308" i="1" s="1"/>
  <c r="C308" i="1"/>
  <c r="A308" i="1"/>
  <c r="P307" i="1"/>
  <c r="O307" i="1"/>
  <c r="N307" i="1"/>
  <c r="M307" i="1"/>
  <c r="F307" i="1"/>
  <c r="C307" i="1"/>
  <c r="A307" i="1"/>
  <c r="O306" i="1"/>
  <c r="N306" i="1"/>
  <c r="M306" i="1"/>
  <c r="F306" i="1"/>
  <c r="P306" i="1" s="1"/>
  <c r="C306" i="1"/>
  <c r="A306" i="1"/>
  <c r="O305" i="1"/>
  <c r="N305" i="1"/>
  <c r="M305" i="1"/>
  <c r="F305" i="1"/>
  <c r="P305" i="1" s="1"/>
  <c r="C305" i="1"/>
  <c r="A305" i="1"/>
  <c r="P304" i="1"/>
  <c r="O304" i="1"/>
  <c r="N304" i="1"/>
  <c r="M304" i="1"/>
  <c r="F304" i="1"/>
  <c r="C304" i="1"/>
  <c r="A304" i="1"/>
  <c r="P303" i="1"/>
  <c r="O303" i="1"/>
  <c r="N303" i="1"/>
  <c r="M303" i="1"/>
  <c r="F303" i="1"/>
  <c r="C303" i="1"/>
  <c r="A303" i="1"/>
  <c r="P302" i="1"/>
  <c r="O302" i="1"/>
  <c r="N302" i="1"/>
  <c r="M302" i="1"/>
  <c r="F302" i="1"/>
  <c r="C302" i="1"/>
  <c r="A302" i="1"/>
  <c r="O301" i="1"/>
  <c r="N301" i="1"/>
  <c r="M301" i="1"/>
  <c r="F301" i="1"/>
  <c r="P301" i="1" s="1"/>
  <c r="C301" i="1"/>
  <c r="A301" i="1"/>
  <c r="O300" i="1"/>
  <c r="N300" i="1"/>
  <c r="M300" i="1"/>
  <c r="F300" i="1"/>
  <c r="P300" i="1" s="1"/>
  <c r="C300" i="1"/>
  <c r="A300" i="1"/>
  <c r="P299" i="1"/>
  <c r="O299" i="1"/>
  <c r="N299" i="1"/>
  <c r="M299" i="1"/>
  <c r="F299" i="1"/>
  <c r="C299" i="1"/>
  <c r="A299" i="1"/>
  <c r="P298" i="1"/>
  <c r="O298" i="1"/>
  <c r="N298" i="1"/>
  <c r="M298" i="1"/>
  <c r="F298" i="1"/>
  <c r="C298" i="1"/>
  <c r="A298" i="1"/>
  <c r="O297" i="1"/>
  <c r="N297" i="1"/>
  <c r="M297" i="1"/>
  <c r="F297" i="1"/>
  <c r="P297" i="1" s="1"/>
  <c r="C297" i="1"/>
  <c r="A297" i="1"/>
  <c r="O296" i="1"/>
  <c r="N296" i="1"/>
  <c r="M296" i="1"/>
  <c r="F296" i="1"/>
  <c r="P296" i="1" s="1"/>
  <c r="C296" i="1"/>
  <c r="A296" i="1"/>
  <c r="P295" i="1"/>
  <c r="O295" i="1"/>
  <c r="N295" i="1"/>
  <c r="M295" i="1"/>
  <c r="F295" i="1"/>
  <c r="C295" i="1"/>
  <c r="A295" i="1"/>
  <c r="P294" i="1"/>
  <c r="O294" i="1"/>
  <c r="N294" i="1"/>
  <c r="M294" i="1"/>
  <c r="F294" i="1"/>
  <c r="C294" i="1"/>
  <c r="A294" i="1"/>
  <c r="O293" i="1"/>
  <c r="N293" i="1"/>
  <c r="M293" i="1"/>
  <c r="F293" i="1"/>
  <c r="P293" i="1" s="1"/>
  <c r="C293" i="1"/>
  <c r="A293" i="1"/>
  <c r="O292" i="1"/>
  <c r="N292" i="1"/>
  <c r="M292" i="1"/>
  <c r="F292" i="1"/>
  <c r="P292" i="1" s="1"/>
  <c r="C292" i="1"/>
  <c r="A292" i="1"/>
  <c r="O291" i="1"/>
  <c r="N291" i="1"/>
  <c r="M291" i="1"/>
  <c r="F291" i="1"/>
  <c r="P291" i="1" s="1"/>
  <c r="C291" i="1"/>
  <c r="A291" i="1"/>
  <c r="P290" i="1"/>
  <c r="O290" i="1"/>
  <c r="N290" i="1"/>
  <c r="M290" i="1"/>
  <c r="F290" i="1"/>
  <c r="C290" i="1"/>
  <c r="A290" i="1"/>
  <c r="O289" i="1"/>
  <c r="N289" i="1"/>
  <c r="M289" i="1"/>
  <c r="F289" i="1"/>
  <c r="P289" i="1" s="1"/>
  <c r="C289" i="1"/>
  <c r="A289" i="1"/>
  <c r="O288" i="1"/>
  <c r="N288" i="1"/>
  <c r="M288" i="1"/>
  <c r="F288" i="1"/>
  <c r="P288" i="1" s="1"/>
  <c r="C288" i="1"/>
  <c r="A288" i="1"/>
  <c r="O287" i="1"/>
  <c r="N287" i="1"/>
  <c r="M287" i="1"/>
  <c r="F287" i="1"/>
  <c r="P287" i="1" s="1"/>
  <c r="C287" i="1"/>
  <c r="A287" i="1"/>
  <c r="O286" i="1"/>
  <c r="N286" i="1"/>
  <c r="M286" i="1"/>
  <c r="F286" i="1"/>
  <c r="P286" i="1" s="1"/>
  <c r="C286" i="1"/>
  <c r="A286" i="1"/>
  <c r="P285" i="1"/>
  <c r="O285" i="1"/>
  <c r="N285" i="1"/>
  <c r="M285" i="1"/>
  <c r="F285" i="1"/>
  <c r="C285" i="1"/>
  <c r="A285" i="1"/>
  <c r="O284" i="1"/>
  <c r="N284" i="1"/>
  <c r="M284" i="1"/>
  <c r="F284" i="1"/>
  <c r="P284" i="1" s="1"/>
  <c r="C284" i="1"/>
  <c r="A284" i="1"/>
  <c r="O283" i="1"/>
  <c r="N283" i="1"/>
  <c r="M283" i="1"/>
  <c r="F283" i="1"/>
  <c r="P283" i="1" s="1"/>
  <c r="C283" i="1"/>
  <c r="A283" i="1"/>
  <c r="P282" i="1"/>
  <c r="O282" i="1"/>
  <c r="N282" i="1"/>
  <c r="M282" i="1"/>
  <c r="F282" i="1"/>
  <c r="C282" i="1"/>
  <c r="A282" i="1"/>
  <c r="O281" i="1"/>
  <c r="N281" i="1"/>
  <c r="M281" i="1"/>
  <c r="F281" i="1"/>
  <c r="P281" i="1" s="1"/>
  <c r="C281" i="1"/>
  <c r="A281" i="1"/>
  <c r="O280" i="1"/>
  <c r="N280" i="1"/>
  <c r="M280" i="1"/>
  <c r="F280" i="1"/>
  <c r="P280" i="1" s="1"/>
  <c r="C280" i="1"/>
  <c r="A280" i="1"/>
  <c r="P279" i="1"/>
  <c r="O279" i="1"/>
  <c r="N279" i="1"/>
  <c r="M279" i="1"/>
  <c r="F279" i="1"/>
  <c r="C279" i="1"/>
  <c r="A279" i="1"/>
  <c r="P278" i="1"/>
  <c r="O278" i="1"/>
  <c r="N278" i="1"/>
  <c r="M278" i="1"/>
  <c r="F278" i="1"/>
  <c r="C278" i="1"/>
  <c r="A278" i="1"/>
  <c r="P277" i="1"/>
  <c r="O277" i="1"/>
  <c r="N277" i="1"/>
  <c r="M277" i="1"/>
  <c r="F277" i="1"/>
  <c r="C277" i="1"/>
  <c r="A277" i="1"/>
  <c r="O276" i="1"/>
  <c r="N276" i="1"/>
  <c r="M276" i="1"/>
  <c r="F276" i="1"/>
  <c r="P276" i="1" s="1"/>
  <c r="C276" i="1"/>
  <c r="A276" i="1"/>
  <c r="O275" i="1"/>
  <c r="N275" i="1"/>
  <c r="M275" i="1"/>
  <c r="F275" i="1"/>
  <c r="P275" i="1" s="1"/>
  <c r="C275" i="1"/>
  <c r="A275" i="1"/>
  <c r="P274" i="1"/>
  <c r="O274" i="1"/>
  <c r="N274" i="1"/>
  <c r="M274" i="1"/>
  <c r="F274" i="1"/>
  <c r="C274" i="1"/>
  <c r="A274" i="1"/>
  <c r="P273" i="1"/>
  <c r="O273" i="1"/>
  <c r="N273" i="1"/>
  <c r="M273" i="1"/>
  <c r="F273" i="1"/>
  <c r="C273" i="1"/>
  <c r="A273" i="1"/>
  <c r="O272" i="1"/>
  <c r="N272" i="1"/>
  <c r="M272" i="1"/>
  <c r="F272" i="1"/>
  <c r="P272" i="1" s="1"/>
  <c r="C272" i="1"/>
  <c r="A272" i="1"/>
  <c r="O271" i="1"/>
  <c r="N271" i="1"/>
  <c r="M271" i="1"/>
  <c r="F271" i="1"/>
  <c r="P271" i="1" s="1"/>
  <c r="C271" i="1"/>
  <c r="A271" i="1"/>
  <c r="P270" i="1"/>
  <c r="O270" i="1"/>
  <c r="N270" i="1"/>
  <c r="M270" i="1"/>
  <c r="F270" i="1"/>
  <c r="C270" i="1"/>
  <c r="A270" i="1"/>
  <c r="P269" i="1"/>
  <c r="O269" i="1"/>
  <c r="N269" i="1"/>
  <c r="M269" i="1"/>
  <c r="F269" i="1"/>
  <c r="C269" i="1"/>
  <c r="A269" i="1"/>
  <c r="O268" i="1"/>
  <c r="N268" i="1"/>
  <c r="M268" i="1"/>
  <c r="F268" i="1"/>
  <c r="P268" i="1" s="1"/>
  <c r="C268" i="1"/>
  <c r="A268" i="1"/>
  <c r="O267" i="1"/>
  <c r="N267" i="1"/>
  <c r="M267" i="1"/>
  <c r="F267" i="1"/>
  <c r="P267" i="1" s="1"/>
  <c r="C267" i="1"/>
  <c r="A267" i="1"/>
  <c r="O266" i="1"/>
  <c r="N266" i="1"/>
  <c r="M266" i="1"/>
  <c r="F266" i="1"/>
  <c r="P266" i="1" s="1"/>
  <c r="C266" i="1"/>
  <c r="A266" i="1"/>
  <c r="P265" i="1"/>
  <c r="O265" i="1"/>
  <c r="N265" i="1"/>
  <c r="M265" i="1"/>
  <c r="F265" i="1"/>
  <c r="C265" i="1"/>
  <c r="A265" i="1"/>
  <c r="O264" i="1"/>
  <c r="N264" i="1"/>
  <c r="M264" i="1"/>
  <c r="F264" i="1"/>
  <c r="P264" i="1" s="1"/>
  <c r="C264" i="1"/>
  <c r="A264" i="1"/>
  <c r="O263" i="1"/>
  <c r="N263" i="1"/>
  <c r="M263" i="1"/>
  <c r="F263" i="1"/>
  <c r="P263" i="1" s="1"/>
  <c r="C263" i="1"/>
  <c r="A263" i="1"/>
  <c r="O262" i="1"/>
  <c r="N262" i="1"/>
  <c r="M262" i="1"/>
  <c r="F262" i="1"/>
  <c r="P262" i="1" s="1"/>
  <c r="C262" i="1"/>
  <c r="A262" i="1"/>
  <c r="O261" i="1"/>
  <c r="N261" i="1"/>
  <c r="M261" i="1"/>
  <c r="F261" i="1"/>
  <c r="P261" i="1" s="1"/>
  <c r="C261" i="1"/>
  <c r="A261" i="1"/>
  <c r="P260" i="1"/>
  <c r="O260" i="1"/>
  <c r="N260" i="1"/>
  <c r="M260" i="1"/>
  <c r="F260" i="1"/>
  <c r="C260" i="1"/>
  <c r="A260" i="1"/>
  <c r="O259" i="1"/>
  <c r="N259" i="1"/>
  <c r="M259" i="1"/>
  <c r="F259" i="1"/>
  <c r="P259" i="1" s="1"/>
  <c r="C259" i="1"/>
  <c r="A259" i="1"/>
  <c r="O258" i="1"/>
  <c r="N258" i="1"/>
  <c r="M258" i="1"/>
  <c r="F258" i="1"/>
  <c r="P258" i="1" s="1"/>
  <c r="C258" i="1"/>
  <c r="A258" i="1"/>
  <c r="P257" i="1"/>
  <c r="O257" i="1"/>
  <c r="N257" i="1"/>
  <c r="M257" i="1"/>
  <c r="F257" i="1"/>
  <c r="C257" i="1"/>
  <c r="A257" i="1"/>
  <c r="O256" i="1"/>
  <c r="N256" i="1"/>
  <c r="M256" i="1"/>
  <c r="F256" i="1"/>
  <c r="P256" i="1" s="1"/>
  <c r="C256" i="1"/>
  <c r="A256" i="1"/>
  <c r="O255" i="1"/>
  <c r="N255" i="1"/>
  <c r="M255" i="1"/>
  <c r="F255" i="1"/>
  <c r="P255" i="1" s="1"/>
  <c r="C255" i="1"/>
  <c r="A255" i="1"/>
  <c r="P254" i="1"/>
  <c r="O254" i="1"/>
  <c r="N254" i="1"/>
  <c r="M254" i="1"/>
  <c r="F254" i="1"/>
  <c r="C254" i="1"/>
  <c r="A254" i="1"/>
  <c r="P253" i="1"/>
  <c r="O253" i="1"/>
  <c r="N253" i="1"/>
  <c r="M253" i="1"/>
  <c r="F253" i="1"/>
  <c r="C253" i="1"/>
  <c r="A253" i="1"/>
  <c r="P252" i="1"/>
  <c r="O252" i="1"/>
  <c r="N252" i="1"/>
  <c r="M252" i="1"/>
  <c r="F252" i="1"/>
  <c r="C252" i="1"/>
  <c r="A252" i="1"/>
  <c r="O251" i="1"/>
  <c r="N251" i="1"/>
  <c r="M251" i="1"/>
  <c r="F251" i="1"/>
  <c r="P251" i="1" s="1"/>
  <c r="C251" i="1"/>
  <c r="A251" i="1"/>
  <c r="O250" i="1"/>
  <c r="N250" i="1"/>
  <c r="M250" i="1"/>
  <c r="F250" i="1"/>
  <c r="P250" i="1" s="1"/>
  <c r="C250" i="1"/>
  <c r="A250" i="1"/>
  <c r="P249" i="1"/>
  <c r="O249" i="1"/>
  <c r="N249" i="1"/>
  <c r="M249" i="1"/>
  <c r="F249" i="1"/>
  <c r="C249" i="1"/>
  <c r="A249" i="1"/>
  <c r="P248" i="1"/>
  <c r="O248" i="1"/>
  <c r="N248" i="1"/>
  <c r="M248" i="1"/>
  <c r="F248" i="1"/>
  <c r="C248" i="1"/>
  <c r="A248" i="1"/>
  <c r="O247" i="1"/>
  <c r="N247" i="1"/>
  <c r="M247" i="1"/>
  <c r="F247" i="1"/>
  <c r="P247" i="1" s="1"/>
  <c r="C247" i="1"/>
  <c r="A247" i="1"/>
  <c r="O246" i="1"/>
  <c r="N246" i="1"/>
  <c r="M246" i="1"/>
  <c r="F246" i="1"/>
  <c r="P246" i="1" s="1"/>
  <c r="C246" i="1"/>
  <c r="A246" i="1"/>
  <c r="P245" i="1"/>
  <c r="O245" i="1"/>
  <c r="N245" i="1"/>
  <c r="M245" i="1"/>
  <c r="F245" i="1"/>
  <c r="C245" i="1"/>
  <c r="A245" i="1"/>
  <c r="P244" i="1"/>
  <c r="O244" i="1"/>
  <c r="N244" i="1"/>
  <c r="M244" i="1"/>
  <c r="F244" i="1"/>
  <c r="C244" i="1"/>
  <c r="A244" i="1"/>
  <c r="O243" i="1"/>
  <c r="N243" i="1"/>
  <c r="M243" i="1"/>
  <c r="F243" i="1"/>
  <c r="P243" i="1" s="1"/>
  <c r="C243" i="1"/>
  <c r="A243" i="1"/>
  <c r="O242" i="1"/>
  <c r="N242" i="1"/>
  <c r="M242" i="1"/>
  <c r="F242" i="1"/>
  <c r="P242" i="1" s="1"/>
  <c r="C242" i="1"/>
  <c r="A242" i="1"/>
  <c r="O241" i="1"/>
  <c r="N241" i="1"/>
  <c r="M241" i="1"/>
  <c r="F241" i="1"/>
  <c r="P241" i="1" s="1"/>
  <c r="C241" i="1"/>
  <c r="A241" i="1"/>
  <c r="P240" i="1"/>
  <c r="O240" i="1"/>
  <c r="N240" i="1"/>
  <c r="M240" i="1"/>
  <c r="F240" i="1"/>
  <c r="C240" i="1"/>
  <c r="A240" i="1"/>
  <c r="O239" i="1"/>
  <c r="N239" i="1"/>
  <c r="M239" i="1"/>
  <c r="F239" i="1"/>
  <c r="P239" i="1" s="1"/>
  <c r="C239" i="1"/>
  <c r="A239" i="1"/>
  <c r="O238" i="1"/>
  <c r="N238" i="1"/>
  <c r="M238" i="1"/>
  <c r="F238" i="1"/>
  <c r="P238" i="1" s="1"/>
  <c r="C238" i="1"/>
  <c r="A238" i="1"/>
  <c r="O237" i="1"/>
  <c r="N237" i="1"/>
  <c r="M237" i="1"/>
  <c r="F237" i="1"/>
  <c r="P237" i="1" s="1"/>
  <c r="C237" i="1"/>
  <c r="A237" i="1"/>
  <c r="O236" i="1"/>
  <c r="N236" i="1"/>
  <c r="M236" i="1"/>
  <c r="F236" i="1"/>
  <c r="P236" i="1" s="1"/>
  <c r="C236" i="1"/>
  <c r="A236" i="1"/>
  <c r="P235" i="1"/>
  <c r="O235" i="1"/>
  <c r="N235" i="1"/>
  <c r="M235" i="1"/>
  <c r="F235" i="1"/>
  <c r="C235" i="1"/>
  <c r="A235" i="1"/>
  <c r="O234" i="1"/>
  <c r="N234" i="1"/>
  <c r="M234" i="1"/>
  <c r="F234" i="1"/>
  <c r="P234" i="1" s="1"/>
  <c r="C234" i="1"/>
  <c r="A234" i="1"/>
  <c r="O233" i="1"/>
  <c r="N233" i="1"/>
  <c r="M233" i="1"/>
  <c r="F233" i="1"/>
  <c r="P233" i="1" s="1"/>
  <c r="C233" i="1"/>
  <c r="A233" i="1"/>
  <c r="P232" i="1"/>
  <c r="O232" i="1"/>
  <c r="N232" i="1"/>
  <c r="M232" i="1"/>
  <c r="F232" i="1"/>
  <c r="C232" i="1"/>
  <c r="A232" i="1"/>
  <c r="O231" i="1"/>
  <c r="N231" i="1"/>
  <c r="M231" i="1"/>
  <c r="F231" i="1"/>
  <c r="P231" i="1" s="1"/>
  <c r="C231" i="1"/>
  <c r="A231" i="1"/>
  <c r="O230" i="1"/>
  <c r="N230" i="1"/>
  <c r="M230" i="1"/>
  <c r="F230" i="1"/>
  <c r="P230" i="1" s="1"/>
  <c r="C230" i="1"/>
  <c r="A230" i="1"/>
  <c r="P229" i="1"/>
  <c r="O229" i="1"/>
  <c r="N229" i="1"/>
  <c r="M229" i="1"/>
  <c r="F229" i="1"/>
  <c r="C229" i="1"/>
  <c r="A229" i="1"/>
  <c r="P228" i="1"/>
  <c r="O228" i="1"/>
  <c r="N228" i="1"/>
  <c r="M228" i="1"/>
  <c r="F228" i="1"/>
  <c r="C228" i="1"/>
  <c r="A228" i="1"/>
  <c r="P227" i="1"/>
  <c r="O227" i="1"/>
  <c r="N227" i="1"/>
  <c r="M227" i="1"/>
  <c r="F227" i="1"/>
  <c r="C227" i="1"/>
  <c r="A227" i="1"/>
  <c r="O226" i="1"/>
  <c r="N226" i="1"/>
  <c r="M226" i="1"/>
  <c r="F226" i="1"/>
  <c r="P226" i="1" s="1"/>
  <c r="C226" i="1"/>
  <c r="A226" i="1"/>
  <c r="O225" i="1"/>
  <c r="N225" i="1"/>
  <c r="M225" i="1"/>
  <c r="F225" i="1"/>
  <c r="P225" i="1" s="1"/>
  <c r="C225" i="1"/>
  <c r="A225" i="1"/>
  <c r="P224" i="1"/>
  <c r="O224" i="1"/>
  <c r="N224" i="1"/>
  <c r="M224" i="1"/>
  <c r="F224" i="1"/>
  <c r="C224" i="1"/>
  <c r="A224" i="1"/>
  <c r="P223" i="1"/>
  <c r="O223" i="1"/>
  <c r="N223" i="1"/>
  <c r="M223" i="1"/>
  <c r="F223" i="1"/>
  <c r="C223" i="1"/>
  <c r="A223" i="1"/>
  <c r="O222" i="1"/>
  <c r="N222" i="1"/>
  <c r="M222" i="1"/>
  <c r="F222" i="1"/>
  <c r="P222" i="1" s="1"/>
  <c r="C222" i="1"/>
  <c r="A222" i="1"/>
  <c r="O221" i="1"/>
  <c r="N221" i="1"/>
  <c r="M221" i="1"/>
  <c r="F221" i="1"/>
  <c r="P221" i="1" s="1"/>
  <c r="C221" i="1"/>
  <c r="A221" i="1"/>
  <c r="P220" i="1"/>
  <c r="O220" i="1"/>
  <c r="N220" i="1"/>
  <c r="M220" i="1"/>
  <c r="F220" i="1"/>
  <c r="C220" i="1"/>
  <c r="A220" i="1"/>
  <c r="P219" i="1"/>
  <c r="O219" i="1"/>
  <c r="N219" i="1"/>
  <c r="M219" i="1"/>
  <c r="F219" i="1"/>
  <c r="C219" i="1"/>
  <c r="A219" i="1"/>
  <c r="O218" i="1"/>
  <c r="N218" i="1"/>
  <c r="M218" i="1"/>
  <c r="F218" i="1"/>
  <c r="P218" i="1" s="1"/>
  <c r="C218" i="1"/>
  <c r="A218" i="1"/>
  <c r="O217" i="1"/>
  <c r="N217" i="1"/>
  <c r="M217" i="1"/>
  <c r="F217" i="1"/>
  <c r="P217" i="1" s="1"/>
  <c r="C217" i="1"/>
  <c r="A217" i="1"/>
  <c r="O216" i="1"/>
  <c r="N216" i="1"/>
  <c r="M216" i="1"/>
  <c r="F216" i="1"/>
  <c r="P216" i="1" s="1"/>
  <c r="C216" i="1"/>
  <c r="A216" i="1"/>
  <c r="P215" i="1"/>
  <c r="O215" i="1"/>
  <c r="N215" i="1"/>
  <c r="M215" i="1"/>
  <c r="F215" i="1"/>
  <c r="C215" i="1"/>
  <c r="A215" i="1"/>
  <c r="O214" i="1"/>
  <c r="N214" i="1"/>
  <c r="M214" i="1"/>
  <c r="F214" i="1"/>
  <c r="P214" i="1" s="1"/>
  <c r="C214" i="1"/>
  <c r="A214" i="1"/>
  <c r="O213" i="1"/>
  <c r="N213" i="1"/>
  <c r="M213" i="1"/>
  <c r="F213" i="1"/>
  <c r="P213" i="1" s="1"/>
  <c r="C213" i="1"/>
  <c r="A213" i="1"/>
  <c r="O212" i="1"/>
  <c r="N212" i="1"/>
  <c r="M212" i="1"/>
  <c r="F212" i="1"/>
  <c r="P212" i="1" s="1"/>
  <c r="C212" i="1"/>
  <c r="A212" i="1"/>
  <c r="O211" i="1"/>
  <c r="N211" i="1"/>
  <c r="M211" i="1"/>
  <c r="F211" i="1"/>
  <c r="P211" i="1" s="1"/>
  <c r="C211" i="1"/>
  <c r="A211" i="1"/>
  <c r="P210" i="1"/>
  <c r="O210" i="1"/>
  <c r="N210" i="1"/>
  <c r="M210" i="1"/>
  <c r="F210" i="1"/>
  <c r="C210" i="1"/>
  <c r="A210" i="1"/>
  <c r="O209" i="1"/>
  <c r="N209" i="1"/>
  <c r="M209" i="1"/>
  <c r="F209" i="1"/>
  <c r="P209" i="1" s="1"/>
  <c r="C209" i="1"/>
  <c r="A209" i="1"/>
  <c r="O208" i="1"/>
  <c r="N208" i="1"/>
  <c r="M208" i="1"/>
  <c r="F208" i="1"/>
  <c r="P208" i="1" s="1"/>
  <c r="C208" i="1"/>
  <c r="A208" i="1"/>
  <c r="P207" i="1"/>
  <c r="O207" i="1"/>
  <c r="N207" i="1"/>
  <c r="M207" i="1"/>
  <c r="F207" i="1"/>
  <c r="C207" i="1"/>
  <c r="A207" i="1"/>
  <c r="O206" i="1"/>
  <c r="N206" i="1"/>
  <c r="M206" i="1"/>
  <c r="F206" i="1"/>
  <c r="P206" i="1" s="1"/>
  <c r="C206" i="1"/>
  <c r="A206" i="1"/>
  <c r="O205" i="1"/>
  <c r="N205" i="1"/>
  <c r="M205" i="1"/>
  <c r="F205" i="1"/>
  <c r="P205" i="1" s="1"/>
  <c r="C205" i="1"/>
  <c r="A205" i="1"/>
  <c r="P204" i="1"/>
  <c r="O204" i="1"/>
  <c r="N204" i="1"/>
  <c r="M204" i="1"/>
  <c r="F204" i="1"/>
  <c r="C204" i="1"/>
  <c r="A204" i="1"/>
  <c r="P203" i="1"/>
  <c r="O203" i="1"/>
  <c r="N203" i="1"/>
  <c r="M203" i="1"/>
  <c r="F203" i="1"/>
  <c r="C203" i="1"/>
  <c r="A203" i="1"/>
  <c r="P202" i="1"/>
  <c r="O202" i="1"/>
  <c r="N202" i="1"/>
  <c r="M202" i="1"/>
  <c r="F202" i="1"/>
  <c r="C202" i="1"/>
  <c r="A202" i="1"/>
  <c r="O201" i="1"/>
  <c r="N201" i="1"/>
  <c r="M201" i="1"/>
  <c r="F201" i="1"/>
  <c r="P201" i="1" s="1"/>
  <c r="C201" i="1"/>
  <c r="A201" i="1"/>
  <c r="O200" i="1"/>
  <c r="N200" i="1"/>
  <c r="M200" i="1"/>
  <c r="F200" i="1"/>
  <c r="P200" i="1" s="1"/>
  <c r="C200" i="1"/>
  <c r="A200" i="1"/>
  <c r="P199" i="1"/>
  <c r="O199" i="1"/>
  <c r="N199" i="1"/>
  <c r="M199" i="1"/>
  <c r="F199" i="1"/>
  <c r="C199" i="1"/>
  <c r="A199" i="1"/>
  <c r="P198" i="1"/>
  <c r="O198" i="1"/>
  <c r="N198" i="1"/>
  <c r="M198" i="1"/>
  <c r="F198" i="1"/>
  <c r="C198" i="1"/>
  <c r="A198" i="1"/>
  <c r="O197" i="1"/>
  <c r="N197" i="1"/>
  <c r="M197" i="1"/>
  <c r="F197" i="1"/>
  <c r="P197" i="1" s="1"/>
  <c r="C197" i="1"/>
  <c r="A197" i="1"/>
  <c r="O196" i="1"/>
  <c r="N196" i="1"/>
  <c r="M196" i="1"/>
  <c r="F196" i="1"/>
  <c r="P196" i="1" s="1"/>
  <c r="C196" i="1"/>
  <c r="A196" i="1"/>
  <c r="P195" i="1"/>
  <c r="O195" i="1"/>
  <c r="N195" i="1"/>
  <c r="M195" i="1"/>
  <c r="F195" i="1"/>
  <c r="C195" i="1"/>
  <c r="A195" i="1"/>
  <c r="P194" i="1"/>
  <c r="O194" i="1"/>
  <c r="N194" i="1"/>
  <c r="M194" i="1"/>
  <c r="F194" i="1"/>
  <c r="C194" i="1"/>
  <c r="A194" i="1"/>
  <c r="O193" i="1"/>
  <c r="N193" i="1"/>
  <c r="M193" i="1"/>
  <c r="F193" i="1"/>
  <c r="P193" i="1" s="1"/>
  <c r="C193" i="1"/>
  <c r="A193" i="1"/>
  <c r="O192" i="1"/>
  <c r="N192" i="1"/>
  <c r="M192" i="1"/>
  <c r="F192" i="1"/>
  <c r="P192" i="1" s="1"/>
  <c r="C192" i="1"/>
  <c r="A192" i="1"/>
  <c r="O191" i="1"/>
  <c r="N191" i="1"/>
  <c r="M191" i="1"/>
  <c r="F191" i="1"/>
  <c r="P191" i="1" s="1"/>
  <c r="C191" i="1"/>
  <c r="A191" i="1"/>
  <c r="P190" i="1"/>
  <c r="O190" i="1"/>
  <c r="N190" i="1"/>
  <c r="M190" i="1"/>
  <c r="F190" i="1"/>
  <c r="C190" i="1"/>
  <c r="A190" i="1"/>
  <c r="O189" i="1"/>
  <c r="N189" i="1"/>
  <c r="M189" i="1"/>
  <c r="F189" i="1"/>
  <c r="P189" i="1" s="1"/>
  <c r="C189" i="1"/>
  <c r="A189" i="1"/>
  <c r="O188" i="1"/>
  <c r="N188" i="1"/>
  <c r="M188" i="1"/>
  <c r="F188" i="1"/>
  <c r="P188" i="1" s="1"/>
  <c r="C188" i="1"/>
  <c r="A188" i="1"/>
  <c r="O187" i="1"/>
  <c r="N187" i="1"/>
  <c r="M187" i="1"/>
  <c r="F187" i="1"/>
  <c r="P187" i="1" s="1"/>
  <c r="C187" i="1"/>
  <c r="A187" i="1"/>
  <c r="O186" i="1"/>
  <c r="N186" i="1"/>
  <c r="M186" i="1"/>
  <c r="F186" i="1"/>
  <c r="P186" i="1" s="1"/>
  <c r="C186" i="1"/>
  <c r="A186" i="1"/>
  <c r="P185" i="1"/>
  <c r="O185" i="1"/>
  <c r="N185" i="1"/>
  <c r="M185" i="1"/>
  <c r="F185" i="1"/>
  <c r="C185" i="1"/>
  <c r="A185" i="1"/>
  <c r="O184" i="1"/>
  <c r="N184" i="1"/>
  <c r="M184" i="1"/>
  <c r="F184" i="1"/>
  <c r="P184" i="1" s="1"/>
  <c r="C184" i="1"/>
  <c r="A184" i="1"/>
  <c r="O183" i="1"/>
  <c r="N183" i="1"/>
  <c r="M183" i="1"/>
  <c r="F183" i="1"/>
  <c r="P183" i="1" s="1"/>
  <c r="C183" i="1"/>
  <c r="A183" i="1"/>
  <c r="P182" i="1"/>
  <c r="O182" i="1"/>
  <c r="N182" i="1"/>
  <c r="M182" i="1"/>
  <c r="F182" i="1"/>
  <c r="C182" i="1"/>
  <c r="A182" i="1"/>
  <c r="O181" i="1"/>
  <c r="N181" i="1"/>
  <c r="M181" i="1"/>
  <c r="F181" i="1"/>
  <c r="P181" i="1" s="1"/>
  <c r="C181" i="1"/>
  <c r="A181" i="1"/>
  <c r="O180" i="1"/>
  <c r="N180" i="1"/>
  <c r="M180" i="1"/>
  <c r="F180" i="1"/>
  <c r="P180" i="1" s="1"/>
  <c r="C180" i="1"/>
  <c r="A180" i="1"/>
  <c r="P179" i="1"/>
  <c r="O179" i="1"/>
  <c r="N179" i="1"/>
  <c r="M179" i="1"/>
  <c r="F179" i="1"/>
  <c r="C179" i="1"/>
  <c r="A179" i="1"/>
  <c r="P178" i="1"/>
  <c r="O178" i="1"/>
  <c r="N178" i="1"/>
  <c r="M178" i="1"/>
  <c r="F178" i="1"/>
  <c r="C178" i="1"/>
  <c r="A178" i="1"/>
  <c r="P177" i="1"/>
  <c r="O177" i="1"/>
  <c r="N177" i="1"/>
  <c r="M177" i="1"/>
  <c r="F177" i="1"/>
  <c r="C177" i="1"/>
  <c r="A177" i="1"/>
  <c r="O176" i="1"/>
  <c r="N176" i="1"/>
  <c r="M176" i="1"/>
  <c r="F176" i="1"/>
  <c r="P176" i="1" s="1"/>
  <c r="C176" i="1"/>
  <c r="A176" i="1"/>
  <c r="O175" i="1"/>
  <c r="N175" i="1"/>
  <c r="M175" i="1"/>
  <c r="F175" i="1"/>
  <c r="P175" i="1" s="1"/>
  <c r="C175" i="1"/>
  <c r="A175" i="1"/>
  <c r="P174" i="1"/>
  <c r="O174" i="1"/>
  <c r="N174" i="1"/>
  <c r="M174" i="1"/>
  <c r="F174" i="1"/>
  <c r="C174" i="1"/>
  <c r="A174" i="1"/>
  <c r="P173" i="1"/>
  <c r="O173" i="1"/>
  <c r="N173" i="1"/>
  <c r="M173" i="1"/>
  <c r="F173" i="1"/>
  <c r="C173" i="1"/>
  <c r="A173" i="1"/>
  <c r="O172" i="1"/>
  <c r="N172" i="1"/>
  <c r="M172" i="1"/>
  <c r="F172" i="1"/>
  <c r="P172" i="1" s="1"/>
  <c r="C172" i="1"/>
  <c r="A172" i="1"/>
  <c r="O171" i="1"/>
  <c r="N171" i="1"/>
  <c r="M171" i="1"/>
  <c r="F171" i="1"/>
  <c r="P171" i="1" s="1"/>
  <c r="C171" i="1"/>
  <c r="A171" i="1"/>
  <c r="P170" i="1"/>
  <c r="O170" i="1"/>
  <c r="N170" i="1"/>
  <c r="M170" i="1"/>
  <c r="F170" i="1"/>
  <c r="C170" i="1"/>
  <c r="A170" i="1"/>
  <c r="P169" i="1"/>
  <c r="O169" i="1"/>
  <c r="N169" i="1"/>
  <c r="M169" i="1"/>
  <c r="F169" i="1"/>
  <c r="C169" i="1"/>
  <c r="A169" i="1"/>
  <c r="O168" i="1"/>
  <c r="N168" i="1"/>
  <c r="M168" i="1"/>
  <c r="F168" i="1"/>
  <c r="P168" i="1" s="1"/>
  <c r="C168" i="1"/>
  <c r="A168" i="1"/>
  <c r="O167" i="1"/>
  <c r="N167" i="1"/>
  <c r="M167" i="1"/>
  <c r="F167" i="1"/>
  <c r="P167" i="1" s="1"/>
  <c r="C167" i="1"/>
  <c r="A167" i="1"/>
  <c r="O166" i="1"/>
  <c r="N166" i="1"/>
  <c r="M166" i="1"/>
  <c r="F166" i="1"/>
  <c r="P166" i="1" s="1"/>
  <c r="C166" i="1"/>
  <c r="A166" i="1"/>
  <c r="P165" i="1"/>
  <c r="O165" i="1"/>
  <c r="N165" i="1"/>
  <c r="M165" i="1"/>
  <c r="F165" i="1"/>
  <c r="C165" i="1"/>
  <c r="A165" i="1"/>
  <c r="O164" i="1"/>
  <c r="N164" i="1"/>
  <c r="M164" i="1"/>
  <c r="F164" i="1"/>
  <c r="P164" i="1" s="1"/>
  <c r="C164" i="1"/>
  <c r="A164" i="1"/>
  <c r="O163" i="1"/>
  <c r="N163" i="1"/>
  <c r="M163" i="1"/>
  <c r="F163" i="1"/>
  <c r="P163" i="1" s="1"/>
  <c r="C163" i="1"/>
  <c r="A163" i="1"/>
  <c r="O162" i="1"/>
  <c r="N162" i="1"/>
  <c r="M162" i="1"/>
  <c r="F162" i="1"/>
  <c r="P162" i="1" s="1"/>
  <c r="C162" i="1"/>
  <c r="A162" i="1"/>
  <c r="O161" i="1"/>
  <c r="N161" i="1"/>
  <c r="M161" i="1"/>
  <c r="F161" i="1"/>
  <c r="P161" i="1" s="1"/>
  <c r="C161" i="1"/>
  <c r="A161" i="1"/>
  <c r="P160" i="1"/>
  <c r="O160" i="1"/>
  <c r="N160" i="1"/>
  <c r="M160" i="1"/>
  <c r="F160" i="1"/>
  <c r="C160" i="1"/>
  <c r="A160" i="1"/>
  <c r="O159" i="1"/>
  <c r="N159" i="1"/>
  <c r="M159" i="1"/>
  <c r="F159" i="1"/>
  <c r="P159" i="1" s="1"/>
  <c r="C159" i="1"/>
  <c r="A159" i="1"/>
  <c r="O158" i="1"/>
  <c r="N158" i="1"/>
  <c r="M158" i="1"/>
  <c r="F158" i="1"/>
  <c r="P158" i="1" s="1"/>
  <c r="C158" i="1"/>
  <c r="A158" i="1"/>
  <c r="P157" i="1"/>
  <c r="O157" i="1"/>
  <c r="N157" i="1"/>
  <c r="M157" i="1"/>
  <c r="F157" i="1"/>
  <c r="C157" i="1"/>
  <c r="A157" i="1"/>
  <c r="O156" i="1"/>
  <c r="N156" i="1"/>
  <c r="M156" i="1"/>
  <c r="F156" i="1"/>
  <c r="P156" i="1" s="1"/>
  <c r="C156" i="1"/>
  <c r="A156" i="1"/>
  <c r="O155" i="1"/>
  <c r="N155" i="1"/>
  <c r="M155" i="1"/>
  <c r="F155" i="1"/>
  <c r="P155" i="1" s="1"/>
  <c r="C155" i="1"/>
  <c r="A155" i="1"/>
  <c r="P154" i="1"/>
  <c r="O154" i="1"/>
  <c r="N154" i="1"/>
  <c r="M154" i="1"/>
  <c r="F154" i="1"/>
  <c r="C154" i="1"/>
  <c r="A154" i="1"/>
  <c r="P153" i="1"/>
  <c r="O153" i="1"/>
  <c r="N153" i="1"/>
  <c r="M153" i="1"/>
  <c r="F153" i="1"/>
  <c r="C153" i="1"/>
  <c r="A153" i="1"/>
  <c r="P152" i="1"/>
  <c r="O152" i="1"/>
  <c r="N152" i="1"/>
  <c r="M152" i="1"/>
  <c r="F152" i="1"/>
  <c r="C152" i="1"/>
  <c r="A152" i="1"/>
  <c r="O151" i="1"/>
  <c r="N151" i="1"/>
  <c r="M151" i="1"/>
  <c r="F151" i="1"/>
  <c r="P151" i="1" s="1"/>
  <c r="C151" i="1"/>
  <c r="A151" i="1"/>
  <c r="O150" i="1"/>
  <c r="N150" i="1"/>
  <c r="M150" i="1"/>
  <c r="F150" i="1"/>
  <c r="P150" i="1" s="1"/>
  <c r="C150" i="1"/>
  <c r="A150" i="1"/>
  <c r="P149" i="1"/>
  <c r="O149" i="1"/>
  <c r="N149" i="1"/>
  <c r="M149" i="1"/>
  <c r="F149" i="1"/>
  <c r="C149" i="1"/>
  <c r="A149" i="1"/>
  <c r="P148" i="1"/>
  <c r="O148" i="1"/>
  <c r="N148" i="1"/>
  <c r="M148" i="1"/>
  <c r="F148" i="1"/>
  <c r="C148" i="1"/>
  <c r="A148" i="1"/>
  <c r="O147" i="1"/>
  <c r="N147" i="1"/>
  <c r="M147" i="1"/>
  <c r="F147" i="1"/>
  <c r="P147" i="1" s="1"/>
  <c r="C147" i="1"/>
  <c r="A147" i="1"/>
  <c r="O146" i="1"/>
  <c r="N146" i="1"/>
  <c r="M146" i="1"/>
  <c r="F146" i="1"/>
  <c r="P146" i="1" s="1"/>
  <c r="C146" i="1"/>
  <c r="A146" i="1"/>
  <c r="P145" i="1"/>
  <c r="O145" i="1"/>
  <c r="N145" i="1"/>
  <c r="M145" i="1"/>
  <c r="F145" i="1"/>
  <c r="C145" i="1"/>
  <c r="A145" i="1"/>
  <c r="P144" i="1"/>
  <c r="O144" i="1"/>
  <c r="N144" i="1"/>
  <c r="M144" i="1"/>
  <c r="F144" i="1"/>
  <c r="C144" i="1"/>
  <c r="A144" i="1"/>
  <c r="O143" i="1"/>
  <c r="N143" i="1"/>
  <c r="M143" i="1"/>
  <c r="F143" i="1"/>
  <c r="P143" i="1" s="1"/>
  <c r="C143" i="1"/>
  <c r="A143" i="1"/>
  <c r="O142" i="1"/>
  <c r="N142" i="1"/>
  <c r="M142" i="1"/>
  <c r="F142" i="1"/>
  <c r="P142" i="1" s="1"/>
  <c r="C142" i="1"/>
  <c r="A142" i="1"/>
  <c r="O141" i="1"/>
  <c r="N141" i="1"/>
  <c r="M141" i="1"/>
  <c r="F141" i="1"/>
  <c r="P141" i="1" s="1"/>
  <c r="C141" i="1"/>
  <c r="A141" i="1"/>
  <c r="P140" i="1"/>
  <c r="O140" i="1"/>
  <c r="N140" i="1"/>
  <c r="M140" i="1"/>
  <c r="F140" i="1"/>
  <c r="C140" i="1"/>
  <c r="A140" i="1"/>
  <c r="O139" i="1"/>
  <c r="N139" i="1"/>
  <c r="M139" i="1"/>
  <c r="F139" i="1"/>
  <c r="P139" i="1" s="1"/>
  <c r="C139" i="1"/>
  <c r="A139" i="1"/>
  <c r="O138" i="1"/>
  <c r="N138" i="1"/>
  <c r="M138" i="1"/>
  <c r="F138" i="1"/>
  <c r="P138" i="1" s="1"/>
  <c r="C138" i="1"/>
  <c r="A138" i="1"/>
  <c r="O137" i="1"/>
  <c r="N137" i="1"/>
  <c r="M137" i="1"/>
  <c r="F137" i="1"/>
  <c r="P137" i="1" s="1"/>
  <c r="C137" i="1"/>
  <c r="A137" i="1"/>
  <c r="O136" i="1"/>
  <c r="N136" i="1"/>
  <c r="M136" i="1"/>
  <c r="F136" i="1"/>
  <c r="P136" i="1" s="1"/>
  <c r="C136" i="1"/>
  <c r="A136" i="1"/>
  <c r="P135" i="1"/>
  <c r="O135" i="1"/>
  <c r="N135" i="1"/>
  <c r="M135" i="1"/>
  <c r="F135" i="1"/>
  <c r="C135" i="1"/>
  <c r="A135" i="1"/>
  <c r="O134" i="1"/>
  <c r="N134" i="1"/>
  <c r="M134" i="1"/>
  <c r="F134" i="1"/>
  <c r="P134" i="1" s="1"/>
  <c r="C134" i="1"/>
  <c r="A134" i="1"/>
  <c r="O133" i="1"/>
  <c r="N133" i="1"/>
  <c r="M133" i="1"/>
  <c r="F133" i="1"/>
  <c r="P133" i="1" s="1"/>
  <c r="C133" i="1"/>
  <c r="A133" i="1"/>
  <c r="P132" i="1"/>
  <c r="O132" i="1"/>
  <c r="N132" i="1"/>
  <c r="M132" i="1"/>
  <c r="F132" i="1"/>
  <c r="C132" i="1"/>
  <c r="A132" i="1"/>
  <c r="O131" i="1"/>
  <c r="N131" i="1"/>
  <c r="M131" i="1"/>
  <c r="F131" i="1"/>
  <c r="P131" i="1" s="1"/>
  <c r="C131" i="1"/>
  <c r="A131" i="1"/>
  <c r="O130" i="1"/>
  <c r="N130" i="1"/>
  <c r="M130" i="1"/>
  <c r="F130" i="1"/>
  <c r="P130" i="1" s="1"/>
  <c r="C130" i="1"/>
  <c r="A130" i="1"/>
  <c r="P129" i="1"/>
  <c r="O129" i="1"/>
  <c r="N129" i="1"/>
  <c r="M129" i="1"/>
  <c r="F129" i="1"/>
  <c r="C129" i="1"/>
  <c r="A129" i="1"/>
  <c r="P128" i="1"/>
  <c r="O128" i="1"/>
  <c r="N128" i="1"/>
  <c r="M128" i="1"/>
  <c r="F128" i="1"/>
  <c r="C128" i="1"/>
  <c r="A128" i="1"/>
  <c r="P127" i="1"/>
  <c r="O127" i="1"/>
  <c r="N127" i="1"/>
  <c r="M127" i="1"/>
  <c r="F127" i="1"/>
  <c r="C127" i="1"/>
  <c r="A127" i="1"/>
  <c r="O126" i="1"/>
  <c r="N126" i="1"/>
  <c r="M126" i="1"/>
  <c r="F126" i="1"/>
  <c r="P126" i="1" s="1"/>
  <c r="C126" i="1"/>
  <c r="A126" i="1"/>
  <c r="O125" i="1"/>
  <c r="N125" i="1"/>
  <c r="M125" i="1"/>
  <c r="F125" i="1"/>
  <c r="P125" i="1" s="1"/>
  <c r="C125" i="1"/>
  <c r="A125" i="1"/>
  <c r="P124" i="1"/>
  <c r="O124" i="1"/>
  <c r="N124" i="1"/>
  <c r="M124" i="1"/>
  <c r="F124" i="1"/>
  <c r="C124" i="1"/>
  <c r="A124" i="1"/>
  <c r="P123" i="1"/>
  <c r="O123" i="1"/>
  <c r="N123" i="1"/>
  <c r="M123" i="1"/>
  <c r="F123" i="1"/>
  <c r="C123" i="1"/>
  <c r="A123" i="1"/>
  <c r="O122" i="1"/>
  <c r="N122" i="1"/>
  <c r="M122" i="1"/>
  <c r="F122" i="1"/>
  <c r="P122" i="1" s="1"/>
  <c r="C122" i="1"/>
  <c r="A122" i="1"/>
  <c r="O121" i="1"/>
  <c r="N121" i="1"/>
  <c r="M121" i="1"/>
  <c r="F121" i="1"/>
  <c r="P121" i="1" s="1"/>
  <c r="C121" i="1"/>
  <c r="A121" i="1"/>
  <c r="O120" i="1"/>
  <c r="N120" i="1"/>
  <c r="M120" i="1"/>
  <c r="F120" i="1"/>
  <c r="P120" i="1" s="1"/>
  <c r="C120" i="1"/>
  <c r="A120" i="1"/>
  <c r="P119" i="1"/>
  <c r="O119" i="1"/>
  <c r="N119" i="1"/>
  <c r="M119" i="1"/>
  <c r="F119" i="1"/>
  <c r="C119" i="1"/>
  <c r="A119" i="1"/>
  <c r="P118" i="1"/>
  <c r="O118" i="1"/>
  <c r="N118" i="1"/>
  <c r="M118" i="1"/>
  <c r="F118" i="1"/>
  <c r="C118" i="1"/>
  <c r="A118" i="1"/>
  <c r="O117" i="1"/>
  <c r="N117" i="1"/>
  <c r="M117" i="1"/>
  <c r="F117" i="1"/>
  <c r="P117" i="1" s="1"/>
  <c r="C117" i="1"/>
  <c r="A117" i="1"/>
  <c r="O116" i="1"/>
  <c r="N116" i="1"/>
  <c r="M116" i="1"/>
  <c r="F116" i="1"/>
  <c r="P116" i="1" s="1"/>
  <c r="C116" i="1"/>
  <c r="A116" i="1"/>
  <c r="O115" i="1"/>
  <c r="N115" i="1"/>
  <c r="M115" i="1"/>
  <c r="F115" i="1"/>
  <c r="P115" i="1" s="1"/>
  <c r="C115" i="1"/>
  <c r="A115" i="1"/>
  <c r="P114" i="1"/>
  <c r="O114" i="1"/>
  <c r="N114" i="1"/>
  <c r="M114" i="1"/>
  <c r="F114" i="1"/>
  <c r="C114" i="1"/>
  <c r="A114" i="1"/>
  <c r="P113" i="1"/>
  <c r="O113" i="1"/>
  <c r="N113" i="1"/>
  <c r="M113" i="1"/>
  <c r="F113" i="1"/>
  <c r="C113" i="1"/>
  <c r="A113" i="1"/>
  <c r="O112" i="1"/>
  <c r="N112" i="1"/>
  <c r="M112" i="1"/>
  <c r="F112" i="1"/>
  <c r="P112" i="1" s="1"/>
  <c r="C112" i="1"/>
  <c r="A112" i="1"/>
  <c r="O111" i="1"/>
  <c r="N111" i="1"/>
  <c r="M111" i="1"/>
  <c r="F111" i="1"/>
  <c r="P111" i="1" s="1"/>
  <c r="C111" i="1"/>
  <c r="A111" i="1"/>
  <c r="O110" i="1"/>
  <c r="N110" i="1"/>
  <c r="M110" i="1"/>
  <c r="F110" i="1"/>
  <c r="P110" i="1" s="1"/>
  <c r="C110" i="1"/>
  <c r="A110" i="1"/>
  <c r="P109" i="1"/>
  <c r="O109" i="1"/>
  <c r="N109" i="1"/>
  <c r="M109" i="1"/>
  <c r="F109" i="1"/>
  <c r="C109" i="1"/>
  <c r="A109" i="1"/>
  <c r="P108" i="1"/>
  <c r="O108" i="1"/>
  <c r="N108" i="1"/>
  <c r="M108" i="1"/>
  <c r="F108" i="1"/>
  <c r="C108" i="1"/>
  <c r="A108" i="1"/>
  <c r="O107" i="1"/>
  <c r="N107" i="1"/>
  <c r="M107" i="1"/>
  <c r="F107" i="1"/>
  <c r="P107" i="1" s="1"/>
  <c r="C107" i="1"/>
  <c r="A107" i="1"/>
  <c r="O106" i="1"/>
  <c r="N106" i="1"/>
  <c r="M106" i="1"/>
  <c r="F106" i="1"/>
  <c r="P106" i="1" s="1"/>
  <c r="C106" i="1"/>
  <c r="A106" i="1"/>
  <c r="O105" i="1"/>
  <c r="N105" i="1"/>
  <c r="M105" i="1"/>
  <c r="F105" i="1"/>
  <c r="P105" i="1" s="1"/>
  <c r="C105" i="1"/>
  <c r="A105" i="1"/>
  <c r="P104" i="1"/>
  <c r="O104" i="1"/>
  <c r="N104" i="1"/>
  <c r="M104" i="1"/>
  <c r="F104" i="1"/>
  <c r="C104" i="1"/>
  <c r="A104" i="1"/>
  <c r="P103" i="1"/>
  <c r="O103" i="1"/>
  <c r="N103" i="1"/>
  <c r="M103" i="1"/>
  <c r="F103" i="1"/>
  <c r="C103" i="1"/>
  <c r="A103" i="1"/>
  <c r="O102" i="1"/>
  <c r="N102" i="1"/>
  <c r="M102" i="1"/>
  <c r="F102" i="1"/>
  <c r="P102" i="1" s="1"/>
  <c r="C102" i="1"/>
  <c r="A102" i="1"/>
  <c r="O101" i="1"/>
  <c r="N101" i="1"/>
  <c r="M101" i="1"/>
  <c r="F101" i="1"/>
  <c r="P101" i="1" s="1"/>
  <c r="C101" i="1"/>
  <c r="A101" i="1"/>
  <c r="O100" i="1"/>
  <c r="N100" i="1"/>
  <c r="M100" i="1"/>
  <c r="F100" i="1"/>
  <c r="P100" i="1" s="1"/>
  <c r="C100" i="1"/>
  <c r="A100" i="1"/>
  <c r="P99" i="1"/>
  <c r="O99" i="1"/>
  <c r="N99" i="1"/>
  <c r="M99" i="1"/>
  <c r="F99" i="1"/>
  <c r="C99" i="1"/>
  <c r="A99" i="1"/>
  <c r="P98" i="1"/>
  <c r="O98" i="1"/>
  <c r="N98" i="1"/>
  <c r="M98" i="1"/>
  <c r="F98" i="1"/>
  <c r="C98" i="1"/>
  <c r="A98" i="1"/>
  <c r="O97" i="1"/>
  <c r="N97" i="1"/>
  <c r="M97" i="1"/>
  <c r="F97" i="1"/>
  <c r="P97" i="1" s="1"/>
  <c r="C97" i="1"/>
  <c r="A97" i="1"/>
  <c r="O96" i="1"/>
  <c r="N96" i="1"/>
  <c r="M96" i="1"/>
  <c r="F96" i="1"/>
  <c r="P96" i="1" s="1"/>
  <c r="C96" i="1"/>
  <c r="A96" i="1"/>
  <c r="O95" i="1"/>
  <c r="N95" i="1"/>
  <c r="M95" i="1"/>
  <c r="F95" i="1"/>
  <c r="P95" i="1" s="1"/>
  <c r="C95" i="1"/>
  <c r="A95" i="1"/>
  <c r="P94" i="1"/>
  <c r="O94" i="1"/>
  <c r="N94" i="1"/>
  <c r="M94" i="1"/>
  <c r="F94" i="1"/>
  <c r="C94" i="1"/>
  <c r="A94" i="1"/>
  <c r="P93" i="1"/>
  <c r="O93" i="1"/>
  <c r="N93" i="1"/>
  <c r="M93" i="1"/>
  <c r="F93" i="1"/>
  <c r="C93" i="1"/>
  <c r="A93" i="1"/>
  <c r="O92" i="1"/>
  <c r="N92" i="1"/>
  <c r="M92" i="1"/>
  <c r="F92" i="1"/>
  <c r="P92" i="1" s="1"/>
  <c r="C92" i="1"/>
  <c r="A92" i="1"/>
  <c r="O91" i="1"/>
  <c r="N91" i="1"/>
  <c r="M91" i="1"/>
  <c r="F91" i="1"/>
  <c r="P91" i="1" s="1"/>
  <c r="C91" i="1"/>
  <c r="A91" i="1"/>
  <c r="O90" i="1"/>
  <c r="N90" i="1"/>
  <c r="M90" i="1"/>
  <c r="F90" i="1"/>
  <c r="P90" i="1" s="1"/>
  <c r="C90" i="1"/>
  <c r="A90" i="1"/>
  <c r="P89" i="1"/>
  <c r="O89" i="1"/>
  <c r="N89" i="1"/>
  <c r="M89" i="1"/>
  <c r="F89" i="1"/>
  <c r="C89" i="1"/>
  <c r="A89" i="1"/>
  <c r="P88" i="1"/>
  <c r="O88" i="1"/>
  <c r="N88" i="1"/>
  <c r="M88" i="1"/>
  <c r="F88" i="1"/>
  <c r="C88" i="1"/>
  <c r="A88" i="1"/>
  <c r="O87" i="1"/>
  <c r="N87" i="1"/>
  <c r="M87" i="1"/>
  <c r="F87" i="1"/>
  <c r="P87" i="1" s="1"/>
  <c r="C87" i="1"/>
  <c r="A87" i="1"/>
  <c r="O86" i="1"/>
  <c r="N86" i="1"/>
  <c r="M86" i="1"/>
  <c r="F86" i="1"/>
  <c r="P86" i="1" s="1"/>
  <c r="C86" i="1"/>
  <c r="A86" i="1"/>
  <c r="O85" i="1"/>
  <c r="N85" i="1"/>
  <c r="M85" i="1"/>
  <c r="F85" i="1"/>
  <c r="P85" i="1" s="1"/>
  <c r="C85" i="1"/>
  <c r="A85" i="1"/>
  <c r="P84" i="1"/>
  <c r="O84" i="1"/>
  <c r="N84" i="1"/>
  <c r="M84" i="1"/>
  <c r="F84" i="1"/>
  <c r="C84" i="1"/>
  <c r="A84" i="1"/>
  <c r="P83" i="1"/>
  <c r="O83" i="1"/>
  <c r="N83" i="1"/>
  <c r="M83" i="1"/>
  <c r="F83" i="1"/>
  <c r="C83" i="1"/>
  <c r="A83" i="1"/>
  <c r="O82" i="1"/>
  <c r="N82" i="1"/>
  <c r="M82" i="1"/>
  <c r="F82" i="1"/>
  <c r="P82" i="1" s="1"/>
  <c r="C82" i="1"/>
  <c r="A82" i="1"/>
  <c r="O81" i="1"/>
  <c r="N81" i="1"/>
  <c r="M81" i="1"/>
  <c r="F81" i="1"/>
  <c r="P81" i="1" s="1"/>
  <c r="C81" i="1"/>
  <c r="A81" i="1"/>
  <c r="O80" i="1"/>
  <c r="N80" i="1"/>
  <c r="M80" i="1"/>
  <c r="F80" i="1"/>
  <c r="P80" i="1" s="1"/>
  <c r="C80" i="1"/>
  <c r="A80" i="1"/>
  <c r="P79" i="1"/>
  <c r="O79" i="1"/>
  <c r="N79" i="1"/>
  <c r="M79" i="1"/>
  <c r="F79" i="1"/>
  <c r="C79" i="1"/>
  <c r="A79" i="1"/>
  <c r="P78" i="1"/>
  <c r="O78" i="1"/>
  <c r="N78" i="1"/>
  <c r="M78" i="1"/>
  <c r="F78" i="1"/>
  <c r="C78" i="1"/>
  <c r="A78" i="1"/>
  <c r="O77" i="1"/>
  <c r="N77" i="1"/>
  <c r="M77" i="1"/>
  <c r="F77" i="1"/>
  <c r="P77" i="1" s="1"/>
  <c r="C77" i="1"/>
  <c r="A77" i="1"/>
  <c r="O76" i="1"/>
  <c r="N76" i="1"/>
  <c r="M76" i="1"/>
  <c r="F76" i="1"/>
  <c r="P76" i="1" s="1"/>
  <c r="C76" i="1"/>
  <c r="A76" i="1"/>
  <c r="O75" i="1"/>
  <c r="N75" i="1"/>
  <c r="M75" i="1"/>
  <c r="F75" i="1"/>
  <c r="P75" i="1" s="1"/>
  <c r="C75" i="1"/>
  <c r="A75" i="1"/>
  <c r="P74" i="1"/>
  <c r="O74" i="1"/>
  <c r="N74" i="1"/>
  <c r="M74" i="1"/>
  <c r="F74" i="1"/>
  <c r="C74" i="1"/>
  <c r="A74" i="1"/>
  <c r="P73" i="1"/>
  <c r="O73" i="1"/>
  <c r="N73" i="1"/>
  <c r="M73" i="1"/>
  <c r="F73" i="1"/>
  <c r="C73" i="1"/>
  <c r="A73" i="1"/>
  <c r="O72" i="1"/>
  <c r="N72" i="1"/>
  <c r="M72" i="1"/>
  <c r="F72" i="1"/>
  <c r="P72" i="1" s="1"/>
  <c r="C72" i="1"/>
  <c r="A72" i="1"/>
  <c r="O71" i="1"/>
  <c r="N71" i="1"/>
  <c r="M71" i="1"/>
  <c r="F71" i="1"/>
  <c r="P71" i="1" s="1"/>
  <c r="C71" i="1"/>
  <c r="A71" i="1"/>
  <c r="O70" i="1"/>
  <c r="N70" i="1"/>
  <c r="M70" i="1"/>
  <c r="F70" i="1"/>
  <c r="P70" i="1" s="1"/>
  <c r="C70" i="1"/>
  <c r="A70" i="1"/>
  <c r="P69" i="1"/>
  <c r="O69" i="1"/>
  <c r="N69" i="1"/>
  <c r="M69" i="1"/>
  <c r="F69" i="1"/>
  <c r="C69" i="1"/>
  <c r="A69" i="1"/>
  <c r="P68" i="1"/>
  <c r="O68" i="1"/>
  <c r="N68" i="1"/>
  <c r="M68" i="1"/>
  <c r="F68" i="1"/>
  <c r="C68" i="1"/>
  <c r="A68" i="1"/>
  <c r="O67" i="1"/>
  <c r="N67" i="1"/>
  <c r="M67" i="1"/>
  <c r="F67" i="1"/>
  <c r="P67" i="1" s="1"/>
  <c r="C67" i="1"/>
  <c r="A67" i="1"/>
  <c r="O66" i="1"/>
  <c r="N66" i="1"/>
  <c r="M66" i="1"/>
  <c r="F66" i="1"/>
  <c r="P66" i="1" s="1"/>
  <c r="C66" i="1"/>
  <c r="A66" i="1"/>
  <c r="O65" i="1"/>
  <c r="N65" i="1"/>
  <c r="M65" i="1"/>
  <c r="F65" i="1"/>
  <c r="P65" i="1" s="1"/>
  <c r="C65" i="1"/>
  <c r="A65" i="1"/>
  <c r="P64" i="1"/>
  <c r="O64" i="1"/>
  <c r="N64" i="1"/>
  <c r="M64" i="1"/>
  <c r="F64" i="1"/>
  <c r="C64" i="1"/>
  <c r="A64" i="1"/>
  <c r="P63" i="1"/>
  <c r="O63" i="1"/>
  <c r="N63" i="1"/>
  <c r="M63" i="1"/>
  <c r="F63" i="1"/>
  <c r="C63" i="1"/>
  <c r="A63" i="1"/>
  <c r="O62" i="1"/>
  <c r="N62" i="1"/>
  <c r="M62" i="1"/>
  <c r="F62" i="1"/>
  <c r="P62" i="1" s="1"/>
  <c r="C62" i="1"/>
  <c r="A62" i="1"/>
  <c r="O61" i="1"/>
  <c r="N61" i="1"/>
  <c r="M61" i="1"/>
  <c r="F61" i="1"/>
  <c r="P61" i="1" s="1"/>
  <c r="C61" i="1"/>
  <c r="A61" i="1"/>
  <c r="O60" i="1"/>
  <c r="N60" i="1"/>
  <c r="M60" i="1"/>
  <c r="F60" i="1"/>
  <c r="P60" i="1" s="1"/>
  <c r="C60" i="1"/>
  <c r="A60" i="1"/>
  <c r="P59" i="1"/>
  <c r="O59" i="1"/>
  <c r="N59" i="1"/>
  <c r="M59" i="1"/>
  <c r="F59" i="1"/>
  <c r="C59" i="1"/>
  <c r="A59" i="1"/>
  <c r="P58" i="1"/>
  <c r="O58" i="1"/>
  <c r="N58" i="1"/>
  <c r="M58" i="1"/>
  <c r="F58" i="1"/>
  <c r="C58" i="1"/>
  <c r="A58" i="1"/>
  <c r="O57" i="1"/>
  <c r="N57" i="1"/>
  <c r="M57" i="1"/>
  <c r="F57" i="1"/>
  <c r="P57" i="1" s="1"/>
  <c r="C57" i="1"/>
  <c r="A57" i="1"/>
  <c r="O56" i="1"/>
  <c r="N56" i="1"/>
  <c r="M56" i="1"/>
  <c r="F56" i="1"/>
  <c r="P56" i="1" s="1"/>
  <c r="C56" i="1"/>
  <c r="A56" i="1"/>
  <c r="O55" i="1"/>
  <c r="N55" i="1"/>
  <c r="M55" i="1"/>
  <c r="F55" i="1"/>
  <c r="P55" i="1" s="1"/>
  <c r="C55" i="1"/>
  <c r="A55" i="1"/>
  <c r="P54" i="1"/>
  <c r="O54" i="1"/>
  <c r="N54" i="1"/>
  <c r="M54" i="1"/>
  <c r="F54" i="1"/>
  <c r="C54" i="1"/>
  <c r="A54" i="1"/>
  <c r="P53" i="1"/>
  <c r="O53" i="1"/>
  <c r="N53" i="1"/>
  <c r="M53" i="1"/>
  <c r="F53" i="1"/>
  <c r="C53" i="1"/>
  <c r="A53" i="1"/>
  <c r="O52" i="1"/>
  <c r="N52" i="1"/>
  <c r="M52" i="1"/>
  <c r="F52" i="1"/>
  <c r="P52" i="1" s="1"/>
  <c r="C52" i="1"/>
  <c r="A52" i="1"/>
  <c r="O51" i="1"/>
  <c r="N51" i="1"/>
  <c r="M51" i="1"/>
  <c r="F51" i="1"/>
  <c r="P51" i="1" s="1"/>
  <c r="C51" i="1"/>
  <c r="A51" i="1"/>
  <c r="O50" i="1"/>
  <c r="N50" i="1"/>
  <c r="M50" i="1"/>
  <c r="F50" i="1"/>
  <c r="P50" i="1" s="1"/>
  <c r="C50" i="1"/>
  <c r="A50" i="1"/>
  <c r="P49" i="1"/>
  <c r="O49" i="1"/>
  <c r="N49" i="1"/>
  <c r="M49" i="1"/>
  <c r="F49" i="1"/>
  <c r="C49" i="1"/>
  <c r="A49" i="1"/>
  <c r="P48" i="1"/>
  <c r="O48" i="1"/>
  <c r="N48" i="1"/>
  <c r="M48" i="1"/>
  <c r="F48" i="1"/>
  <c r="C48" i="1"/>
  <c r="A48" i="1"/>
  <c r="O47" i="1"/>
  <c r="N47" i="1"/>
  <c r="M47" i="1"/>
  <c r="F47" i="1"/>
  <c r="P47" i="1" s="1"/>
  <c r="C47" i="1"/>
  <c r="A47" i="1"/>
  <c r="O46" i="1"/>
  <c r="N46" i="1"/>
  <c r="M46" i="1"/>
  <c r="F46" i="1"/>
  <c r="P46" i="1" s="1"/>
  <c r="C46" i="1"/>
  <c r="A46" i="1"/>
  <c r="O45" i="1"/>
  <c r="N45" i="1"/>
  <c r="M45" i="1"/>
  <c r="F45" i="1"/>
  <c r="P45" i="1" s="1"/>
  <c r="C45" i="1"/>
  <c r="A45" i="1"/>
  <c r="P44" i="1"/>
  <c r="O44" i="1"/>
  <c r="N44" i="1"/>
  <c r="M44" i="1"/>
  <c r="F44" i="1"/>
  <c r="C44" i="1"/>
  <c r="A44" i="1"/>
  <c r="P43" i="1"/>
  <c r="O43" i="1"/>
  <c r="N43" i="1"/>
  <c r="M43" i="1"/>
  <c r="F43" i="1"/>
  <c r="C43" i="1"/>
  <c r="A43" i="1"/>
  <c r="O42" i="1"/>
  <c r="N42" i="1"/>
  <c r="M42" i="1"/>
  <c r="F42" i="1"/>
  <c r="P42" i="1" s="1"/>
  <c r="C42" i="1"/>
  <c r="A42" i="1"/>
  <c r="O41" i="1"/>
  <c r="N41" i="1"/>
  <c r="M41" i="1"/>
  <c r="F41" i="1"/>
  <c r="P41" i="1" s="1"/>
  <c r="C41" i="1"/>
  <c r="A41" i="1"/>
  <c r="O40" i="1"/>
  <c r="N40" i="1"/>
  <c r="M40" i="1"/>
  <c r="F40" i="1"/>
  <c r="P40" i="1" s="1"/>
  <c r="C40" i="1"/>
  <c r="A40" i="1"/>
  <c r="P39" i="1"/>
  <c r="O39" i="1"/>
  <c r="N39" i="1"/>
  <c r="M39" i="1"/>
  <c r="F39" i="1"/>
  <c r="C39" i="1"/>
  <c r="A39" i="1"/>
  <c r="P38" i="1"/>
  <c r="O38" i="1"/>
  <c r="N38" i="1"/>
  <c r="M38" i="1"/>
  <c r="F38" i="1"/>
  <c r="C38" i="1"/>
  <c r="A38" i="1"/>
  <c r="O37" i="1"/>
  <c r="N37" i="1"/>
  <c r="M37" i="1"/>
  <c r="F37" i="1"/>
  <c r="P37" i="1" s="1"/>
  <c r="C37" i="1"/>
  <c r="A37" i="1"/>
  <c r="O36" i="1"/>
  <c r="N36" i="1"/>
  <c r="M36" i="1"/>
  <c r="F36" i="1"/>
  <c r="P36" i="1" s="1"/>
  <c r="C36" i="1"/>
  <c r="A36" i="1"/>
  <c r="O35" i="1"/>
  <c r="N35" i="1"/>
  <c r="M35" i="1"/>
  <c r="F35" i="1"/>
  <c r="P35" i="1" s="1"/>
  <c r="C35" i="1"/>
  <c r="A35" i="1"/>
  <c r="P34" i="1"/>
  <c r="O34" i="1"/>
  <c r="N34" i="1"/>
  <c r="M34" i="1"/>
  <c r="F34" i="1"/>
  <c r="C34" i="1"/>
  <c r="A34" i="1"/>
  <c r="P33" i="1"/>
  <c r="O33" i="1"/>
  <c r="N33" i="1"/>
  <c r="M33" i="1"/>
  <c r="F33" i="1"/>
  <c r="C33" i="1"/>
  <c r="A33" i="1"/>
  <c r="O32" i="1"/>
  <c r="N32" i="1"/>
  <c r="M32" i="1"/>
  <c r="F32" i="1"/>
  <c r="P32" i="1" s="1"/>
  <c r="C32" i="1"/>
  <c r="A32" i="1"/>
  <c r="O31" i="1"/>
  <c r="N31" i="1"/>
  <c r="M31" i="1"/>
  <c r="F31" i="1"/>
  <c r="P31" i="1" s="1"/>
  <c r="C31" i="1"/>
  <c r="A31" i="1"/>
  <c r="O30" i="1"/>
  <c r="N30" i="1"/>
  <c r="M30" i="1"/>
  <c r="F30" i="1"/>
  <c r="P30" i="1" s="1"/>
  <c r="C30" i="1"/>
  <c r="A30" i="1"/>
  <c r="P29" i="1"/>
  <c r="O29" i="1"/>
  <c r="N29" i="1"/>
  <c r="M29" i="1"/>
  <c r="F29" i="1"/>
  <c r="C29" i="1"/>
  <c r="A29" i="1"/>
  <c r="P28" i="1"/>
  <c r="O28" i="1"/>
  <c r="N28" i="1"/>
  <c r="M28" i="1"/>
  <c r="F28" i="1"/>
  <c r="C28" i="1"/>
  <c r="A28" i="1"/>
  <c r="O27" i="1"/>
  <c r="N27" i="1"/>
  <c r="M27" i="1"/>
  <c r="F27" i="1"/>
  <c r="P27" i="1" s="1"/>
  <c r="C27" i="1"/>
  <c r="A27" i="1"/>
  <c r="O26" i="1"/>
  <c r="N26" i="1"/>
  <c r="M26" i="1"/>
  <c r="F26" i="1"/>
  <c r="P26" i="1" s="1"/>
  <c r="C26" i="1"/>
  <c r="A26" i="1"/>
  <c r="O25" i="1"/>
  <c r="N25" i="1"/>
  <c r="M25" i="1"/>
  <c r="F25" i="1"/>
  <c r="P25" i="1" s="1"/>
  <c r="C25" i="1"/>
  <c r="A25" i="1"/>
  <c r="P24" i="1"/>
  <c r="O24" i="1"/>
  <c r="N24" i="1"/>
  <c r="M24" i="1"/>
  <c r="F24" i="1"/>
  <c r="C24" i="1"/>
  <c r="A24" i="1"/>
  <c r="P23" i="1"/>
  <c r="O23" i="1"/>
  <c r="N23" i="1"/>
  <c r="M23" i="1"/>
  <c r="F23" i="1"/>
  <c r="C23" i="1"/>
  <c r="A23" i="1"/>
  <c r="O22" i="1"/>
  <c r="N22" i="1"/>
  <c r="M22" i="1"/>
  <c r="F22" i="1"/>
  <c r="P22" i="1" s="1"/>
  <c r="C22" i="1"/>
  <c r="A22" i="1"/>
  <c r="O21" i="1"/>
  <c r="N21" i="1"/>
  <c r="M21" i="1"/>
  <c r="F21" i="1"/>
  <c r="P21" i="1" s="1"/>
  <c r="C21" i="1"/>
  <c r="A21" i="1"/>
  <c r="O20" i="1"/>
  <c r="N20" i="1"/>
  <c r="M20" i="1"/>
  <c r="F20" i="1"/>
  <c r="P20" i="1" s="1"/>
  <c r="C20" i="1"/>
  <c r="A20" i="1"/>
  <c r="P19" i="1"/>
  <c r="O19" i="1"/>
  <c r="N19" i="1"/>
  <c r="M19" i="1"/>
  <c r="F19" i="1"/>
  <c r="C19" i="1"/>
  <c r="A19" i="1"/>
  <c r="P18" i="1"/>
  <c r="O18" i="1"/>
  <c r="N18" i="1"/>
  <c r="M18" i="1"/>
  <c r="A18" i="1"/>
  <c r="O17" i="1"/>
  <c r="N17" i="1"/>
  <c r="M17" i="1"/>
  <c r="F17" i="1"/>
  <c r="P17" i="1" s="1"/>
  <c r="C17" i="1"/>
  <c r="A17" i="1"/>
  <c r="O16" i="1"/>
  <c r="N16" i="1"/>
  <c r="M16" i="1"/>
  <c r="F16" i="1"/>
  <c r="P16" i="1" s="1"/>
  <c r="C16" i="1"/>
  <c r="A16" i="1"/>
  <c r="O15" i="1"/>
  <c r="N15" i="1"/>
  <c r="M15" i="1"/>
  <c r="F15" i="1"/>
  <c r="P15" i="1" s="1"/>
  <c r="C15" i="1"/>
  <c r="A15" i="1"/>
  <c r="P14" i="1"/>
  <c r="O14" i="1"/>
  <c r="N14" i="1"/>
  <c r="M14" i="1"/>
  <c r="F14" i="1"/>
  <c r="C14" i="1"/>
  <c r="A14" i="1"/>
  <c r="P13" i="1"/>
  <c r="O13" i="1"/>
  <c r="N13" i="1"/>
  <c r="M13" i="1"/>
  <c r="F13" i="1"/>
  <c r="C13" i="1"/>
  <c r="A13" i="1"/>
  <c r="O12" i="1"/>
  <c r="N12" i="1"/>
  <c r="M12" i="1"/>
  <c r="F12" i="1"/>
  <c r="P12" i="1" s="1"/>
  <c r="C12" i="1"/>
  <c r="A12" i="1"/>
  <c r="O11" i="1"/>
  <c r="N11" i="1"/>
  <c r="M11" i="1"/>
  <c r="F11" i="1"/>
  <c r="P11" i="1" s="1"/>
  <c r="C11" i="1"/>
  <c r="A11" i="1"/>
  <c r="O10" i="1"/>
  <c r="N10" i="1"/>
  <c r="M10" i="1"/>
  <c r="F10" i="1"/>
  <c r="P10" i="1" s="1"/>
  <c r="C10" i="1"/>
  <c r="A10" i="1"/>
  <c r="P9" i="1"/>
  <c r="O9" i="1"/>
  <c r="N9" i="1"/>
  <c r="M9" i="1"/>
  <c r="F9" i="1"/>
  <c r="C9" i="1"/>
  <c r="A9" i="1"/>
  <c r="P8" i="1"/>
  <c r="O8" i="1"/>
  <c r="N8" i="1"/>
  <c r="M8" i="1"/>
  <c r="F8" i="1"/>
  <c r="C8" i="1"/>
  <c r="A8" i="1"/>
  <c r="O7" i="1"/>
  <c r="N7" i="1"/>
  <c r="M7" i="1"/>
  <c r="P7" i="1"/>
  <c r="A7" i="1"/>
  <c r="O6" i="1"/>
  <c r="N6" i="1"/>
  <c r="M6" i="1"/>
  <c r="P6" i="1"/>
  <c r="A6" i="1"/>
  <c r="K6" i="1" s="1" a="1"/>
  <c r="K6" i="1" s="1"/>
  <c r="O5" i="1"/>
  <c r="N5" i="1"/>
  <c r="M5" i="1"/>
  <c r="P5" i="1"/>
  <c r="C5" i="1"/>
  <c r="A5" i="1"/>
  <c r="K5" i="1" s="1" a="1"/>
  <c r="K5" i="1" s="1"/>
  <c r="O4" i="1"/>
  <c r="N4" i="1"/>
  <c r="M4" i="1"/>
  <c r="P4" i="1"/>
  <c r="C4" i="1"/>
  <c r="A4" i="1"/>
  <c r="K4" i="1" s="1" a="1"/>
  <c r="K4" i="1" s="1"/>
  <c r="O3" i="1"/>
  <c r="N3" i="1"/>
  <c r="M3" i="1"/>
  <c r="P3" i="1"/>
  <c r="C3" i="1"/>
  <c r="A3" i="1"/>
  <c r="O2" i="1"/>
  <c r="N2" i="1"/>
  <c r="M2" i="1"/>
  <c r="P2" i="1"/>
  <c r="C2" i="1"/>
  <c r="A2" i="1"/>
  <c r="P635" i="1" l="1"/>
  <c r="P1182" i="1"/>
  <c r="P468" i="1"/>
  <c r="P665" i="1"/>
  <c r="P458" i="1"/>
  <c r="P505" i="1"/>
  <c r="P655" i="1"/>
  <c r="P615" i="1"/>
  <c r="P645" i="1"/>
  <c r="P463" i="1"/>
  <c r="P590" i="1"/>
  <c r="P530" i="1"/>
  <c r="P565" i="1"/>
  <c r="P904" i="1"/>
  <c r="P929" i="1"/>
  <c r="P954" i="1"/>
  <c r="P984" i="1"/>
  <c r="P1136" i="1"/>
  <c r="P1147" i="1"/>
  <c r="P1168" i="1"/>
  <c r="P1347" i="1"/>
  <c r="P1358" i="1"/>
  <c r="P1293" i="1"/>
  <c r="P1034" i="1"/>
  <c r="P1268" i="1"/>
  <c r="P1084" i="1"/>
  <c r="P1257" i="1"/>
  <c r="P897" i="1"/>
  <c r="P922" i="1"/>
  <c r="P947" i="1"/>
  <c r="P959" i="1"/>
  <c r="P1243" i="1"/>
  <c r="P1232" i="1"/>
  <c r="P1009" i="1"/>
  <c r="P1218" i="1"/>
  <c r="P1207" i="1"/>
  <c r="P893" i="1"/>
  <c r="P918" i="1"/>
  <c r="P943" i="1"/>
  <c r="P1059" i="1"/>
  <c r="P1193" i="1"/>
  <c r="P1165" i="1"/>
  <c r="P1176" i="1"/>
  <c r="P1201" i="1"/>
  <c r="P1226" i="1"/>
  <c r="P1251" i="1"/>
  <c r="P1397" i="1"/>
  <c r="P1093" i="1"/>
  <c r="P1113" i="1"/>
  <c r="P1143" i="1"/>
  <c r="P1278" i="1"/>
  <c r="P1140" i="1"/>
  <c r="P1161" i="1"/>
  <c r="P1183" i="1"/>
  <c r="P1208" i="1"/>
  <c r="P1233" i="1"/>
  <c r="P1258" i="1"/>
  <c r="P1447" i="1"/>
  <c r="P1353" i="1"/>
  <c r="P1098" i="1"/>
  <c r="P1277" i="1"/>
  <c r="P1338" i="1"/>
  <c r="P1455" i="1"/>
  <c r="P1480" i="1"/>
  <c r="P1560" i="1"/>
  <c r="P1509" i="1"/>
  <c r="P1658" i="1"/>
  <c r="P1343" i="1"/>
  <c r="P1515" i="1"/>
  <c r="P1550" i="1"/>
  <c r="P1378" i="1"/>
  <c r="P1428" i="1"/>
  <c r="P1534" i="1"/>
  <c r="P1540" i="1"/>
  <c r="P1348" i="1"/>
  <c r="P1433" i="1"/>
  <c r="P1318" i="1"/>
  <c r="P1603" i="1"/>
  <c r="P1996" i="1"/>
  <c r="P1683" i="1"/>
  <c r="P1718" i="1"/>
  <c r="P1764" i="1"/>
  <c r="P1801" i="1"/>
  <c r="P1921" i="1"/>
  <c r="P1599" i="1"/>
  <c r="P1693" i="1"/>
  <c r="P1789" i="1"/>
  <c r="P1870" i="1"/>
  <c r="P1633" i="1"/>
  <c r="P1852" i="1"/>
  <c r="P1822" i="1"/>
  <c r="P1797" i="1"/>
  <c r="P1845" i="1"/>
  <c r="P182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<sst xmlns="http://schemas.openxmlformats.org/spreadsheetml/2006/main" count="189" uniqueCount="137">
  <si>
    <t>ID</t>
  </si>
  <si>
    <t>Country</t>
  </si>
  <si>
    <t>CountryCode</t>
  </si>
  <si>
    <t>Year</t>
  </si>
  <si>
    <t>Denomination</t>
  </si>
  <si>
    <t>Type</t>
  </si>
  <si>
    <t>Name</t>
  </si>
  <si>
    <t>Condition</t>
  </si>
  <si>
    <t>Status</t>
  </si>
  <si>
    <t>Duplicates</t>
  </si>
  <si>
    <t>ImageFile</t>
  </si>
  <si>
    <t>Mintage</t>
  </si>
  <si>
    <t>Metal</t>
  </si>
  <si>
    <t>Weight</t>
  </si>
  <si>
    <t>Diameter</t>
  </si>
  <si>
    <t>Description</t>
  </si>
  <si>
    <t>Notes</t>
  </si>
  <si>
    <t>Slovakia</t>
  </si>
  <si>
    <t>2 €</t>
  </si>
  <si>
    <t>VF</t>
  </si>
  <si>
    <t>Collection</t>
  </si>
  <si>
    <t>Andorra</t>
  </si>
  <si>
    <t>AD</t>
  </si>
  <si>
    <t>1 cent</t>
  </si>
  <si>
    <t>Regular</t>
  </si>
  <si>
    <t>UNC</t>
  </si>
  <si>
    <t>Austria</t>
  </si>
  <si>
    <t>AT</t>
  </si>
  <si>
    <t>2 cent</t>
  </si>
  <si>
    <t>Commemorative</t>
  </si>
  <si>
    <t>AU</t>
  </si>
  <si>
    <t>Missing</t>
  </si>
  <si>
    <t>Belgium</t>
  </si>
  <si>
    <t>BE</t>
  </si>
  <si>
    <t>5 cent</t>
  </si>
  <si>
    <t>XF</t>
  </si>
  <si>
    <t>Duplicate</t>
  </si>
  <si>
    <t>Croatia</t>
  </si>
  <si>
    <t>HR</t>
  </si>
  <si>
    <t>10 cent</t>
  </si>
  <si>
    <t>Cyprus</t>
  </si>
  <si>
    <t>CY</t>
  </si>
  <si>
    <t>20 cent</t>
  </si>
  <si>
    <t>F</t>
  </si>
  <si>
    <t>Estonia</t>
  </si>
  <si>
    <t>EE</t>
  </si>
  <si>
    <t>50 cent</t>
  </si>
  <si>
    <t>VG</t>
  </si>
  <si>
    <t>Finland</t>
  </si>
  <si>
    <t>FI</t>
  </si>
  <si>
    <t>1 €</t>
  </si>
  <si>
    <t>G</t>
  </si>
  <si>
    <t>France</t>
  </si>
  <si>
    <t>FR</t>
  </si>
  <si>
    <t>Germany</t>
  </si>
  <si>
    <t>DE</t>
  </si>
  <si>
    <t>Greece</t>
  </si>
  <si>
    <t>GR</t>
  </si>
  <si>
    <t>Ireland</t>
  </si>
  <si>
    <t>IE</t>
  </si>
  <si>
    <t>Italy</t>
  </si>
  <si>
    <t>IT</t>
  </si>
  <si>
    <t>Latvia</t>
  </si>
  <si>
    <t>LV</t>
  </si>
  <si>
    <t>Lithuania</t>
  </si>
  <si>
    <t>LT</t>
  </si>
  <si>
    <t>Luxembourg</t>
  </si>
  <si>
    <t>LU</t>
  </si>
  <si>
    <t>Malta</t>
  </si>
  <si>
    <t>MT</t>
  </si>
  <si>
    <t>Monaco</t>
  </si>
  <si>
    <t>MC</t>
  </si>
  <si>
    <t>Netherlands</t>
  </si>
  <si>
    <t>NL</t>
  </si>
  <si>
    <t>Portugal</t>
  </si>
  <si>
    <t>PT</t>
  </si>
  <si>
    <t>San Marino</t>
  </si>
  <si>
    <t>SM</t>
  </si>
  <si>
    <t>SK</t>
  </si>
  <si>
    <t>Slovenia</t>
  </si>
  <si>
    <t>SI</t>
  </si>
  <si>
    <t>Spain</t>
  </si>
  <si>
    <t>ES</t>
  </si>
  <si>
    <t>Vatican City</t>
  </si>
  <si>
    <t>VA</t>
  </si>
  <si>
    <t>Copper-plated steel</t>
  </si>
  <si>
    <t>2.30 g</t>
  </si>
  <si>
    <t>16.25 mm</t>
  </si>
  <si>
    <t>3.06 g</t>
  </si>
  <si>
    <t>18.75 mm</t>
  </si>
  <si>
    <t>3.92 g</t>
  </si>
  <si>
    <t>21.25 mm</t>
  </si>
  <si>
    <t>Nordic gold</t>
  </si>
  <si>
    <t>4.10 g</t>
  </si>
  <si>
    <t>19.75 mm</t>
  </si>
  <si>
    <t>5.74 g</t>
  </si>
  <si>
    <t>22.25 mm</t>
  </si>
  <si>
    <t>7.80 g</t>
  </si>
  <si>
    <t>24.25 mm</t>
  </si>
  <si>
    <t>Bimetallic</t>
  </si>
  <si>
    <t>7.50 g</t>
  </si>
  <si>
    <t>23.25 mm</t>
  </si>
  <si>
    <t>8.50 g</t>
  </si>
  <si>
    <t>25.75 mm</t>
  </si>
  <si>
    <t>Euro Coin Catalog Automation – latest</t>
  </si>
  <si>
    <t>Main input</t>
  </si>
  <si>
    <t>Fill Country, Year, Denomination, Type, Name (for commemorative), Condition, Status, Duplicates, Mintage and Notes.</t>
  </si>
  <si>
    <t>Status = Collection</t>
  </si>
  <si>
    <t>Regular -&gt; Regular tab; Commemorative -&gt; Commemorative tab.</t>
  </si>
  <si>
    <t>Status = Missing</t>
  </si>
  <si>
    <t>Coin appears only in Missing.</t>
  </si>
  <si>
    <t>Status = Duplicate</t>
  </si>
  <si>
    <t>Coin appears only in Duplicates.</t>
  </si>
  <si>
    <t>No duplicates between tabs</t>
  </si>
  <si>
    <t>One row is assigned to only one website section by Status + Type.</t>
  </si>
  <si>
    <t>Use 1, 2, 3... only when Status = Duplicate; otherwise use 0.</t>
  </si>
  <si>
    <t>Generated automatically: 001, 002, 003...</t>
  </si>
  <si>
    <t>Generated automatically from Country.</t>
  </si>
  <si>
    <t>Generated automatically from ID + Country + Year + Denomination + Type + Name.</t>
  </si>
  <si>
    <t>Regular Name</t>
  </si>
  <si>
    <t>May be left blank.</t>
  </si>
  <si>
    <t>Commemorative Name</t>
  </si>
  <si>
    <t>Enter the commemorative theme/name; it is used in ImageFile and Description.</t>
  </si>
  <si>
    <t>Physical specs</t>
  </si>
  <si>
    <t>Metal, Weight and Diameter are generated from Denomination.</t>
  </si>
  <si>
    <t>Photos</t>
  </si>
  <si>
    <t>Name each photo exactly as ImageFile and upload it to incoming/.</t>
  </si>
  <si>
    <t>Enabled removed</t>
  </si>
  <si>
    <t>Not needed. A blank row is ignored; every completed row is controlled by Status.</t>
  </si>
  <si>
    <t>Type automation</t>
  </si>
  <si>
    <t>For 1 cent through 1 €, Type is filled automatically as Regular.</t>
  </si>
  <si>
    <t>2 € Type</t>
  </si>
  <si>
    <t>For 2 €, choose Regular or Commemorative manually from the Type dropdown.</t>
  </si>
  <si>
    <t>Header row</t>
  </si>
  <si>
    <t>The first row on the Coins sheet is frozen and remains visible while scrolling.</t>
  </si>
  <si>
    <t>BG</t>
  </si>
  <si>
    <t>Bulgaria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</si>
</sst>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2F4858"/>
      </patternFill>
    </fill>
    <fill>
      <patternFill patternType="solid">
        <fgColor rgb="FFF3F8FA"/>
      </patternFill>
    </fill>
    <fill>
      <patternFill patternType="solid">
        <fgColor rgb="FFD9E7E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2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</xf>
    <xf numFmtId="0" fontId="2" fillId="4" borderId="0" xfId="1" applyFont="1" applyFill="1"/>
    <xf numFmtId="0" fontId="2" fillId="0" borderId="0" xfId="1" applyFont="1" applyAlignment="1">
      <alignment wrapText="1"/>
    </xf>
    <xf numFmtId="0" fontId="0" fillId="3" borderId="0" xfId="1" applyFont="1" applyFill="1" applyAlignment="1">
      <alignment horizontal="center" vertical="center"/>
    </xf>
    <xf numFmtId="0" fontId="0" fillId="0" borderId="0" xfId="1" applyFont="1" applyAlignment="1">
      <alignment horizontal="center" vertical="center"/>
    </xf>
    <xf numFmtId="1" fontId="0" fillId="0" borderId="0" xfId="1" applyNumberFormat="1" applyFont="1" applyAlignment="1">
      <alignment horizontal="center" vertical="center"/>
    </xf>
    <xf numFmtId="0" fontId="0" fillId="3" borderId="0" xfId="1" applyFont="1" applyFill="1" applyAlignment="1">
      <alignment horizontal="center" vertical="center" wrapText="1"/>
    </xf>
    <xf numFmtId="0" fontId="0" fillId="0" borderId="0" xfId="1" applyFont="1" applyAlignment="1">
      <alignment horizontal="center" vertical="center" wrapText="1"/>
    </xf>
    <xf numFmtId="0" fontId="0" fillId="0" borderId="0" xfId="1" applyFont="1" applyAlignment="1">
      <alignment horizontal="left" vertical="center"/>
    </xf>
    <xf numFmtId="0" fontId="1" fillId="2" borderId="0" xfId="1" applyFont="1" applyFill="1" applyAlignment="1">
      <alignment horizontal="center" wrapText="1"/>
    </xf>
  </cellXfs>
  <cellStyles count="2">
    <cellStyle name="Обычный" xfId="0" builtinId="0"/>
    <cellStyle name="Normal" xfId="1" xr:uid="{00000000-0005-0000-0000-000000000000}"/>
  </cellStyles>
  <dxfs count="7">
    <dxf>
      <fill>
        <patternFill patternType="solid">
          <bgColor rgb="FFFFF2CC"/>
        </patternFill>
      </fill>
    </dxf>
    <dxf>
      <fill>
        <patternFill patternType="solid">
          <bgColor rgb="FFF3F8FA"/>
        </patternFill>
      </fill>
    </dxf>
    <dxf>
      <font>
        <b/>
      </font>
      <fill>
        <patternFill>
          <bgColor rgb="FFFFF2CC"/>
        </patternFill>
      </fill>
    </dxf>
    <dxf>
      <font>
        <b/>
      </font>
      <fill>
        <patternFill>
          <bgColor rgb="FFFFF2CC"/>
        </patternFill>
      </fill>
    </dxf>
    <dxf>
      <font>
        <color rgb="FF386AA8"/>
      </font>
      <fill>
        <patternFill>
          <bgColor rgb="FFE8EFF8"/>
        </patternFill>
      </fill>
    </dxf>
    <dxf>
      <font>
        <color rgb="FFA54A4A"/>
      </font>
      <fill>
        <patternFill>
          <bgColor rgb="FFF8E9E9"/>
        </patternFill>
      </fill>
    </dxf>
    <dxf>
      <font>
        <color rgb="FF2F7D50"/>
      </font>
      <fill>
        <patternFill>
          <bgColor rgb="FFE8F4E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04"/>
  <sheetViews>
    <sheetView tabSelected="1" zoomScale="125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6" sqref="K6"/>
    </sheetView>
  </sheetViews>
  <sheetFormatPr baseColWidth="10" defaultColWidth="8.83203125" defaultRowHeight="14"/>
  <cols>
    <col min="1" max="1" width="8" customWidth="1"/>
    <col min="2" max="2" width="16" customWidth="1"/>
    <col min="3" max="3" width="12" customWidth="1"/>
    <col min="4" max="4" width="9" customWidth="1"/>
    <col min="5" max="5" width="14" customWidth="1"/>
    <col min="6" max="6" width="16" customWidth="1"/>
    <col min="7" max="7" width="30" customWidth="1"/>
    <col min="8" max="8" width="12" customWidth="1"/>
    <col min="9" max="9" width="14" customWidth="1"/>
    <col min="10" max="10" width="12" customWidth="1"/>
    <col min="11" max="11" width="52" customWidth="1"/>
    <col min="12" max="12" width="15" customWidth="1"/>
    <col min="13" max="13" width="20" customWidth="1"/>
    <col min="14" max="14" width="12" customWidth="1"/>
    <col min="15" max="15" width="13" customWidth="1"/>
    <col min="16" max="16" width="46" customWidth="1"/>
    <col min="17" max="17" width="38" customWidth="1"/>
  </cols>
  <sheetData>
    <row r="1" spans="1:17" ht="37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15">
      <c r="A2" s="5" t="str">
        <f t="shared" ref="A2:A65" si="0">IF(B2="","",TEXT(ROW()-1,"000"))</f>
        <v>001</v>
      </c>
      <c r="B2" s="6" t="s">
        <v>17</v>
      </c>
      <c r="C2" s="5" t="str">
        <f>IFERROR(VLOOKUP(B2,Lists!$A$2:$B$25,2,FALSE),"")</f>
        <v>SK</v>
      </c>
      <c r="D2" s="7">
        <v>2009</v>
      </c>
      <c r="E2" s="6" t="s">
        <v>18</v>
      </c>
      <c r="F2" s="6" t="s">
        <v>24</v>
      </c>
      <c r="G2" s="6"/>
      <c r="H2" s="6" t="s">
        <v>35</v>
      </c>
      <c r="I2" s="6" t="s">
        <v>36</v>
      </c>
      <c r="J2" s="7"/>
      <c r="K2" s="5" t="str" cm="1">
        <f t="array" ref="K2">IF(OR(A2="",B2="",D2="",E2=""),"",A2&amp;"_"&amp;SUBSTITUTE(B2," ","-")&amp;"_"&amp;D2&amp;"_"&amp;SUBSTITUTE(SUBSTITUTE(E2," ",""),"€","Euro")&amp;"_"&amp;IF(F2="","Unknown",F2)&amp;IF(F2="Commemorative",IF(G2="","","_"&amp;SUBSTITUTE(SUBSTITUTE(SUBSTITUTE(G2," ","-"),"/","-"),CHAR(39),"")),"")&amp;IF(I2="Duplicate","_Dub"&amp;IF(SUMPRODUCT(($B$2:B2=B2)*($D$2:D2=D2)*($E$2:E2=E2)*($F$2:F2=F2)*($G$2:G2=G2)*($I$2:I2="Duplicate"))&lt;=1,"",SUMPRODUCT(($B$2:B2=B2)*($D$2:D2=D2)*($E$2:E2=E2)*($F$2:F2=F2)*($G$2:G2=G2)*($I$2:I2="Duplicate"))-1),"")&amp;".jpeg")</f>
        <v>001_Slovakia_2009_2Euro_Regular_Dub.jpeg</v>
      </c>
      <c r="L2" s="6"/>
      <c r="M2" s="5" t="str">
        <f>IFERROR(VLOOKUP(E2,Specifications!$A$2:$D$9,2,FALSE),"")</f>
        <v>Bimetallic</v>
      </c>
      <c r="N2" s="5" t="str">
        <f>IFERROR(VLOOKUP(E2,Specifications!$A$2:$D$9,3,FALSE),"")</f>
        <v>8.50 g</v>
      </c>
      <c r="O2" s="5" t="str">
        <f>IFERROR(VLOOKUP(E2,Specifications!$A$2:$D$9,4,FALSE),"")</f>
        <v>25.75 mm</v>
      </c>
      <c r="P2" s="8" t="str">
        <f t="shared" ref="P2:P65" si="1">IF(OR(B2="",E2="",F2=""),"",IF(F2="Regular","Regular "&amp;E2&amp;" circulation coin of "&amp;B2&amp;".",IF(F2="Commemorative",IF(G2="","",E2&amp;" commemorative coin of "&amp;B2&amp;" – "&amp;G2&amp;"."),"")))</f>
        <v>Regular 2 € circulation coin of Slovakia.</v>
      </c>
      <c r="Q2" s="9"/>
    </row>
    <row r="3" spans="1:17" ht="15">
      <c r="A3" s="5" t="str">
        <f t="shared" si="0"/>
        <v>002</v>
      </c>
      <c r="B3" s="6" t="s">
        <v>26</v>
      </c>
      <c r="C3" s="5" t="str">
        <f>IFERROR(VLOOKUP(B3,Lists!$A$2:$B$25,2,FALSE),"")</f>
        <v>AT</v>
      </c>
      <c r="D3" s="7">
        <v>2023</v>
      </c>
      <c r="E3" s="6" t="s">
        <v>18</v>
      </c>
      <c r="F3" s="6" t="s">
        <v>24</v>
      </c>
      <c r="G3" s="6"/>
      <c r="H3" s="6" t="s">
        <v>35</v>
      </c>
      <c r="I3" s="6" t="s">
        <v>20</v>
      </c>
      <c r="J3" s="7"/>
      <c r="K3" s="5" t="str" cm="1">
        <f t="array" ref="K3">IF(OR(A3="",B3="",D3="",E3=""),"",A3&amp;"_"&amp;SUBSTITUTE(B3," ","-")&amp;"_"&amp;D3&amp;"_"&amp;SUBSTITUTE(SUBSTITUTE(E3," ",""),"€","Euro")&amp;"_"&amp;IF(F3="","Unknown",F3)&amp;IF(F3="Commemorative",IF(G3="","","_"&amp;SUBSTITUTE(SUBSTITUTE(SUBSTITUTE(G3," ","-"),"/","-"),CHAR(39),"")),"")&amp;IF(I3="Duplicate","_Dub"&amp;IF(SUMPRODUCT(($B$2:B3=B3)*($D$2:D3=D3)*($E$2:E3=E3)*($F$2:F3=F3)*($G$2:G3=G3)*($I$2:I3="Duplicate"))&lt;=1,"",SUMPRODUCT(($B$2:B3=B3)*($D$2:D3=D3)*($E$2:E3=E3)*($F$2:F3=F3)*($G$2:G3=G3)*($I$2:I3="Duplicate"))-1),""))</f>
        <v>002_Austria_2023_2Euro_Regular</v>
      </c>
      <c r="L3" s="6"/>
      <c r="M3" s="5" t="str">
        <f>IFERROR(VLOOKUP(E3,Specifications!$A$2:$D$9,2,FALSE),"")</f>
        <v>Bimetallic</v>
      </c>
      <c r="N3" s="5" t="str">
        <f>IFERROR(VLOOKUP(E3,Specifications!$A$2:$D$9,3,FALSE),"")</f>
        <v>8.50 g</v>
      </c>
      <c r="O3" s="5" t="str">
        <f>IFERROR(VLOOKUP(E3,Specifications!$A$2:$D$9,4,FALSE),"")</f>
        <v>25.75 mm</v>
      </c>
      <c r="P3" s="8" t="str">
        <f t="shared" si="1"/>
        <v>Regular 2 € circulation coin of Austria.</v>
      </c>
      <c r="Q3" s="10"/>
    </row>
    <row r="4" spans="1:17" ht="15">
      <c r="A4" s="5" t="str">
        <f t="shared" si="0"/>
        <v>003</v>
      </c>
      <c r="B4" s="6" t="s">
        <v>32</v>
      </c>
      <c r="C4" s="5" t="str">
        <f>IFERROR(VLOOKUP(B4,Lists!$A$2:$B$25,2,FALSE),"")</f>
        <v>BE</v>
      </c>
      <c r="D4" s="7">
        <v>2009</v>
      </c>
      <c r="E4" s="6" t="s">
        <v>18</v>
      </c>
      <c r="F4" s="6" t="s">
        <v>24</v>
      </c>
      <c r="G4" s="6"/>
      <c r="H4" s="6" t="s">
        <v>43</v>
      </c>
      <c r="I4" s="6" t="s">
        <v>20</v>
      </c>
      <c r="J4" s="7"/>
      <c r="K4" s="5" t="str" cm="1">
        <f t="array" ref="K4">IF(OR(A4="",B4="",D4="",E4=""),"",A4&amp;"_"&amp;SUBSTITUTE(B4," ","-")&amp;"_"&amp;D4&amp;"_"&amp;SUBSTITUTE(SUBSTITUTE(E4," ",""),"€","Euro")&amp;"_"&amp;IF(F4="","Unknown",F4)&amp;IF(F4="Commemorative",IF(G4="","","_"&amp;SUBSTITUTE(SUBSTITUTE(SUBSTITUTE(G4," ","-"),"/","-"),CHAR(39),"")),"")&amp;IF(I4="Duplicate","_Dub"&amp;IF(SUMPRODUCT(($B$2:B4=B4)*($D$2:D4=D4)*($E$2:E4=E4)*($F$2:F4=F4)*($G$2:G4=G4)*($I$2:I4="Duplicate"))&lt;=1,"",SUMPRODUCT(($B$2:B4=B4)*($D$2:D4=D4)*($E$2:E4=E4)*($F$2:F4=F4)*($G$2:G4=G4)*($I$2:I4="Duplicate"))-1),""))</f>
        <v>003_Belgium_2009_2Euro_Regular</v>
      </c>
      <c r="L4" s="6"/>
      <c r="M4" s="5" t="str">
        <f>IFERROR(VLOOKUP(E4,Specifications!$A$2:$D$9,2,FALSE),"")</f>
        <v>Bimetallic</v>
      </c>
      <c r="N4" s="5" t="str">
        <f>IFERROR(VLOOKUP(E4,Specifications!$A$2:$D$9,3,FALSE),"")</f>
        <v>8.50 g</v>
      </c>
      <c r="O4" s="5" t="str">
        <f>IFERROR(VLOOKUP(E4,Specifications!$A$2:$D$9,4,FALSE),"")</f>
        <v>25.75 mm</v>
      </c>
      <c r="P4" s="8" t="str">
        <f t="shared" si="1"/>
        <v>Regular 2 € circulation coin of Belgium.</v>
      </c>
      <c r="Q4" s="6"/>
    </row>
    <row r="5" spans="1:17" ht="15">
      <c r="A5" s="5" t="str">
        <f t="shared" si="0"/>
        <v>004</v>
      </c>
      <c r="B5" s="6" t="s">
        <v>32</v>
      </c>
      <c r="C5" s="5" t="str">
        <f>IFERROR(VLOOKUP(B5,Lists!$A$2:$B$25,2,FALSE),"")</f>
        <v>BE</v>
      </c>
      <c r="D5" s="7">
        <v>2004</v>
      </c>
      <c r="E5" s="6" t="s">
        <v>18</v>
      </c>
      <c r="F5" s="6" t="s">
        <v>24</v>
      </c>
      <c r="G5" s="6"/>
      <c r="H5" s="6" t="s">
        <v>43</v>
      </c>
      <c r="I5" s="6" t="s">
        <v>20</v>
      </c>
      <c r="J5" s="7"/>
      <c r="K5" s="5" t="str" cm="1">
        <f t="array" ref="K5">IF(OR(A5="",B5="",D5="",E5=""),"",A5&amp;"_"&amp;SUBSTITUTE(B5," ","-")&amp;"_"&amp;D5&amp;"_"&amp;SUBSTITUTE(SUBSTITUTE(E5," ",""),"€","Euro")&amp;"_"&amp;IF(F5="","Unknown",F5)&amp;IF(F5="Commemorative",IF(G5="","","_"&amp;SUBSTITUTE(SUBSTITUTE(SUBSTITUTE(G5," ","-"),"/","-"),CHAR(39),"")),"")&amp;IF(I5="Duplicate","_Dub"&amp;IF(SUMPRODUCT(($B$2:B5=B5)*($D$2:D5=D5)*($E$2:E5=E5)*($F$2:F5=F5)*($G$2:G5=G5)*($I$2:I5="Duplicate"))&lt;=1,"",SUMPRODUCT(($B$2:B5=B5)*($D$2:D5=D5)*($E$2:E5=E5)*($F$2:F5=F5)*($G$2:G5=G5)*($I$2:I5="Duplicate"))-1),""))</f>
        <v>004_Belgium_2004_2Euro_Regular</v>
      </c>
      <c r="L5" s="6"/>
      <c r="M5" s="5" t="str">
        <f>IFERROR(VLOOKUP(E5,Specifications!$A$2:$D$9,2,FALSE),"")</f>
        <v>Bimetallic</v>
      </c>
      <c r="N5" s="5" t="str">
        <f>IFERROR(VLOOKUP(E5,Specifications!$A$2:$D$9,3,FALSE),"")</f>
        <v>8.50 g</v>
      </c>
      <c r="O5" s="5" t="str">
        <f>IFERROR(VLOOKUP(E5,Specifications!$A$2:$D$9,4,FALSE),"")</f>
        <v>25.75 mm</v>
      </c>
      <c r="P5" s="8" t="str">
        <f t="shared" si="1"/>
        <v>Regular 2 € circulation coin of Belgium.</v>
      </c>
      <c r="Q5" s="6"/>
    </row>
    <row r="6" spans="1:17" ht="15">
      <c r="A6" s="5" t="str">
        <f t="shared" si="0"/>
        <v>005</v>
      </c>
      <c r="B6" s="6" t="s">
        <v>136</v>
      </c>
      <c r="C6" s="5" t="str">
        <f>IFERROR(VLOOKUP(B6,Lists!$A$2:$B$25,2,FALSE),"")</f>
        <v>BG</v>
      </c>
      <c r="D6" s="7">
        <v>2026</v>
      </c>
      <c r="E6" s="6" t="s">
        <v>18</v>
      </c>
      <c r="F6" s="6" t="s">
        <v>24</v>
      </c>
      <c r="G6" s="6"/>
      <c r="H6" s="6" t="s">
        <v>35</v>
      </c>
      <c r="I6" s="6" t="s">
        <v>20</v>
      </c>
      <c r="J6" s="7"/>
      <c r="K6" s="5" t="str" cm="1">
        <f t="array" ref="K6">IF(OR(A6="",B6="",D6="",E6=""),"",A6&amp;"_"&amp;SUBSTITUTE(B6," ","-")&amp;"_"&amp;D6&amp;"_"&amp;SUBSTITUTE(SUBSTITUTE(E6," ",""),"€","Euro")&amp;"_"&amp;IF(F6="","Unknown",F6)&amp;IF(F6="Commemorative",IF(G6="","","_"&amp;SUBSTITUTE(SUBSTITUTE(SUBSTITUTE(G6," ","-"),"/","-"),CHAR(39),"")),"")&amp;IF(I6="Duplicate","_Dub"&amp;IF(SUMPRODUCT(($B$2:B6=B6)*($D$2:D6=D6)*($E$2:E6=E6)*($F$2:F6=F6)*($G$2:G6=G6)*($I$2:I6="Duplicate"))&lt;=1,"",SUMPRODUCT(($B$2:B6=B6)*($D$2:D6=D6)*($E$2:E6=E6)*($F$2:F6=F6)*($G$2:G6=G6)*($I$2:I6="Duplicate"))-1),""))</f>
        <v>005_Bulgaria_2026_2Euro_Regular</v>
      </c>
      <c r="L6" s="6"/>
      <c r="M6" s="5" t="str">
        <f>IFERROR(VLOOKUP(E6,Specifications!$A$2:$D$9,2,FALSE),"")</f>
        <v>Bimetallic</v>
      </c>
      <c r="N6" s="5" t="str">
        <f>IFERROR(VLOOKUP(E6,Specifications!$A$2:$D$9,3,FALSE),"")</f>
        <v>8.50 g</v>
      </c>
      <c r="O6" s="5" t="str">
        <f>IFERROR(VLOOKUP(E6,Specifications!$A$2:$D$9,4,FALSE),"")</f>
        <v>25.75 mm</v>
      </c>
      <c r="P6" s="8" t="str">
        <f t="shared" si="1"/>
        <v>Regular 2 € circulation coin of Bulgaria.</v>
      </c>
      <c r="Q6" s="6"/>
    </row>
    <row r="7" spans="1:17" ht="15">
      <c r="A7" s="5" t="str">
        <f t="shared" si="0"/>
        <v/>
      </c>
      <c r="B7" s="6"/>
      <c r="C7" s="5" t="str">
        <f>IFERROR(VLOOKUP(B7,Lists!$A$2:$B$25,2,FALSE),"")</f>
        <v/>
      </c>
      <c r="D7" s="7"/>
      <c r="E7" s="6"/>
      <c r="F7" s="6" t="str">
        <f t="shared" ref="F7" si="2">IF(E7="","",IF(E7="2 €","", "Regular"))</f>
        <v/>
      </c>
      <c r="G7" s="6"/>
      <c r="H7" s="6"/>
      <c r="I7" s="6"/>
      <c r="J7" s="7"/>
      <c r="K7" s="5" t="str" cm="1">
        <f t="array" ref="K7">IF(OR(A7="",B7="",D7="",E7=""),"",A7&amp;"_"&amp;SUBSTITUTE(B7," ","-")&amp;"_"&amp;D7&amp;"_"&amp;SUBSTITUTE(SUBSTITUTE(E7," ",""),"€","Euro")&amp;"_"&amp;IF(F7="","Unknown",F7)&amp;IF(F7="Commemorative",IF(G7="","","_"&amp;SUBSTITUTE(SUBSTITUTE(SUBSTITUTE(G7," ","-"),"/","-"),CHAR(39),"")),"")&amp;IF(I7="Duplicate","_Dub"&amp;IF(SUMPRODUCT(($B$2:B7=B7)*($D$2:D7=D7)*($E$2:E7=E7)*($F$2:F7=F7)*($G$2:G7=G7)*($I$2:I7="Duplicate"))&lt;=1,"",SUMPRODUCT(($B$2:B7=B7)*($D$2:D7=D7)*($E$2:E7=E7)*($F$2:F7=F7)*($G$2:G7=G7)*($I$2:I7="Duplicate"))-1),""))</f>
        <v/>
      </c>
      <c r="L7" s="6"/>
      <c r="M7" s="5" t="str">
        <f>IFERROR(VLOOKUP(E7,Specifications!$A$2:$D$9,2,FALSE),"")</f>
        <v/>
      </c>
      <c r="N7" s="5" t="str">
        <f>IFERROR(VLOOKUP(E7,Specifications!$A$2:$D$9,3,FALSE),"")</f>
        <v/>
      </c>
      <c r="O7" s="5" t="str">
        <f>IFERROR(VLOOKUP(E7,Specifications!$A$2:$D$9,4,FALSE),"")</f>
        <v/>
      </c>
      <c r="P7" s="8" t="str">
        <f t="shared" si="1"/>
        <v/>
      </c>
      <c r="Q7" s="6"/>
    </row>
    <row r="8" spans="1:17" ht="15">
      <c r="A8" s="5" t="str">
        <f t="shared" si="0"/>
        <v/>
      </c>
      <c r="B8" s="6"/>
      <c r="C8" s="5" t="str">
        <f>IFERROR(VLOOKUP(B8,Lists!$A$2:$B$25,2,FALSE),"")</f>
        <v/>
      </c>
      <c r="D8" s="7"/>
      <c r="E8" s="6"/>
      <c r="F8" s="6" t="str">
        <f t="shared" ref="F8:F65" si="3">IF(E8="","",IF(E8="2 €","", "Regular"))</f>
        <v/>
      </c>
      <c r="G8" s="6"/>
      <c r="H8" s="6"/>
      <c r="I8" s="6"/>
      <c r="J8" s="7"/>
      <c r="K8" s="5" t="str" cm="1">
        <f t="array" ref="K8">IF(OR(A8="",B8="",D8="",E8=""),"",A8&amp;"_"&amp;SUBSTITUTE(B8," ","-")&amp;"_"&amp;D8&amp;"_"&amp;SUBSTITUTE(SUBSTITUTE(E8," ",""),"€","Euro")&amp;"_"&amp;IF(F8="","Unknown",F8)&amp;IF(F8="Commemorative",IF(G8="","","_"&amp;SUBSTITUTE(SUBSTITUTE(SUBSTITUTE(G8," ","-"),"/","-"),CHAR(39),"")),"")&amp;IF(I8="Duplicate","_Dub"&amp;IF(SUMPRODUCT(($B$2:B8=B8)*($D$2:D8=D8)*($E$2:E8=E8)*($F$2:F8=F8)*($G$2:G8=G8)*($I$2:I8="Duplicate"))&lt;=1,"",SUMPRODUCT(($B$2:B8=B8)*($D$2:D8=D8)*($E$2:E8=E8)*($F$2:F8=F8)*($G$2:G8=G8)*($I$2:I8="Duplicate"))-1),""))</f>
        <v/>
      </c>
      <c r="L8" s="6"/>
      <c r="M8" s="5" t="str">
        <f>IFERROR(VLOOKUP(E8,Specifications!$A$2:$D$9,2,FALSE),"")</f>
        <v/>
      </c>
      <c r="N8" s="5" t="str">
        <f>IFERROR(VLOOKUP(E8,Specifications!$A$2:$D$9,3,FALSE),"")</f>
        <v/>
      </c>
      <c r="O8" s="5" t="str">
        <f>IFERROR(VLOOKUP(E8,Specifications!$A$2:$D$9,4,FALSE),"")</f>
        <v/>
      </c>
      <c r="P8" s="8" t="str">
        <f t="shared" si="1"/>
        <v/>
      </c>
      <c r="Q8" s="6"/>
    </row>
    <row r="9" spans="1:17" ht="15">
      <c r="A9" s="5" t="str">
        <f t="shared" si="0"/>
        <v/>
      </c>
      <c r="B9" s="6"/>
      <c r="C9" s="5" t="str">
        <f>IFERROR(VLOOKUP(B9,Lists!$A$2:$B$25,2,FALSE),"")</f>
        <v/>
      </c>
      <c r="D9" s="7"/>
      <c r="E9" s="6"/>
      <c r="F9" s="6" t="str">
        <f t="shared" si="3"/>
        <v/>
      </c>
      <c r="G9" s="6"/>
      <c r="H9" s="6"/>
      <c r="I9" s="6"/>
      <c r="J9" s="7"/>
      <c r="K9" s="5" t="str" cm="1">
        <f t="array" ref="K9">IF(OR(A9="",B9="",D9="",E9=""),"",A9&amp;"_"&amp;SUBSTITUTE(B9," ","-")&amp;"_"&amp;D9&amp;"_"&amp;SUBSTITUTE(SUBSTITUTE(E9," ",""),"€","Euro")&amp;"_"&amp;IF(F9="","Unknown",F9)&amp;IF(F9="Commemorative",IF(G9="","","_"&amp;SUBSTITUTE(SUBSTITUTE(SUBSTITUTE(G9," ","-"),"/","-"),CHAR(39),"")),"")&amp;IF(I9="Duplicate","_Dub"&amp;IF(SUMPRODUCT(($B$2:B9=B9)*($D$2:D9=D9)*($E$2:E9=E9)*($F$2:F9=F9)*($G$2:G9=G9)*($I$2:I9="Duplicate"))&lt;=1,"",SUMPRODUCT(($B$2:B9=B9)*($D$2:D9=D9)*($E$2:E9=E9)*($F$2:F9=F9)*($G$2:G9=G9)*($I$2:I9="Duplicate"))-1),""))</f>
        <v/>
      </c>
      <c r="L9" s="6"/>
      <c r="M9" s="5" t="str">
        <f>IFERROR(VLOOKUP(E9,Specifications!$A$2:$D$9,2,FALSE),"")</f>
        <v/>
      </c>
      <c r="N9" s="5" t="str">
        <f>IFERROR(VLOOKUP(E9,Specifications!$A$2:$D$9,3,FALSE),"")</f>
        <v/>
      </c>
      <c r="O9" s="5" t="str">
        <f>IFERROR(VLOOKUP(E9,Specifications!$A$2:$D$9,4,FALSE),"")</f>
        <v/>
      </c>
      <c r="P9" s="8" t="str">
        <f t="shared" si="1"/>
        <v/>
      </c>
      <c r="Q9" s="6"/>
    </row>
    <row r="10" spans="1:17" ht="15">
      <c r="A10" s="5" t="str">
        <f t="shared" si="0"/>
        <v/>
      </c>
      <c r="B10" s="6"/>
      <c r="C10" s="5" t="str">
        <f>IFERROR(VLOOKUP(B10,Lists!$A$2:$B$25,2,FALSE),"")</f>
        <v/>
      </c>
      <c r="D10" s="7"/>
      <c r="E10" s="6"/>
      <c r="F10" s="6" t="str">
        <f t="shared" si="3"/>
        <v/>
      </c>
      <c r="G10" s="6"/>
      <c r="H10" s="6"/>
      <c r="I10" s="6"/>
      <c r="J10" s="7"/>
      <c r="K10" s="5" t="str" cm="1">
        <f t="array" ref="K10">IF(OR(A10="",B10="",D10="",E10=""),"",A10&amp;"_"&amp;SUBSTITUTE(B10," ","-")&amp;"_"&amp;D10&amp;"_"&amp;SUBSTITUTE(SUBSTITUTE(E10," ",""),"€","Euro")&amp;"_"&amp;IF(F10="","Unknown",F10)&amp;IF(F10="Commemorative",IF(G10="","","_"&amp;SUBSTITUTE(SUBSTITUTE(SUBSTITUTE(G10," ","-"),"/","-"),CHAR(39),"")),"")&amp;IF(I10="Duplicate","_Dub"&amp;IF(SUMPRODUCT(($B$2:B10=B10)*($D$2:D10=D10)*($E$2:E10=E10)*($F$2:F10=F10)*($G$2:G10=G10)*($I$2:I10="Duplicate"))&lt;=1,"",SUMPRODUCT(($B$2:B10=B10)*($D$2:D10=D10)*($E$2:E10=E10)*($F$2:F10=F10)*($G$2:G10=G10)*($I$2:I10="Duplicate"))-1),""))</f>
        <v/>
      </c>
      <c r="L10" s="6"/>
      <c r="M10" s="5" t="str">
        <f>IFERROR(VLOOKUP(E10,Specifications!$A$2:$D$9,2,FALSE),"")</f>
        <v/>
      </c>
      <c r="N10" s="5" t="str">
        <f>IFERROR(VLOOKUP(E10,Specifications!$A$2:$D$9,3,FALSE),"")</f>
        <v/>
      </c>
      <c r="O10" s="5" t="str">
        <f>IFERROR(VLOOKUP(E10,Specifications!$A$2:$D$9,4,FALSE),"")</f>
        <v/>
      </c>
      <c r="P10" s="8" t="str">
        <f t="shared" si="1"/>
        <v/>
      </c>
      <c r="Q10" s="6"/>
    </row>
    <row r="11" spans="1:17" ht="15">
      <c r="A11" s="5" t="str">
        <f t="shared" si="0"/>
        <v/>
      </c>
      <c r="B11" s="6"/>
      <c r="C11" s="5" t="str">
        <f>IFERROR(VLOOKUP(B11,Lists!$A$2:$B$25,2,FALSE),"")</f>
        <v/>
      </c>
      <c r="D11" s="7"/>
      <c r="E11" s="6"/>
      <c r="F11" s="6" t="str">
        <f t="shared" si="3"/>
        <v/>
      </c>
      <c r="G11" s="6"/>
      <c r="H11" s="6"/>
      <c r="I11" s="6"/>
      <c r="J11" s="7"/>
      <c r="K11" s="5" t="str" cm="1">
        <f t="array" ref="K11">IF(OR(A11="",B11="",D11="",E11=""),"",A11&amp;"_"&amp;SUBSTITUTE(B11," ","-")&amp;"_"&amp;D11&amp;"_"&amp;SUBSTITUTE(SUBSTITUTE(E11," ",""),"€","Euro")&amp;"_"&amp;IF(F11="","Unknown",F11)&amp;IF(F11="Commemorative",IF(G11="","","_"&amp;SUBSTITUTE(SUBSTITUTE(SUBSTITUTE(G11," ","-"),"/","-"),CHAR(39),"")),"")&amp;IF(I11="Duplicate","_Dub"&amp;IF(SUMPRODUCT(($B$2:B11=B11)*($D$2:D11=D11)*($E$2:E11=E11)*($F$2:F11=F11)*($G$2:G11=G11)*($I$2:I11="Duplicate"))&lt;=1,"",SUMPRODUCT(($B$2:B11=B11)*($D$2:D11=D11)*($E$2:E11=E11)*($F$2:F11=F11)*($G$2:G11=G11)*($I$2:I11="Duplicate"))-1),""))</f>
        <v/>
      </c>
      <c r="L11" s="6"/>
      <c r="M11" s="5" t="str">
        <f>IFERROR(VLOOKUP(E11,Specifications!$A$2:$D$9,2,FALSE),"")</f>
        <v/>
      </c>
      <c r="N11" s="5" t="str">
        <f>IFERROR(VLOOKUP(E11,Specifications!$A$2:$D$9,3,FALSE),"")</f>
        <v/>
      </c>
      <c r="O11" s="5" t="str">
        <f>IFERROR(VLOOKUP(E11,Specifications!$A$2:$D$9,4,FALSE),"")</f>
        <v/>
      </c>
      <c r="P11" s="8" t="str">
        <f t="shared" si="1"/>
        <v/>
      </c>
      <c r="Q11" s="6"/>
    </row>
    <row r="12" spans="1:17" ht="15">
      <c r="A12" s="5" t="str">
        <f t="shared" si="0"/>
        <v/>
      </c>
      <c r="B12" s="6"/>
      <c r="C12" s="5" t="str">
        <f>IFERROR(VLOOKUP(B12,Lists!$A$2:$B$25,2,FALSE),"")</f>
        <v/>
      </c>
      <c r="D12" s="7"/>
      <c r="E12" s="6"/>
      <c r="F12" s="6" t="str">
        <f t="shared" si="3"/>
        <v/>
      </c>
      <c r="G12" s="6"/>
      <c r="H12" s="6"/>
      <c r="I12" s="6"/>
      <c r="J12" s="7"/>
      <c r="K12" s="5" t="str" cm="1">
        <f t="array" ref="K12">IF(OR(A12="",B12="",D12="",E12=""),"",A12&amp;"_"&amp;SUBSTITUTE(B12," ","-")&amp;"_"&amp;D12&amp;"_"&amp;SUBSTITUTE(SUBSTITUTE(E12," ",""),"€","Euro")&amp;"_"&amp;IF(F12="","Unknown",F12)&amp;IF(F12="Commemorative",IF(G12="","","_"&amp;SUBSTITUTE(SUBSTITUTE(SUBSTITUTE(G12," ","-"),"/","-"),CHAR(39),"")),"")&amp;IF(I12="Duplicate","_Dub"&amp;IF(SUMPRODUCT(($B$2:B12=B12)*($D$2:D12=D12)*($E$2:E12=E12)*($F$2:F12=F12)*($G$2:G12=G12)*($I$2:I12="Duplicate"))&lt;=1,"",SUMPRODUCT(($B$2:B12=B12)*($D$2:D12=D12)*($E$2:E12=E12)*($F$2:F12=F12)*($G$2:G12=G12)*($I$2:I12="Duplicate"))-1),""))</f>
        <v/>
      </c>
      <c r="L12" s="6"/>
      <c r="M12" s="5" t="str">
        <f>IFERROR(VLOOKUP(E12,Specifications!$A$2:$D$9,2,FALSE),"")</f>
        <v/>
      </c>
      <c r="N12" s="5" t="str">
        <f>IFERROR(VLOOKUP(E12,Specifications!$A$2:$D$9,3,FALSE),"")</f>
        <v/>
      </c>
      <c r="O12" s="5" t="str">
        <f>IFERROR(VLOOKUP(E12,Specifications!$A$2:$D$9,4,FALSE),"")</f>
        <v/>
      </c>
      <c r="P12" s="8" t="str">
        <f t="shared" si="1"/>
        <v/>
      </c>
      <c r="Q12" s="6"/>
    </row>
    <row r="13" spans="1:17" ht="15">
      <c r="A13" s="5" t="str">
        <f t="shared" si="0"/>
        <v/>
      </c>
      <c r="B13" s="6"/>
      <c r="C13" s="5" t="str">
        <f>IFERROR(VLOOKUP(B13,Lists!$A$2:$B$25,2,FALSE),"")</f>
        <v/>
      </c>
      <c r="D13" s="7"/>
      <c r="E13" s="6"/>
      <c r="F13" s="6" t="str">
        <f t="shared" si="3"/>
        <v/>
      </c>
      <c r="G13" s="6"/>
      <c r="H13" s="6"/>
      <c r="I13" s="6"/>
      <c r="J13" s="7"/>
      <c r="K13" s="5" t="str" cm="1">
        <f t="array" ref="K13">IF(OR(A13="",B13="",D13="",E13=""),"",A13&amp;"_"&amp;SUBSTITUTE(B13," ","-")&amp;"_"&amp;D13&amp;"_"&amp;SUBSTITUTE(SUBSTITUTE(E13," ",""),"€","Euro")&amp;"_"&amp;IF(F13="","Unknown",F13)&amp;IF(F13="Commemorative",IF(G13="","","_"&amp;SUBSTITUTE(SUBSTITUTE(SUBSTITUTE(G13," ","-"),"/","-"),CHAR(39),"")),"")&amp;IF(I13="Duplicate","_Dub"&amp;IF(SUMPRODUCT(($B$2:B13=B13)*($D$2:D13=D13)*($E$2:E13=E13)*($F$2:F13=F13)*($G$2:G13=G13)*($I$2:I13="Duplicate"))&lt;=1,"",SUMPRODUCT(($B$2:B13=B13)*($D$2:D13=D13)*($E$2:E13=E13)*($F$2:F13=F13)*($G$2:G13=G13)*($I$2:I13="Duplicate"))-1),""))</f>
        <v/>
      </c>
      <c r="L13" s="6"/>
      <c r="M13" s="5" t="str">
        <f>IFERROR(VLOOKUP(E13,Specifications!$A$2:$D$9,2,FALSE),"")</f>
        <v/>
      </c>
      <c r="N13" s="5" t="str">
        <f>IFERROR(VLOOKUP(E13,Specifications!$A$2:$D$9,3,FALSE),"")</f>
        <v/>
      </c>
      <c r="O13" s="5" t="str">
        <f>IFERROR(VLOOKUP(E13,Specifications!$A$2:$D$9,4,FALSE),"")</f>
        <v/>
      </c>
      <c r="P13" s="8" t="str">
        <f t="shared" si="1"/>
        <v/>
      </c>
      <c r="Q13" s="6"/>
    </row>
    <row r="14" spans="1:17" ht="15">
      <c r="A14" s="5" t="str">
        <f t="shared" si="0"/>
        <v/>
      </c>
      <c r="B14" s="6"/>
      <c r="C14" s="5" t="str">
        <f>IFERROR(VLOOKUP(B14,Lists!$A$2:$B$25,2,FALSE),"")</f>
        <v/>
      </c>
      <c r="D14" s="7"/>
      <c r="E14" s="6"/>
      <c r="F14" s="6" t="str">
        <f t="shared" si="3"/>
        <v/>
      </c>
      <c r="G14" s="6"/>
      <c r="H14" s="6"/>
      <c r="I14" s="6"/>
      <c r="J14" s="7"/>
      <c r="K14" s="5" t="str" cm="1">
        <f t="array" ref="K14">IF(OR(A14="",B14="",D14="",E14=""),"",A14&amp;"_"&amp;SUBSTITUTE(B14," ","-")&amp;"_"&amp;D14&amp;"_"&amp;SUBSTITUTE(SUBSTITUTE(E14," ",""),"€","Euro")&amp;"_"&amp;IF(F14="","Unknown",F14)&amp;IF(F14="Commemorative",IF(G14="","","_"&amp;SUBSTITUTE(SUBSTITUTE(SUBSTITUTE(G14," ","-"),"/","-"),CHAR(39),"")),"")&amp;IF(I14="Duplicate","_Dub"&amp;IF(SUMPRODUCT(($B$2:B14=B14)*($D$2:D14=D14)*($E$2:E14=E14)*($F$2:F14=F14)*($G$2:G14=G14)*($I$2:I14="Duplicate"))&lt;=1,"",SUMPRODUCT(($B$2:B14=B14)*($D$2:D14=D14)*($E$2:E14=E14)*($F$2:F14=F14)*($G$2:G14=G14)*($I$2:I14="Duplicate"))-1),""))</f>
        <v/>
      </c>
      <c r="L14" s="6"/>
      <c r="M14" s="5" t="str">
        <f>IFERROR(VLOOKUP(E14,Specifications!$A$2:$D$9,2,FALSE),"")</f>
        <v/>
      </c>
      <c r="N14" s="5" t="str">
        <f>IFERROR(VLOOKUP(E14,Specifications!$A$2:$D$9,3,FALSE),"")</f>
        <v/>
      </c>
      <c r="O14" s="5" t="str">
        <f>IFERROR(VLOOKUP(E14,Specifications!$A$2:$D$9,4,FALSE),"")</f>
        <v/>
      </c>
      <c r="P14" s="8" t="str">
        <f t="shared" si="1"/>
        <v/>
      </c>
      <c r="Q14" s="6"/>
    </row>
    <row r="15" spans="1:17" ht="15">
      <c r="A15" s="5" t="str">
        <f t="shared" si="0"/>
        <v/>
      </c>
      <c r="B15" s="6"/>
      <c r="C15" s="5" t="str">
        <f>IFERROR(VLOOKUP(B15,Lists!$A$2:$B$25,2,FALSE),"")</f>
        <v/>
      </c>
      <c r="D15" s="7"/>
      <c r="E15" s="6"/>
      <c r="F15" s="6" t="str">
        <f t="shared" si="3"/>
        <v/>
      </c>
      <c r="G15" s="6"/>
      <c r="H15" s="6"/>
      <c r="I15" s="6"/>
      <c r="J15" s="7"/>
      <c r="K15" s="5" t="str" cm="1">
        <f t="array" ref="K15">IF(OR(A15="",B15="",D15="",E15=""),"",A15&amp;"_"&amp;SUBSTITUTE(B15," ","-")&amp;"_"&amp;D15&amp;"_"&amp;SUBSTITUTE(SUBSTITUTE(E15," ",""),"€","Euro")&amp;"_"&amp;IF(F15="","Unknown",F15)&amp;IF(F15="Commemorative",IF(G15="","","_"&amp;SUBSTITUTE(SUBSTITUTE(SUBSTITUTE(G15," ","-"),"/","-"),CHAR(39),"")),"")&amp;IF(I15="Duplicate","_Dub"&amp;IF(SUMPRODUCT(($B$2:B15=B15)*($D$2:D15=D15)*($E$2:E15=E15)*($F$2:F15=F15)*($G$2:G15=G15)*($I$2:I15="Duplicate"))&lt;=1,"",SUMPRODUCT(($B$2:B15=B15)*($D$2:D15=D15)*($E$2:E15=E15)*($F$2:F15=F15)*($G$2:G15=G15)*($I$2:I15="Duplicate"))-1),""))</f>
        <v/>
      </c>
      <c r="L15" s="6"/>
      <c r="M15" s="5" t="str">
        <f>IFERROR(VLOOKUP(E15,Specifications!$A$2:$D$9,2,FALSE),"")</f>
        <v/>
      </c>
      <c r="N15" s="5" t="str">
        <f>IFERROR(VLOOKUP(E15,Specifications!$A$2:$D$9,3,FALSE),"")</f>
        <v/>
      </c>
      <c r="O15" s="5" t="str">
        <f>IFERROR(VLOOKUP(E15,Specifications!$A$2:$D$9,4,FALSE),"")</f>
        <v/>
      </c>
      <c r="P15" s="8" t="str">
        <f t="shared" si="1"/>
        <v/>
      </c>
      <c r="Q15" s="9"/>
    </row>
    <row r="16" spans="1:17" ht="15">
      <c r="A16" s="5" t="str">
        <f t="shared" si="0"/>
        <v/>
      </c>
      <c r="B16" s="6"/>
      <c r="C16" s="5" t="str">
        <f>IFERROR(VLOOKUP(B16,Lists!$A$2:$B$25,2,FALSE),"")</f>
        <v/>
      </c>
      <c r="D16" s="7"/>
      <c r="E16" s="6"/>
      <c r="F16" s="6" t="str">
        <f t="shared" si="3"/>
        <v/>
      </c>
      <c r="G16" s="6"/>
      <c r="H16" s="6"/>
      <c r="I16" s="6"/>
      <c r="J16" s="7"/>
      <c r="K16" s="5" t="str" cm="1">
        <f t="array" ref="K16">IF(OR(A16="",B16="",D16="",E16=""),"",A16&amp;"_"&amp;SUBSTITUTE(B16," ","-")&amp;"_"&amp;D16&amp;"_"&amp;SUBSTITUTE(SUBSTITUTE(E16," ",""),"€","Euro")&amp;"_"&amp;IF(F16="","Unknown",F16)&amp;IF(F16="Commemorative",IF(G16="","","_"&amp;SUBSTITUTE(SUBSTITUTE(SUBSTITUTE(G16," ","-"),"/","-"),CHAR(39),"")),"")&amp;IF(I16="Duplicate","_Dub"&amp;IF(SUMPRODUCT(($B$2:B16=B16)*($D$2:D16=D16)*($E$2:E16=E16)*($F$2:F16=F16)*($G$2:G16=G16)*($I$2:I16="Duplicate"))&lt;=1,"",SUMPRODUCT(($B$2:B16=B16)*($D$2:D16=D16)*($E$2:E16=E16)*($F$2:F16=F16)*($G$2:G16=G16)*($I$2:I16="Duplicate"))-1),""))</f>
        <v/>
      </c>
      <c r="L16" s="6"/>
      <c r="M16" s="5" t="str">
        <f>IFERROR(VLOOKUP(E16,Specifications!$A$2:$D$9,2,FALSE),"")</f>
        <v/>
      </c>
      <c r="N16" s="5" t="str">
        <f>IFERROR(VLOOKUP(E16,Specifications!$A$2:$D$9,3,FALSE),"")</f>
        <v/>
      </c>
      <c r="O16" s="5" t="str">
        <f>IFERROR(VLOOKUP(E16,Specifications!$A$2:$D$9,4,FALSE),"")</f>
        <v/>
      </c>
      <c r="P16" s="8" t="str">
        <f t="shared" si="1"/>
        <v/>
      </c>
      <c r="Q16" s="9"/>
    </row>
    <row r="17" spans="1:17" ht="15">
      <c r="A17" s="5" t="str">
        <f t="shared" si="0"/>
        <v/>
      </c>
      <c r="B17" s="6"/>
      <c r="C17" s="5" t="str">
        <f>IFERROR(VLOOKUP(B17,Lists!$A$2:$B$25,2,FALSE),"")</f>
        <v/>
      </c>
      <c r="D17" s="7"/>
      <c r="E17" s="6"/>
      <c r="F17" s="6" t="str">
        <f t="shared" si="3"/>
        <v/>
      </c>
      <c r="G17" s="6"/>
      <c r="H17" s="6"/>
      <c r="I17" s="6"/>
      <c r="J17" s="7"/>
      <c r="K17" s="5" t="str" cm="1">
        <f t="array" ref="K17">IF(OR(A17="",B17="",D17="",E17=""),"",A17&amp;"_"&amp;SUBSTITUTE(B17," ","-")&amp;"_"&amp;D17&amp;"_"&amp;SUBSTITUTE(SUBSTITUTE(E17," ",""),"€","Euro")&amp;"_"&amp;IF(F17="","Unknown",F17)&amp;IF(F17="Commemorative",IF(G17="","","_"&amp;SUBSTITUTE(SUBSTITUTE(SUBSTITUTE(G17," ","-"),"/","-"),CHAR(39),"")),"")&amp;IF(I17="Duplicate","_Dub"&amp;IF(SUMPRODUCT(($B$2:B17=B17)*($D$2:D17=D17)*($E$2:E17=E17)*($F$2:F17=F17)*($G$2:G17=G17)*($I$2:I17="Duplicate"))&lt;=1,"",SUMPRODUCT(($B$2:B17=B17)*($D$2:D17=D17)*($E$2:E17=E17)*($F$2:F17=F17)*($G$2:G17=G17)*($I$2:I17="Duplicate"))-1),""))</f>
        <v/>
      </c>
      <c r="L17" s="6"/>
      <c r="M17" s="5" t="str">
        <f>IFERROR(VLOOKUP(E17,Specifications!$A$2:$D$9,2,FALSE),"")</f>
        <v/>
      </c>
      <c r="N17" s="5" t="str">
        <f>IFERROR(VLOOKUP(E17,Specifications!$A$2:$D$9,3,FALSE),"")</f>
        <v/>
      </c>
      <c r="O17" s="5" t="str">
        <f>IFERROR(VLOOKUP(E17,Specifications!$A$2:$D$9,4,FALSE),"")</f>
        <v/>
      </c>
      <c r="P17" s="8" t="str">
        <f t="shared" si="1"/>
        <v/>
      </c>
      <c r="Q17" s="9"/>
    </row>
    <row r="18" spans="1:17" ht="15">
      <c r="A18" s="5" t="str">
        <f t="shared" si="0"/>
        <v/>
      </c>
      <c r="B18" s="6"/>
      <c r="C18" s="5" t="str">
        <f>IFERROR(VLOOKUP(B18,Lists!$A$2:$B$25,2,FALSE),"")</f>
        <v/>
      </c>
      <c r="D18" s="7"/>
      <c r="E18" s="6"/>
      <c r="F18" s="6"/>
      <c r="G18" s="6"/>
      <c r="H18" s="6"/>
      <c r="I18" s="6"/>
      <c r="J18" s="7"/>
      <c r="K18" s="5" t="str" cm="1">
        <f t="array" ref="K18">IF(OR(A18="",B18="",D18="",E18=""),"",A18&amp;"_"&amp;SUBSTITUTE(B18," ","-")&amp;"_"&amp;D18&amp;"_"&amp;SUBSTITUTE(SUBSTITUTE(E18," ",""),"€","Euro")&amp;"_"&amp;IF(F18="","Unknown",F18)&amp;IF(F18="Commemorative",IF(G18="","","_"&amp;SUBSTITUTE(SUBSTITUTE(SUBSTITUTE(G18," ","-"),"/","-"),CHAR(39),"")),"")&amp;IF(I18="Duplicate","_Dub"&amp;IF(SUMPRODUCT(($B$2:B18=B18)*($D$2:D18=D18)*($E$2:E18=E18)*($F$2:F18=F18)*($G$2:G18=G18)*($I$2:I18="Duplicate"))&lt;=1,"",SUMPRODUCT(($B$2:B18=B18)*($D$2:D18=D18)*($E$2:E18=E18)*($F$2:F18=F18)*($G$2:G18=G18)*($I$2:I18="Duplicate"))-1),""))</f>
        <v/>
      </c>
      <c r="L18" s="6"/>
      <c r="M18" s="5" t="str">
        <f>IFERROR(VLOOKUP(E18,Specifications!$A$2:$D$9,2,FALSE),"")</f>
        <v/>
      </c>
      <c r="N18" s="5" t="str">
        <f>IFERROR(VLOOKUP(E18,Specifications!$A$2:$D$9,3,FALSE),"")</f>
        <v/>
      </c>
      <c r="O18" s="5" t="str">
        <f>IFERROR(VLOOKUP(E18,Specifications!$A$2:$D$9,4,FALSE),"")</f>
        <v/>
      </c>
      <c r="P18" s="8" t="str">
        <f t="shared" si="1"/>
        <v/>
      </c>
      <c r="Q18" s="9"/>
    </row>
    <row r="19" spans="1:17" ht="15">
      <c r="A19" s="5" t="str">
        <f t="shared" si="0"/>
        <v/>
      </c>
      <c r="B19" s="6"/>
      <c r="C19" s="5" t="str">
        <f>IFERROR(VLOOKUP(B19,Lists!$A$2:$B$25,2,FALSE),"")</f>
        <v/>
      </c>
      <c r="D19" s="7"/>
      <c r="E19" s="6"/>
      <c r="F19" s="6" t="str">
        <f t="shared" si="3"/>
        <v/>
      </c>
      <c r="G19" s="6"/>
      <c r="H19" s="6"/>
      <c r="I19" s="6"/>
      <c r="J19" s="7"/>
      <c r="K19" s="5" t="str" cm="1">
        <f t="array" ref="K19">IF(OR(A19="",B19="",D19="",E19=""),"",A19&amp;"_"&amp;SUBSTITUTE(B19," ","-")&amp;"_"&amp;D19&amp;"_"&amp;SUBSTITUTE(SUBSTITUTE(E19," ",""),"€","Euro")&amp;"_"&amp;IF(F19="","Unknown",F19)&amp;IF(F19="Commemorative",IF(G19="","","_"&amp;SUBSTITUTE(SUBSTITUTE(SUBSTITUTE(G19," ","-"),"/","-"),CHAR(39),"")),"")&amp;IF(I19="Duplicate","_Dub"&amp;IF(SUMPRODUCT(($B$2:B19=B19)*($D$2:D19=D19)*($E$2:E19=E19)*($F$2:F19=F19)*($G$2:G19=G19)*($I$2:I19="Duplicate"))&lt;=1,"",SUMPRODUCT(($B$2:B19=B19)*($D$2:D19=D19)*($E$2:E19=E19)*($F$2:F19=F19)*($G$2:G19=G19)*($I$2:I19="Duplicate"))-1),""))</f>
        <v/>
      </c>
      <c r="L19" s="6"/>
      <c r="M19" s="5" t="str">
        <f>IFERROR(VLOOKUP(E19,Specifications!$A$2:$D$9,2,FALSE),"")</f>
        <v/>
      </c>
      <c r="N19" s="5" t="str">
        <f>IFERROR(VLOOKUP(E19,Specifications!$A$2:$D$9,3,FALSE),"")</f>
        <v/>
      </c>
      <c r="O19" s="5" t="str">
        <f>IFERROR(VLOOKUP(E19,Specifications!$A$2:$D$9,4,FALSE),"")</f>
        <v/>
      </c>
      <c r="P19" s="8" t="str">
        <f t="shared" si="1"/>
        <v/>
      </c>
      <c r="Q19" s="9"/>
    </row>
    <row r="20" spans="1:17" ht="15">
      <c r="A20" s="5" t="str">
        <f t="shared" si="0"/>
        <v/>
      </c>
      <c r="B20" s="6"/>
      <c r="C20" s="5" t="str">
        <f>IFERROR(VLOOKUP(B20,Lists!$A$2:$B$25,2,FALSE),"")</f>
        <v/>
      </c>
      <c r="D20" s="7"/>
      <c r="E20" s="6"/>
      <c r="F20" s="6" t="str">
        <f t="shared" si="3"/>
        <v/>
      </c>
      <c r="G20" s="6"/>
      <c r="H20" s="6"/>
      <c r="I20" s="6"/>
      <c r="J20" s="7"/>
      <c r="K20" s="5" t="str" cm="1">
        <f t="array" ref="K20">IF(OR(A20="",B20="",D20="",E20=""),"",A20&amp;"_"&amp;SUBSTITUTE(B20," ","-")&amp;"_"&amp;D20&amp;"_"&amp;SUBSTITUTE(SUBSTITUTE(E20," ",""),"€","Euro")&amp;"_"&amp;IF(F20="","Unknown",F20)&amp;IF(F20="Commemorative",IF(G20="","","_"&amp;SUBSTITUTE(SUBSTITUTE(SUBSTITUTE(G20," ","-"),"/","-"),CHAR(39),"")),"")&amp;IF(I20="Duplicate","_Dub"&amp;IF(SUMPRODUCT(($B$2:B20=B20)*($D$2:D20=D20)*($E$2:E20=E20)*($F$2:F20=F20)*($G$2:G20=G20)*($I$2:I20="Duplicate"))&lt;=1,"",SUMPRODUCT(($B$2:B20=B20)*($D$2:D20=D20)*($E$2:E20=E20)*($F$2:F20=F20)*($G$2:G20=G20)*($I$2:I20="Duplicate"))-1),""))</f>
        <v/>
      </c>
      <c r="L20" s="6"/>
      <c r="M20" s="5" t="str">
        <f>IFERROR(VLOOKUP(E20,Specifications!$A$2:$D$9,2,FALSE),"")</f>
        <v/>
      </c>
      <c r="N20" s="5" t="str">
        <f>IFERROR(VLOOKUP(E20,Specifications!$A$2:$D$9,3,FALSE),"")</f>
        <v/>
      </c>
      <c r="O20" s="5" t="str">
        <f>IFERROR(VLOOKUP(E20,Specifications!$A$2:$D$9,4,FALSE),"")</f>
        <v/>
      </c>
      <c r="P20" s="8" t="str">
        <f t="shared" si="1"/>
        <v/>
      </c>
      <c r="Q20" s="9"/>
    </row>
    <row r="21" spans="1:17" ht="15">
      <c r="A21" s="5" t="str">
        <f t="shared" si="0"/>
        <v/>
      </c>
      <c r="B21" s="6"/>
      <c r="C21" s="5" t="str">
        <f>IFERROR(VLOOKUP(B21,Lists!$A$2:$B$25,2,FALSE),"")</f>
        <v/>
      </c>
      <c r="D21" s="7"/>
      <c r="E21" s="6"/>
      <c r="F21" s="6" t="str">
        <f t="shared" si="3"/>
        <v/>
      </c>
      <c r="G21" s="6"/>
      <c r="H21" s="6"/>
      <c r="I21" s="6"/>
      <c r="J21" s="7"/>
      <c r="K21" s="5" t="str" cm="1">
        <f t="array" ref="K21">IF(OR(A21="",B21="",D21="",E21=""),"",A21&amp;"_"&amp;SUBSTITUTE(B21," ","-")&amp;"_"&amp;D21&amp;"_"&amp;SUBSTITUTE(SUBSTITUTE(E21," ",""),"€","Euro")&amp;"_"&amp;IF(F21="","Unknown",F21)&amp;IF(F21="Commemorative",IF(G21="","","_"&amp;SUBSTITUTE(SUBSTITUTE(SUBSTITUTE(G21," ","-"),"/","-"),CHAR(39),"")),"")&amp;IF(I21="Duplicate","_Dub"&amp;IF(SUMPRODUCT(($B$2:B21=B21)*($D$2:D21=D21)*($E$2:E21=E21)*($F$2:F21=F21)*($G$2:G21=G21)*($I$2:I21="Duplicate"))&lt;=1,"",SUMPRODUCT(($B$2:B21=B21)*($D$2:D21=D21)*($E$2:E21=E21)*($F$2:F21=F21)*($G$2:G21=G21)*($I$2:I21="Duplicate"))-1),""))</f>
        <v/>
      </c>
      <c r="L21" s="6"/>
      <c r="M21" s="5" t="str">
        <f>IFERROR(VLOOKUP(E21,Specifications!$A$2:$D$9,2,FALSE),"")</f>
        <v/>
      </c>
      <c r="N21" s="5" t="str">
        <f>IFERROR(VLOOKUP(E21,Specifications!$A$2:$D$9,3,FALSE),"")</f>
        <v/>
      </c>
      <c r="O21" s="5" t="str">
        <f>IFERROR(VLOOKUP(E21,Specifications!$A$2:$D$9,4,FALSE),"")</f>
        <v/>
      </c>
      <c r="P21" s="8" t="str">
        <f t="shared" si="1"/>
        <v/>
      </c>
      <c r="Q21" s="9"/>
    </row>
    <row r="22" spans="1:17" ht="15">
      <c r="A22" s="5" t="str">
        <f t="shared" si="0"/>
        <v/>
      </c>
      <c r="B22" s="6"/>
      <c r="C22" s="5" t="str">
        <f>IFERROR(VLOOKUP(B22,Lists!$A$2:$B$25,2,FALSE),"")</f>
        <v/>
      </c>
      <c r="D22" s="7"/>
      <c r="E22" s="6"/>
      <c r="F22" s="6" t="str">
        <f t="shared" si="3"/>
        <v/>
      </c>
      <c r="G22" s="6"/>
      <c r="H22" s="6"/>
      <c r="I22" s="6"/>
      <c r="J22" s="7"/>
      <c r="K22" s="5" t="str" cm="1">
        <f t="array" ref="K22">IF(OR(A22="",B22="",D22="",E22=""),"",A22&amp;"_"&amp;SUBSTITUTE(B22," ","-")&amp;"_"&amp;D22&amp;"_"&amp;SUBSTITUTE(SUBSTITUTE(E22," ",""),"€","Euro")&amp;"_"&amp;IF(F22="","Unknown",F22)&amp;IF(F22="Commemorative",IF(G22="","","_"&amp;SUBSTITUTE(SUBSTITUTE(SUBSTITUTE(G22," ","-"),"/","-"),CHAR(39),"")),"")&amp;IF(I22="Duplicate","_Dub"&amp;IF(SUMPRODUCT(($B$2:B22=B22)*($D$2:D22=D22)*($E$2:E22=E22)*($F$2:F22=F22)*($G$2:G22=G22)*($I$2:I22="Duplicate"))&lt;=1,"",SUMPRODUCT(($B$2:B22=B22)*($D$2:D22=D22)*($E$2:E22=E22)*($F$2:F22=F22)*($G$2:G22=G22)*($I$2:I22="Duplicate"))-1),""))</f>
        <v/>
      </c>
      <c r="L22" s="6"/>
      <c r="M22" s="5" t="str">
        <f>IFERROR(VLOOKUP(E22,Specifications!$A$2:$D$9,2,FALSE),"")</f>
        <v/>
      </c>
      <c r="N22" s="5" t="str">
        <f>IFERROR(VLOOKUP(E22,Specifications!$A$2:$D$9,3,FALSE),"")</f>
        <v/>
      </c>
      <c r="O22" s="5" t="str">
        <f>IFERROR(VLOOKUP(E22,Specifications!$A$2:$D$9,4,FALSE),"")</f>
        <v/>
      </c>
      <c r="P22" s="8" t="str">
        <f t="shared" si="1"/>
        <v/>
      </c>
      <c r="Q22" s="9"/>
    </row>
    <row r="23" spans="1:17" ht="15">
      <c r="A23" s="5" t="str">
        <f t="shared" si="0"/>
        <v/>
      </c>
      <c r="B23" s="6"/>
      <c r="C23" s="5" t="str">
        <f>IFERROR(VLOOKUP(B23,Lists!$A$2:$B$25,2,FALSE),"")</f>
        <v/>
      </c>
      <c r="D23" s="7"/>
      <c r="E23" s="6"/>
      <c r="F23" s="6" t="str">
        <f t="shared" si="3"/>
        <v/>
      </c>
      <c r="G23" s="6"/>
      <c r="H23" s="6"/>
      <c r="I23" s="6"/>
      <c r="J23" s="7"/>
      <c r="K23" s="5" t="str" cm="1">
        <f t="array" ref="K23">IF(OR(A23="",B23="",D23="",E23=""),"",A23&amp;"_"&amp;SUBSTITUTE(B23," ","-")&amp;"_"&amp;D23&amp;"_"&amp;SUBSTITUTE(SUBSTITUTE(E23," ",""),"€","Euro")&amp;"_"&amp;IF(F23="","Unknown",F23)&amp;IF(F23="Commemorative",IF(G23="","","_"&amp;SUBSTITUTE(SUBSTITUTE(SUBSTITUTE(G23," ","-"),"/","-"),CHAR(39),"")),"")&amp;IF(I23="Duplicate","_Dub"&amp;IF(SUMPRODUCT(($B$2:B23=B23)*($D$2:D23=D23)*($E$2:E23=E23)*($F$2:F23=F23)*($G$2:G23=G23)*($I$2:I23="Duplicate"))&lt;=1,"",SUMPRODUCT(($B$2:B23=B23)*($D$2:D23=D23)*($E$2:E23=E23)*($F$2:F23=F23)*($G$2:G23=G23)*($I$2:I23="Duplicate"))-1),""))</f>
        <v/>
      </c>
      <c r="L23" s="6"/>
      <c r="M23" s="5" t="str">
        <f>IFERROR(VLOOKUP(E23,Specifications!$A$2:$D$9,2,FALSE),"")</f>
        <v/>
      </c>
      <c r="N23" s="5" t="str">
        <f>IFERROR(VLOOKUP(E23,Specifications!$A$2:$D$9,3,FALSE),"")</f>
        <v/>
      </c>
      <c r="O23" s="5" t="str">
        <f>IFERROR(VLOOKUP(E23,Specifications!$A$2:$D$9,4,FALSE),"")</f>
        <v/>
      </c>
      <c r="P23" s="8" t="str">
        <f t="shared" si="1"/>
        <v/>
      </c>
      <c r="Q23" s="9"/>
    </row>
    <row r="24" spans="1:17" ht="15">
      <c r="A24" s="5" t="str">
        <f t="shared" si="0"/>
        <v/>
      </c>
      <c r="B24" s="6"/>
      <c r="C24" s="5" t="str">
        <f>IFERROR(VLOOKUP(B24,Lists!$A$2:$B$25,2,FALSE),"")</f>
        <v/>
      </c>
      <c r="D24" s="7"/>
      <c r="E24" s="6"/>
      <c r="F24" s="6" t="str">
        <f t="shared" si="3"/>
        <v/>
      </c>
      <c r="G24" s="6"/>
      <c r="H24" s="6"/>
      <c r="I24" s="6"/>
      <c r="J24" s="7"/>
      <c r="K24" s="5" t="str" cm="1">
        <f t="array" ref="K24">IF(OR(A24="",B24="",D24="",E24=""),"",A24&amp;"_"&amp;SUBSTITUTE(B24," ","-")&amp;"_"&amp;D24&amp;"_"&amp;SUBSTITUTE(SUBSTITUTE(E24," ",""),"€","Euro")&amp;"_"&amp;IF(F24="","Unknown",F24)&amp;IF(F24="Commemorative",IF(G24="","","_"&amp;SUBSTITUTE(SUBSTITUTE(SUBSTITUTE(G24," ","-"),"/","-"),CHAR(39),"")),"")&amp;IF(I24="Duplicate","_Dub"&amp;IF(SUMPRODUCT(($B$2:B24=B24)*($D$2:D24=D24)*($E$2:E24=E24)*($F$2:F24=F24)*($G$2:G24=G24)*($I$2:I24="Duplicate"))&lt;=1,"",SUMPRODUCT(($B$2:B24=B24)*($D$2:D24=D24)*($E$2:E24=E24)*($F$2:F24=F24)*($G$2:G24=G24)*($I$2:I24="Duplicate"))-1),""))</f>
        <v/>
      </c>
      <c r="L24" s="6"/>
      <c r="M24" s="5" t="str">
        <f>IFERROR(VLOOKUP(E24,Specifications!$A$2:$D$9,2,FALSE),"")</f>
        <v/>
      </c>
      <c r="N24" s="5" t="str">
        <f>IFERROR(VLOOKUP(E24,Specifications!$A$2:$D$9,3,FALSE),"")</f>
        <v/>
      </c>
      <c r="O24" s="5" t="str">
        <f>IFERROR(VLOOKUP(E24,Specifications!$A$2:$D$9,4,FALSE),"")</f>
        <v/>
      </c>
      <c r="P24" s="8" t="str">
        <f t="shared" si="1"/>
        <v/>
      </c>
      <c r="Q24" s="9"/>
    </row>
    <row r="25" spans="1:17" ht="15">
      <c r="A25" s="5" t="str">
        <f t="shared" si="0"/>
        <v/>
      </c>
      <c r="B25" s="6"/>
      <c r="C25" s="5" t="str">
        <f>IFERROR(VLOOKUP(B25,Lists!$A$2:$B$25,2,FALSE),"")</f>
        <v/>
      </c>
      <c r="D25" s="7"/>
      <c r="E25" s="6"/>
      <c r="F25" s="6" t="str">
        <f t="shared" si="3"/>
        <v/>
      </c>
      <c r="G25" s="6"/>
      <c r="H25" s="6"/>
      <c r="I25" s="6"/>
      <c r="J25" s="7"/>
      <c r="K25" s="5" t="str" cm="1">
        <f t="array" ref="K25">IF(OR(A25="",B25="",D25="",E25=""),"",A25&amp;"_"&amp;SUBSTITUTE(B25," ","-")&amp;"_"&amp;D25&amp;"_"&amp;SUBSTITUTE(SUBSTITUTE(E25," ",""),"€","Euro")&amp;"_"&amp;IF(F25="","Unknown",F25)&amp;IF(F25="Commemorative",IF(G25="","","_"&amp;SUBSTITUTE(SUBSTITUTE(SUBSTITUTE(G25," ","-"),"/","-"),CHAR(39),"")),"")&amp;IF(I25="Duplicate","_Dub"&amp;IF(SUMPRODUCT(($B$2:B25=B25)*($D$2:D25=D25)*($E$2:E25=E25)*($F$2:F25=F25)*($G$2:G25=G25)*($I$2:I25="Duplicate"))&lt;=1,"",SUMPRODUCT(($B$2:B25=B25)*($D$2:D25=D25)*($E$2:E25=E25)*($F$2:F25=F25)*($G$2:G25=G25)*($I$2:I25="Duplicate"))-1),""))</f>
        <v/>
      </c>
      <c r="L25" s="6"/>
      <c r="M25" s="5" t="str">
        <f>IFERROR(VLOOKUP(E25,Specifications!$A$2:$D$9,2,FALSE),"")</f>
        <v/>
      </c>
      <c r="N25" s="5" t="str">
        <f>IFERROR(VLOOKUP(E25,Specifications!$A$2:$D$9,3,FALSE),"")</f>
        <v/>
      </c>
      <c r="O25" s="5" t="str">
        <f>IFERROR(VLOOKUP(E25,Specifications!$A$2:$D$9,4,FALSE),"")</f>
        <v/>
      </c>
      <c r="P25" s="8" t="str">
        <f t="shared" si="1"/>
        <v/>
      </c>
      <c r="Q25" s="9"/>
    </row>
    <row r="26" spans="1:17" ht="15">
      <c r="A26" s="5" t="str">
        <f t="shared" si="0"/>
        <v/>
      </c>
      <c r="B26" s="6"/>
      <c r="C26" s="5" t="str">
        <f>IFERROR(VLOOKUP(B26,Lists!$A$2:$B$25,2,FALSE),"")</f>
        <v/>
      </c>
      <c r="D26" s="7"/>
      <c r="E26" s="6"/>
      <c r="F26" s="6" t="str">
        <f t="shared" si="3"/>
        <v/>
      </c>
      <c r="G26" s="6"/>
      <c r="H26" s="6"/>
      <c r="I26" s="6"/>
      <c r="J26" s="7"/>
      <c r="K26" s="5" t="str" cm="1">
        <f t="array" ref="K26">IF(OR(A26="",B26="",D26="",E26=""),"",A26&amp;"_"&amp;SUBSTITUTE(B26," ","-")&amp;"_"&amp;D26&amp;"_"&amp;SUBSTITUTE(SUBSTITUTE(E26," ",""),"€","Euro")&amp;"_"&amp;IF(F26="","Unknown",F26)&amp;IF(F26="Commemorative",IF(G26="","","_"&amp;SUBSTITUTE(SUBSTITUTE(SUBSTITUTE(G26," ","-"),"/","-"),CHAR(39),"")),"")&amp;IF(I26="Duplicate","_Dub"&amp;IF(SUMPRODUCT(($B$2:B26=B26)*($D$2:D26=D26)*($E$2:E26=E26)*($F$2:F26=F26)*($G$2:G26=G26)*($I$2:I26="Duplicate"))&lt;=1,"",SUMPRODUCT(($B$2:B26=B26)*($D$2:D26=D26)*($E$2:E26=E26)*($F$2:F26=F26)*($G$2:G26=G26)*($I$2:I26="Duplicate"))-1),""))</f>
        <v/>
      </c>
      <c r="L26" s="6"/>
      <c r="M26" s="5" t="str">
        <f>IFERROR(VLOOKUP(E26,Specifications!$A$2:$D$9,2,FALSE),"")</f>
        <v/>
      </c>
      <c r="N26" s="5" t="str">
        <f>IFERROR(VLOOKUP(E26,Specifications!$A$2:$D$9,3,FALSE),"")</f>
        <v/>
      </c>
      <c r="O26" s="5" t="str">
        <f>IFERROR(VLOOKUP(E26,Specifications!$A$2:$D$9,4,FALSE),"")</f>
        <v/>
      </c>
      <c r="P26" s="8" t="str">
        <f t="shared" si="1"/>
        <v/>
      </c>
      <c r="Q26" s="9"/>
    </row>
    <row r="27" spans="1:17" ht="15">
      <c r="A27" s="5" t="str">
        <f t="shared" si="0"/>
        <v/>
      </c>
      <c r="B27" s="6"/>
      <c r="C27" s="5" t="str">
        <f>IFERROR(VLOOKUP(B27,Lists!$A$2:$B$25,2,FALSE),"")</f>
        <v/>
      </c>
      <c r="D27" s="7"/>
      <c r="E27" s="6"/>
      <c r="F27" s="6" t="str">
        <f t="shared" si="3"/>
        <v/>
      </c>
      <c r="G27" s="6"/>
      <c r="H27" s="6"/>
      <c r="I27" s="6"/>
      <c r="J27" s="7"/>
      <c r="K27" s="5" t="str" cm="1">
        <f t="array" ref="K27">IF(OR(A27="",B27="",D27="",E27=""),"",A27&amp;"_"&amp;SUBSTITUTE(B27," ","-")&amp;"_"&amp;D27&amp;"_"&amp;SUBSTITUTE(SUBSTITUTE(E27," ",""),"€","Euro")&amp;"_"&amp;IF(F27="","Unknown",F27)&amp;IF(F27="Commemorative",IF(G27="","","_"&amp;SUBSTITUTE(SUBSTITUTE(SUBSTITUTE(G27," ","-"),"/","-"),CHAR(39),"")),"")&amp;IF(I27="Duplicate","_Dub"&amp;IF(SUMPRODUCT(($B$2:B27=B27)*($D$2:D27=D27)*($E$2:E27=E27)*($F$2:F27=F27)*($G$2:G27=G27)*($I$2:I27="Duplicate"))&lt;=1,"",SUMPRODUCT(($B$2:B27=B27)*($D$2:D27=D27)*($E$2:E27=E27)*($F$2:F27=F27)*($G$2:G27=G27)*($I$2:I27="Duplicate"))-1),""))</f>
        <v/>
      </c>
      <c r="L27" s="6"/>
      <c r="M27" s="5" t="str">
        <f>IFERROR(VLOOKUP(E27,Specifications!$A$2:$D$9,2,FALSE),"")</f>
        <v/>
      </c>
      <c r="N27" s="5" t="str">
        <f>IFERROR(VLOOKUP(E27,Specifications!$A$2:$D$9,3,FALSE),"")</f>
        <v/>
      </c>
      <c r="O27" s="5" t="str">
        <f>IFERROR(VLOOKUP(E27,Specifications!$A$2:$D$9,4,FALSE),"")</f>
        <v/>
      </c>
      <c r="P27" s="8" t="str">
        <f t="shared" si="1"/>
        <v/>
      </c>
      <c r="Q27" s="9"/>
    </row>
    <row r="28" spans="1:17" ht="15">
      <c r="A28" s="5" t="str">
        <f t="shared" si="0"/>
        <v/>
      </c>
      <c r="B28" s="6"/>
      <c r="C28" s="5" t="str">
        <f>IFERROR(VLOOKUP(B28,Lists!$A$2:$B$25,2,FALSE),"")</f>
        <v/>
      </c>
      <c r="D28" s="7"/>
      <c r="E28" s="6"/>
      <c r="F28" s="6" t="str">
        <f t="shared" si="3"/>
        <v/>
      </c>
      <c r="G28" s="6"/>
      <c r="H28" s="6"/>
      <c r="I28" s="6"/>
      <c r="J28" s="7"/>
      <c r="K28" s="5" t="str" cm="1">
        <f t="array" ref="K28">IF(OR(A28="",B28="",D28="",E28=""),"",A28&amp;"_"&amp;SUBSTITUTE(B28," ","-")&amp;"_"&amp;D28&amp;"_"&amp;SUBSTITUTE(SUBSTITUTE(E28," ",""),"€","Euro")&amp;"_"&amp;IF(F28="","Unknown",F28)&amp;IF(F28="Commemorative",IF(G28="","","_"&amp;SUBSTITUTE(SUBSTITUTE(SUBSTITUTE(G28," ","-"),"/","-"),CHAR(39),"")),"")&amp;IF(I28="Duplicate","_Dub"&amp;IF(SUMPRODUCT(($B$2:B28=B28)*($D$2:D28=D28)*($E$2:E28=E28)*($F$2:F28=F28)*($G$2:G28=G28)*($I$2:I28="Duplicate"))&lt;=1,"",SUMPRODUCT(($B$2:B28=B28)*($D$2:D28=D28)*($E$2:E28=E28)*($F$2:F28=F28)*($G$2:G28=G28)*($I$2:I28="Duplicate"))-1),""))</f>
        <v/>
      </c>
      <c r="L28" s="6"/>
      <c r="M28" s="5" t="str">
        <f>IFERROR(VLOOKUP(E28,Specifications!$A$2:$D$9,2,FALSE),"")</f>
        <v/>
      </c>
      <c r="N28" s="5" t="str">
        <f>IFERROR(VLOOKUP(E28,Specifications!$A$2:$D$9,3,FALSE),"")</f>
        <v/>
      </c>
      <c r="O28" s="5" t="str">
        <f>IFERROR(VLOOKUP(E28,Specifications!$A$2:$D$9,4,FALSE),"")</f>
        <v/>
      </c>
      <c r="P28" s="8" t="str">
        <f t="shared" si="1"/>
        <v/>
      </c>
      <c r="Q28" s="9"/>
    </row>
    <row r="29" spans="1:17" ht="15">
      <c r="A29" s="5" t="str">
        <f t="shared" si="0"/>
        <v/>
      </c>
      <c r="B29" s="6"/>
      <c r="C29" s="5" t="str">
        <f>IFERROR(VLOOKUP(B29,Lists!$A$2:$B$25,2,FALSE),"")</f>
        <v/>
      </c>
      <c r="D29" s="7"/>
      <c r="E29" s="6"/>
      <c r="F29" s="6" t="str">
        <f t="shared" si="3"/>
        <v/>
      </c>
      <c r="G29" s="6"/>
      <c r="H29" s="6"/>
      <c r="I29" s="6"/>
      <c r="J29" s="7"/>
      <c r="K29" s="5" t="str" cm="1">
        <f t="array" ref="K29">IF(OR(A29="",B29="",D29="",E29=""),"",A29&amp;"_"&amp;SUBSTITUTE(B29," ","-")&amp;"_"&amp;D29&amp;"_"&amp;SUBSTITUTE(SUBSTITUTE(E29," ",""),"€","Euro")&amp;"_"&amp;IF(F29="","Unknown",F29)&amp;IF(F29="Commemorative",IF(G29="","","_"&amp;SUBSTITUTE(SUBSTITUTE(SUBSTITUTE(G29," ","-"),"/","-"),CHAR(39),"")),"")&amp;IF(I29="Duplicate","_Dub"&amp;IF(SUMPRODUCT(($B$2:B29=B29)*($D$2:D29=D29)*($E$2:E29=E29)*($F$2:F29=F29)*($G$2:G29=G29)*($I$2:I29="Duplicate"))&lt;=1,"",SUMPRODUCT(($B$2:B29=B29)*($D$2:D29=D29)*($E$2:E29=E29)*($F$2:F29=F29)*($G$2:G29=G29)*($I$2:I29="Duplicate"))-1),""))</f>
        <v/>
      </c>
      <c r="L29" s="6"/>
      <c r="M29" s="5" t="str">
        <f>IFERROR(VLOOKUP(E29,Specifications!$A$2:$D$9,2,FALSE),"")</f>
        <v/>
      </c>
      <c r="N29" s="5" t="str">
        <f>IFERROR(VLOOKUP(E29,Specifications!$A$2:$D$9,3,FALSE),"")</f>
        <v/>
      </c>
      <c r="O29" s="5" t="str">
        <f>IFERROR(VLOOKUP(E29,Specifications!$A$2:$D$9,4,FALSE),"")</f>
        <v/>
      </c>
      <c r="P29" s="8" t="str">
        <f t="shared" si="1"/>
        <v/>
      </c>
      <c r="Q29" s="9"/>
    </row>
    <row r="30" spans="1:17" ht="15">
      <c r="A30" s="5" t="str">
        <f t="shared" si="0"/>
        <v/>
      </c>
      <c r="B30" s="6"/>
      <c r="C30" s="5" t="str">
        <f>IFERROR(VLOOKUP(B30,Lists!$A$2:$B$25,2,FALSE),"")</f>
        <v/>
      </c>
      <c r="D30" s="7"/>
      <c r="E30" s="6"/>
      <c r="F30" s="6" t="str">
        <f t="shared" si="3"/>
        <v/>
      </c>
      <c r="G30" s="6"/>
      <c r="H30" s="6"/>
      <c r="I30" s="6"/>
      <c r="J30" s="7"/>
      <c r="K30" s="5" t="str" cm="1">
        <f t="array" ref="K30">IF(OR(A30="",B30="",D30="",E30=""),"",A30&amp;"_"&amp;SUBSTITUTE(B30," ","-")&amp;"_"&amp;D30&amp;"_"&amp;SUBSTITUTE(SUBSTITUTE(E30," ",""),"€","Euro")&amp;"_"&amp;IF(F30="","Unknown",F30)&amp;IF(F30="Commemorative",IF(G30="","","_"&amp;SUBSTITUTE(SUBSTITUTE(SUBSTITUTE(G30," ","-"),"/","-"),CHAR(39),"")),"")&amp;IF(I30="Duplicate","_Dub"&amp;IF(SUMPRODUCT(($B$2:B30=B30)*($D$2:D30=D30)*($E$2:E30=E30)*($F$2:F30=F30)*($G$2:G30=G30)*($I$2:I30="Duplicate"))&lt;=1,"",SUMPRODUCT(($B$2:B30=B30)*($D$2:D30=D30)*($E$2:E30=E30)*($F$2:F30=F30)*($G$2:G30=G30)*($I$2:I30="Duplicate"))-1),""))</f>
        <v/>
      </c>
      <c r="L30" s="6"/>
      <c r="M30" s="5" t="str">
        <f>IFERROR(VLOOKUP(E30,Specifications!$A$2:$D$9,2,FALSE),"")</f>
        <v/>
      </c>
      <c r="N30" s="5" t="str">
        <f>IFERROR(VLOOKUP(E30,Specifications!$A$2:$D$9,3,FALSE),"")</f>
        <v/>
      </c>
      <c r="O30" s="5" t="str">
        <f>IFERROR(VLOOKUP(E30,Specifications!$A$2:$D$9,4,FALSE),"")</f>
        <v/>
      </c>
      <c r="P30" s="8" t="str">
        <f t="shared" si="1"/>
        <v/>
      </c>
      <c r="Q30" s="9"/>
    </row>
    <row r="31" spans="1:17" ht="15">
      <c r="A31" s="5" t="str">
        <f t="shared" si="0"/>
        <v/>
      </c>
      <c r="B31" s="6"/>
      <c r="C31" s="5" t="str">
        <f>IFERROR(VLOOKUP(B31,Lists!$A$2:$B$25,2,FALSE),"")</f>
        <v/>
      </c>
      <c r="D31" s="7"/>
      <c r="E31" s="6"/>
      <c r="F31" s="6" t="str">
        <f t="shared" si="3"/>
        <v/>
      </c>
      <c r="G31" s="6"/>
      <c r="H31" s="6"/>
      <c r="I31" s="6"/>
      <c r="J31" s="7"/>
      <c r="K31" s="5" t="str" cm="1">
        <f t="array" ref="K31">IF(OR(A31="",B31="",D31="",E31=""),"",A31&amp;"_"&amp;SUBSTITUTE(B31," ","-")&amp;"_"&amp;D31&amp;"_"&amp;SUBSTITUTE(SUBSTITUTE(E31," ",""),"€","Euro")&amp;"_"&amp;IF(F31="","Unknown",F31)&amp;IF(F31="Commemorative",IF(G31="","","_"&amp;SUBSTITUTE(SUBSTITUTE(SUBSTITUTE(G31," ","-"),"/","-"),CHAR(39),"")),"")&amp;IF(I31="Duplicate","_Dub"&amp;IF(SUMPRODUCT(($B$2:B31=B31)*($D$2:D31=D31)*($E$2:E31=E31)*($F$2:F31=F31)*($G$2:G31=G31)*($I$2:I31="Duplicate"))&lt;=1,"",SUMPRODUCT(($B$2:B31=B31)*($D$2:D31=D31)*($E$2:E31=E31)*($F$2:F31=F31)*($G$2:G31=G31)*($I$2:I31="Duplicate"))-1),""))</f>
        <v/>
      </c>
      <c r="L31" s="6"/>
      <c r="M31" s="5" t="str">
        <f>IFERROR(VLOOKUP(E31,Specifications!$A$2:$D$9,2,FALSE),"")</f>
        <v/>
      </c>
      <c r="N31" s="5" t="str">
        <f>IFERROR(VLOOKUP(E31,Specifications!$A$2:$D$9,3,FALSE),"")</f>
        <v/>
      </c>
      <c r="O31" s="5" t="str">
        <f>IFERROR(VLOOKUP(E31,Specifications!$A$2:$D$9,4,FALSE),"")</f>
        <v/>
      </c>
      <c r="P31" s="8" t="str">
        <f t="shared" si="1"/>
        <v/>
      </c>
      <c r="Q31" s="9"/>
    </row>
    <row r="32" spans="1:17" ht="15">
      <c r="A32" s="5" t="str">
        <f t="shared" si="0"/>
        <v/>
      </c>
      <c r="B32" s="6"/>
      <c r="C32" s="5" t="str">
        <f>IFERROR(VLOOKUP(B32,Lists!$A$2:$B$25,2,FALSE),"")</f>
        <v/>
      </c>
      <c r="D32" s="7"/>
      <c r="E32" s="6"/>
      <c r="F32" s="6" t="str">
        <f t="shared" si="3"/>
        <v/>
      </c>
      <c r="G32" s="6"/>
      <c r="H32" s="6"/>
      <c r="I32" s="6"/>
      <c r="J32" s="7"/>
      <c r="K32" s="5" t="str" cm="1">
        <f t="array" ref="K32">IF(OR(A32="",B32="",D32="",E32=""),"",A32&amp;"_"&amp;SUBSTITUTE(B32," ","-")&amp;"_"&amp;D32&amp;"_"&amp;SUBSTITUTE(SUBSTITUTE(E32," ",""),"€","Euro")&amp;"_"&amp;IF(F32="","Unknown",F32)&amp;IF(F32="Commemorative",IF(G32="","","_"&amp;SUBSTITUTE(SUBSTITUTE(SUBSTITUTE(G32," ","-"),"/","-"),CHAR(39),"")),"")&amp;IF(I32="Duplicate","_Dub"&amp;IF(SUMPRODUCT(($B$2:B32=B32)*($D$2:D32=D32)*($E$2:E32=E32)*($F$2:F32=F32)*($G$2:G32=G32)*($I$2:I32="Duplicate"))&lt;=1,"",SUMPRODUCT(($B$2:B32=B32)*($D$2:D32=D32)*($E$2:E32=E32)*($F$2:F32=F32)*($G$2:G32=G32)*($I$2:I32="Duplicate"))-1),""))</f>
        <v/>
      </c>
      <c r="L32" s="6"/>
      <c r="M32" s="5" t="str">
        <f>IFERROR(VLOOKUP(E32,Specifications!$A$2:$D$9,2,FALSE),"")</f>
        <v/>
      </c>
      <c r="N32" s="5" t="str">
        <f>IFERROR(VLOOKUP(E32,Specifications!$A$2:$D$9,3,FALSE),"")</f>
        <v/>
      </c>
      <c r="O32" s="5" t="str">
        <f>IFERROR(VLOOKUP(E32,Specifications!$A$2:$D$9,4,FALSE),"")</f>
        <v/>
      </c>
      <c r="P32" s="8" t="str">
        <f t="shared" si="1"/>
        <v/>
      </c>
      <c r="Q32" s="9"/>
    </row>
    <row r="33" spans="1:17" ht="15">
      <c r="A33" s="5" t="str">
        <f t="shared" si="0"/>
        <v/>
      </c>
      <c r="B33" s="6"/>
      <c r="C33" s="5" t="str">
        <f>IFERROR(VLOOKUP(B33,Lists!$A$2:$B$25,2,FALSE),"")</f>
        <v/>
      </c>
      <c r="D33" s="7"/>
      <c r="E33" s="6"/>
      <c r="F33" s="6" t="str">
        <f t="shared" si="3"/>
        <v/>
      </c>
      <c r="G33" s="6"/>
      <c r="H33" s="6"/>
      <c r="I33" s="6"/>
      <c r="J33" s="7"/>
      <c r="K33" s="5" t="str" cm="1">
        <f t="array" ref="K33">IF(OR(A33="",B33="",D33="",E33=""),"",A33&amp;"_"&amp;SUBSTITUTE(B33," ","-")&amp;"_"&amp;D33&amp;"_"&amp;SUBSTITUTE(SUBSTITUTE(E33," ",""),"€","Euro")&amp;"_"&amp;IF(F33="","Unknown",F33)&amp;IF(F33="Commemorative",IF(G33="","","_"&amp;SUBSTITUTE(SUBSTITUTE(SUBSTITUTE(G33," ","-"),"/","-"),CHAR(39),"")),"")&amp;IF(I33="Duplicate","_Dub"&amp;IF(SUMPRODUCT(($B$2:B33=B33)*($D$2:D33=D33)*($E$2:E33=E33)*($F$2:F33=F33)*($G$2:G33=G33)*($I$2:I33="Duplicate"))&lt;=1,"",SUMPRODUCT(($B$2:B33=B33)*($D$2:D33=D33)*($E$2:E33=E33)*($F$2:F33=F33)*($G$2:G33=G33)*($I$2:I33="Duplicate"))-1),"")&amp;".jpeg")</f>
        <v/>
      </c>
      <c r="L33" s="6"/>
      <c r="M33" s="5" t="str">
        <f>IFERROR(VLOOKUP(E33,Specifications!$A$2:$D$9,2,FALSE),"")</f>
        <v/>
      </c>
      <c r="N33" s="5" t="str">
        <f>IFERROR(VLOOKUP(E33,Specifications!$A$2:$D$9,3,FALSE),"")</f>
        <v/>
      </c>
      <c r="O33" s="5" t="str">
        <f>IFERROR(VLOOKUP(E33,Specifications!$A$2:$D$9,4,FALSE),"")</f>
        <v/>
      </c>
      <c r="P33" s="8" t="str">
        <f t="shared" si="1"/>
        <v/>
      </c>
      <c r="Q33" s="9"/>
    </row>
    <row r="34" spans="1:17" ht="15">
      <c r="A34" s="5" t="str">
        <f t="shared" si="0"/>
        <v/>
      </c>
      <c r="B34" s="6"/>
      <c r="C34" s="5" t="str">
        <f>IFERROR(VLOOKUP(B34,Lists!$A$2:$B$25,2,FALSE),"")</f>
        <v/>
      </c>
      <c r="D34" s="7"/>
      <c r="E34" s="6"/>
      <c r="F34" s="6" t="str">
        <f t="shared" si="3"/>
        <v/>
      </c>
      <c r="G34" s="6"/>
      <c r="H34" s="6"/>
      <c r="I34" s="6"/>
      <c r="J34" s="7"/>
      <c r="K34" s="5" t="str" cm="1">
        <f t="array" ref="K34">IF(OR(A34="",B34="",D34="",E34=""),"",A34&amp;"_"&amp;SUBSTITUTE(B34," ","-")&amp;"_"&amp;D34&amp;"_"&amp;SUBSTITUTE(SUBSTITUTE(E34," ",""),"€","Euro")&amp;"_"&amp;IF(F34="","Unknown",F34)&amp;IF(F34="Commemorative",IF(G34="","","_"&amp;SUBSTITUTE(SUBSTITUTE(SUBSTITUTE(G34," ","-"),"/","-"),CHAR(39),"")),"")&amp;IF(I34="Duplicate","_Dub"&amp;IF(SUMPRODUCT(($B$2:B34=B34)*($D$2:D34=D34)*($E$2:E34=E34)*($F$2:F34=F34)*($G$2:G34=G34)*($I$2:I34="Duplicate"))&lt;=1,"",SUMPRODUCT(($B$2:B34=B34)*($D$2:D34=D34)*($E$2:E34=E34)*($F$2:F34=F34)*($G$2:G34=G34)*($I$2:I34="Duplicate"))-1),"")&amp;".jpeg")</f>
        <v/>
      </c>
      <c r="L34" s="6"/>
      <c r="M34" s="5" t="str">
        <f>IFERROR(VLOOKUP(E34,Specifications!$A$2:$D$9,2,FALSE),"")</f>
        <v/>
      </c>
      <c r="N34" s="5" t="str">
        <f>IFERROR(VLOOKUP(E34,Specifications!$A$2:$D$9,3,FALSE),"")</f>
        <v/>
      </c>
      <c r="O34" s="5" t="str">
        <f>IFERROR(VLOOKUP(E34,Specifications!$A$2:$D$9,4,FALSE),"")</f>
        <v/>
      </c>
      <c r="P34" s="8" t="str">
        <f t="shared" si="1"/>
        <v/>
      </c>
      <c r="Q34" s="9"/>
    </row>
    <row r="35" spans="1:17" ht="15">
      <c r="A35" s="5" t="str">
        <f t="shared" si="0"/>
        <v/>
      </c>
      <c r="B35" s="6"/>
      <c r="C35" s="5" t="str">
        <f>IFERROR(VLOOKUP(B35,Lists!$A$2:$B$25,2,FALSE),"")</f>
        <v/>
      </c>
      <c r="D35" s="7"/>
      <c r="E35" s="6"/>
      <c r="F35" s="6" t="str">
        <f t="shared" si="3"/>
        <v/>
      </c>
      <c r="G35" s="6"/>
      <c r="H35" s="6"/>
      <c r="I35" s="6"/>
      <c r="J35" s="7"/>
      <c r="K35" s="5" t="str" cm="1">
        <f t="array" ref="K35">IF(OR(A35="",B35="",D35="",E35=""),"",A35&amp;"_"&amp;SUBSTITUTE(B35," ","-")&amp;"_"&amp;D35&amp;"_"&amp;SUBSTITUTE(SUBSTITUTE(E35," ",""),"€","Euro")&amp;"_"&amp;IF(F35="","Unknown",F35)&amp;IF(F35="Commemorative",IF(G35="","","_"&amp;SUBSTITUTE(SUBSTITUTE(SUBSTITUTE(G35," ","-"),"/","-"),CHAR(39),"")),"")&amp;IF(I35="Duplicate","_Dub"&amp;IF(SUMPRODUCT(($B$2:B35=B35)*($D$2:D35=D35)*($E$2:E35=E35)*($F$2:F35=F35)*($G$2:G35=G35)*($I$2:I35="Duplicate"))&lt;=1,"",SUMPRODUCT(($B$2:B35=B35)*($D$2:D35=D35)*($E$2:E35=E35)*($F$2:F35=F35)*($G$2:G35=G35)*($I$2:I35="Duplicate"))-1),"")&amp;".jpeg")</f>
        <v/>
      </c>
      <c r="L35" s="6"/>
      <c r="M35" s="5" t="str">
        <f>IFERROR(VLOOKUP(E35,Specifications!$A$2:$D$9,2,FALSE),"")</f>
        <v/>
      </c>
      <c r="N35" s="5" t="str">
        <f>IFERROR(VLOOKUP(E35,Specifications!$A$2:$D$9,3,FALSE),"")</f>
        <v/>
      </c>
      <c r="O35" s="5" t="str">
        <f>IFERROR(VLOOKUP(E35,Specifications!$A$2:$D$9,4,FALSE),"")</f>
        <v/>
      </c>
      <c r="P35" s="8" t="str">
        <f t="shared" si="1"/>
        <v/>
      </c>
      <c r="Q35" s="9"/>
    </row>
    <row r="36" spans="1:17" ht="15">
      <c r="A36" s="5" t="str">
        <f t="shared" si="0"/>
        <v/>
      </c>
      <c r="B36" s="6"/>
      <c r="C36" s="5" t="str">
        <f>IFERROR(VLOOKUP(B36,Lists!$A$2:$B$25,2,FALSE),"")</f>
        <v/>
      </c>
      <c r="D36" s="7"/>
      <c r="E36" s="6"/>
      <c r="F36" s="6" t="str">
        <f t="shared" si="3"/>
        <v/>
      </c>
      <c r="G36" s="6"/>
      <c r="H36" s="6"/>
      <c r="I36" s="6"/>
      <c r="J36" s="7"/>
      <c r="K36" s="5" t="str" cm="1">
        <f t="array" ref="K36">IF(OR(A36="",B36="",D36="",E36=""),"",A36&amp;"_"&amp;SUBSTITUTE(B36," ","-")&amp;"_"&amp;D36&amp;"_"&amp;SUBSTITUTE(SUBSTITUTE(E36," ",""),"€","Euro")&amp;"_"&amp;IF(F36="","Unknown",F36)&amp;IF(F36="Commemorative",IF(G36="","","_"&amp;SUBSTITUTE(SUBSTITUTE(SUBSTITUTE(G36," ","-"),"/","-"),CHAR(39),"")),"")&amp;IF(I36="Duplicate","_Dub"&amp;IF(SUMPRODUCT(($B$2:B36=B36)*($D$2:D36=D36)*($E$2:E36=E36)*($F$2:F36=F36)*($G$2:G36=G36)*($I$2:I36="Duplicate"))&lt;=1,"",SUMPRODUCT(($B$2:B36=B36)*($D$2:D36=D36)*($E$2:E36=E36)*($F$2:F36=F36)*($G$2:G36=G36)*($I$2:I36="Duplicate"))-1),"")&amp;".jpeg")</f>
        <v/>
      </c>
      <c r="L36" s="6"/>
      <c r="M36" s="5" t="str">
        <f>IFERROR(VLOOKUP(E36,Specifications!$A$2:$D$9,2,FALSE),"")</f>
        <v/>
      </c>
      <c r="N36" s="5" t="str">
        <f>IFERROR(VLOOKUP(E36,Specifications!$A$2:$D$9,3,FALSE),"")</f>
        <v/>
      </c>
      <c r="O36" s="5" t="str">
        <f>IFERROR(VLOOKUP(E36,Specifications!$A$2:$D$9,4,FALSE),"")</f>
        <v/>
      </c>
      <c r="P36" s="8" t="str">
        <f t="shared" si="1"/>
        <v/>
      </c>
      <c r="Q36" s="9"/>
    </row>
    <row r="37" spans="1:17" ht="15">
      <c r="A37" s="5" t="str">
        <f t="shared" si="0"/>
        <v/>
      </c>
      <c r="B37" s="6"/>
      <c r="C37" s="5" t="str">
        <f>IFERROR(VLOOKUP(B37,Lists!$A$2:$B$25,2,FALSE),"")</f>
        <v/>
      </c>
      <c r="D37" s="7"/>
      <c r="E37" s="6"/>
      <c r="F37" s="6" t="str">
        <f t="shared" si="3"/>
        <v/>
      </c>
      <c r="G37" s="6"/>
      <c r="H37" s="6"/>
      <c r="I37" s="6"/>
      <c r="J37" s="7"/>
      <c r="K37" s="5" t="str" cm="1">
        <f t="array" ref="K37">IF(OR(A37="",B37="",D37="",E37=""),"",A37&amp;"_"&amp;SUBSTITUTE(B37," ","-")&amp;"_"&amp;D37&amp;"_"&amp;SUBSTITUTE(SUBSTITUTE(E37," ",""),"€","Euro")&amp;"_"&amp;IF(F37="","Unknown",F37)&amp;IF(F37="Commemorative",IF(G37="","","_"&amp;SUBSTITUTE(SUBSTITUTE(SUBSTITUTE(G37," ","-"),"/","-"),CHAR(39),"")),"")&amp;IF(I37="Duplicate","_Dub"&amp;IF(SUMPRODUCT(($B$2:B37=B37)*($D$2:D37=D37)*($E$2:E37=E37)*($F$2:F37=F37)*($G$2:G37=G37)*($I$2:I37="Duplicate"))&lt;=1,"",SUMPRODUCT(($B$2:B37=B37)*($D$2:D37=D37)*($E$2:E37=E37)*($F$2:F37=F37)*($G$2:G37=G37)*($I$2:I37="Duplicate"))-1),"")&amp;".jpeg")</f>
        <v/>
      </c>
      <c r="L37" s="6"/>
      <c r="M37" s="5" t="str">
        <f>IFERROR(VLOOKUP(E37,Specifications!$A$2:$D$9,2,FALSE),"")</f>
        <v/>
      </c>
      <c r="N37" s="5" t="str">
        <f>IFERROR(VLOOKUP(E37,Specifications!$A$2:$D$9,3,FALSE),"")</f>
        <v/>
      </c>
      <c r="O37" s="5" t="str">
        <f>IFERROR(VLOOKUP(E37,Specifications!$A$2:$D$9,4,FALSE),"")</f>
        <v/>
      </c>
      <c r="P37" s="8" t="str">
        <f t="shared" si="1"/>
        <v/>
      </c>
      <c r="Q37" s="9"/>
    </row>
    <row r="38" spans="1:17" ht="15">
      <c r="A38" s="5" t="str">
        <f t="shared" si="0"/>
        <v/>
      </c>
      <c r="B38" s="6"/>
      <c r="C38" s="5" t="str">
        <f>IFERROR(VLOOKUP(B38,Lists!$A$2:$B$25,2,FALSE),"")</f>
        <v/>
      </c>
      <c r="D38" s="7"/>
      <c r="E38" s="6"/>
      <c r="F38" s="6" t="str">
        <f t="shared" si="3"/>
        <v/>
      </c>
      <c r="G38" s="6"/>
      <c r="H38" s="6"/>
      <c r="I38" s="6"/>
      <c r="J38" s="7"/>
      <c r="K38" s="5" t="str" cm="1">
        <f t="array" ref="K38">IF(OR(A38="",B38="",D38="",E38=""),"",A38&amp;"_"&amp;SUBSTITUTE(B38," ","-")&amp;"_"&amp;D38&amp;"_"&amp;SUBSTITUTE(SUBSTITUTE(E38," ",""),"€","Euro")&amp;"_"&amp;IF(F38="","Unknown",F38)&amp;IF(F38="Commemorative",IF(G38="","","_"&amp;SUBSTITUTE(SUBSTITUTE(SUBSTITUTE(G38," ","-"),"/","-"),CHAR(39),"")),"")&amp;IF(I38="Duplicate","_Dub"&amp;IF(SUMPRODUCT(($B$2:B38=B38)*($D$2:D38=D38)*($E$2:E38=E38)*($F$2:F38=F38)*($G$2:G38=G38)*($I$2:I38="Duplicate"))&lt;=1,"",SUMPRODUCT(($B$2:B38=B38)*($D$2:D38=D38)*($E$2:E38=E38)*($F$2:F38=F38)*($G$2:G38=G38)*($I$2:I38="Duplicate"))-1),"")&amp;".jpeg")</f>
        <v/>
      </c>
      <c r="L38" s="6"/>
      <c r="M38" s="5" t="str">
        <f>IFERROR(VLOOKUP(E38,Specifications!$A$2:$D$9,2,FALSE),"")</f>
        <v/>
      </c>
      <c r="N38" s="5" t="str">
        <f>IFERROR(VLOOKUP(E38,Specifications!$A$2:$D$9,3,FALSE),"")</f>
        <v/>
      </c>
      <c r="O38" s="5" t="str">
        <f>IFERROR(VLOOKUP(E38,Specifications!$A$2:$D$9,4,FALSE),"")</f>
        <v/>
      </c>
      <c r="P38" s="8" t="str">
        <f t="shared" si="1"/>
        <v/>
      </c>
      <c r="Q38" s="9"/>
    </row>
    <row r="39" spans="1:17" ht="15">
      <c r="A39" s="5" t="str">
        <f t="shared" si="0"/>
        <v/>
      </c>
      <c r="B39" s="6"/>
      <c r="C39" s="5" t="str">
        <f>IFERROR(VLOOKUP(B39,Lists!$A$2:$B$25,2,FALSE),"")</f>
        <v/>
      </c>
      <c r="D39" s="7"/>
      <c r="E39" s="6"/>
      <c r="F39" s="6" t="str">
        <f t="shared" si="3"/>
        <v/>
      </c>
      <c r="G39" s="6"/>
      <c r="H39" s="6"/>
      <c r="I39" s="6"/>
      <c r="J39" s="7"/>
      <c r="K39" s="5" t="str" cm="1">
        <f t="array" ref="K39">IF(OR(A39="",B39="",D39="",E39=""),"",A39&amp;"_"&amp;SUBSTITUTE(B39," ","-")&amp;"_"&amp;D39&amp;"_"&amp;SUBSTITUTE(SUBSTITUTE(E39," ",""),"€","Euro")&amp;"_"&amp;IF(F39="","Unknown",F39)&amp;IF(F39="Commemorative",IF(G39="","","_"&amp;SUBSTITUTE(SUBSTITUTE(SUBSTITUTE(G39," ","-"),"/","-"),CHAR(39),"")),"")&amp;IF(I39="Duplicate","_Dub"&amp;IF(SUMPRODUCT(($B$2:B39=B39)*($D$2:D39=D39)*($E$2:E39=E39)*($F$2:F39=F39)*($G$2:G39=G39)*($I$2:I39="Duplicate"))&lt;=1,"",SUMPRODUCT(($B$2:B39=B39)*($D$2:D39=D39)*($E$2:E39=E39)*($F$2:F39=F39)*($G$2:G39=G39)*($I$2:I39="Duplicate"))-1),"")&amp;".jpeg")</f>
        <v/>
      </c>
      <c r="L39" s="6"/>
      <c r="M39" s="5" t="str">
        <f>IFERROR(VLOOKUP(E39,Specifications!$A$2:$D$9,2,FALSE),"")</f>
        <v/>
      </c>
      <c r="N39" s="5" t="str">
        <f>IFERROR(VLOOKUP(E39,Specifications!$A$2:$D$9,3,FALSE),"")</f>
        <v/>
      </c>
      <c r="O39" s="5" t="str">
        <f>IFERROR(VLOOKUP(E39,Specifications!$A$2:$D$9,4,FALSE),"")</f>
        <v/>
      </c>
      <c r="P39" s="8" t="str">
        <f t="shared" si="1"/>
        <v/>
      </c>
      <c r="Q39" s="9"/>
    </row>
    <row r="40" spans="1:17" ht="15">
      <c r="A40" s="5" t="str">
        <f t="shared" si="0"/>
        <v/>
      </c>
      <c r="B40" s="6"/>
      <c r="C40" s="5" t="str">
        <f>IFERROR(VLOOKUP(B40,Lists!$A$2:$B$25,2,FALSE),"")</f>
        <v/>
      </c>
      <c r="D40" s="7"/>
      <c r="E40" s="6"/>
      <c r="F40" s="6" t="str">
        <f t="shared" si="3"/>
        <v/>
      </c>
      <c r="G40" s="6"/>
      <c r="H40" s="6"/>
      <c r="I40" s="6"/>
      <c r="J40" s="7"/>
      <c r="K40" s="5" t="str" cm="1">
        <f t="array" ref="K40">IF(OR(A40="",B40="",D40="",E40=""),"",A40&amp;"_"&amp;SUBSTITUTE(B40," ","-")&amp;"_"&amp;D40&amp;"_"&amp;SUBSTITUTE(SUBSTITUTE(E40," ",""),"€","Euro")&amp;"_"&amp;IF(F40="","Unknown",F40)&amp;IF(F40="Commemorative",IF(G40="","","_"&amp;SUBSTITUTE(SUBSTITUTE(SUBSTITUTE(G40," ","-"),"/","-"),CHAR(39),"")),"")&amp;IF(I40="Duplicate","_Dub"&amp;IF(SUMPRODUCT(($B$2:B40=B40)*($D$2:D40=D40)*($E$2:E40=E40)*($F$2:F40=F40)*($G$2:G40=G40)*($I$2:I40="Duplicate"))&lt;=1,"",SUMPRODUCT(($B$2:B40=B40)*($D$2:D40=D40)*($E$2:E40=E40)*($F$2:F40=F40)*($G$2:G40=G40)*($I$2:I40="Duplicate"))-1),"")&amp;".jpeg")</f>
        <v/>
      </c>
      <c r="L40" s="6"/>
      <c r="M40" s="5" t="str">
        <f>IFERROR(VLOOKUP(E40,Specifications!$A$2:$D$9,2,FALSE),"")</f>
        <v/>
      </c>
      <c r="N40" s="5" t="str">
        <f>IFERROR(VLOOKUP(E40,Specifications!$A$2:$D$9,3,FALSE),"")</f>
        <v/>
      </c>
      <c r="O40" s="5" t="str">
        <f>IFERROR(VLOOKUP(E40,Specifications!$A$2:$D$9,4,FALSE),"")</f>
        <v/>
      </c>
      <c r="P40" s="8" t="str">
        <f t="shared" si="1"/>
        <v/>
      </c>
      <c r="Q40" s="9"/>
    </row>
    <row r="41" spans="1:17" ht="15">
      <c r="A41" s="5" t="str">
        <f t="shared" si="0"/>
        <v/>
      </c>
      <c r="B41" s="6"/>
      <c r="C41" s="5" t="str">
        <f>IFERROR(VLOOKUP(B41,Lists!$A$2:$B$25,2,FALSE),"")</f>
        <v/>
      </c>
      <c r="D41" s="7"/>
      <c r="E41" s="6"/>
      <c r="F41" s="6" t="str">
        <f t="shared" si="3"/>
        <v/>
      </c>
      <c r="G41" s="6"/>
      <c r="H41" s="6"/>
      <c r="I41" s="6"/>
      <c r="J41" s="7"/>
      <c r="K41" s="5" t="str" cm="1">
        <f t="array" ref="K41">IF(OR(A41="",B41="",D41="",E41=""),"",A41&amp;"_"&amp;SUBSTITUTE(B41," ","-")&amp;"_"&amp;D41&amp;"_"&amp;SUBSTITUTE(SUBSTITUTE(E41," ",""),"€","Euro")&amp;"_"&amp;IF(F41="","Unknown",F41)&amp;IF(F41="Commemorative",IF(G41="","","_"&amp;SUBSTITUTE(SUBSTITUTE(SUBSTITUTE(G41," ","-"),"/","-"),CHAR(39),"")),"")&amp;IF(I41="Duplicate","_Dub"&amp;IF(SUMPRODUCT(($B$2:B41=B41)*($D$2:D41=D41)*($E$2:E41=E41)*($F$2:F41=F41)*($G$2:G41=G41)*($I$2:I41="Duplicate"))&lt;=1,"",SUMPRODUCT(($B$2:B41=B41)*($D$2:D41=D41)*($E$2:E41=E41)*($F$2:F41=F41)*($G$2:G41=G41)*($I$2:I41="Duplicate"))-1),"")&amp;".jpeg")</f>
        <v/>
      </c>
      <c r="L41" s="6"/>
      <c r="M41" s="5" t="str">
        <f>IFERROR(VLOOKUP(E41,Specifications!$A$2:$D$9,2,FALSE),"")</f>
        <v/>
      </c>
      <c r="N41" s="5" t="str">
        <f>IFERROR(VLOOKUP(E41,Specifications!$A$2:$D$9,3,FALSE),"")</f>
        <v/>
      </c>
      <c r="O41" s="5" t="str">
        <f>IFERROR(VLOOKUP(E41,Specifications!$A$2:$D$9,4,FALSE),"")</f>
        <v/>
      </c>
      <c r="P41" s="8" t="str">
        <f t="shared" si="1"/>
        <v/>
      </c>
      <c r="Q41" s="9"/>
    </row>
    <row r="42" spans="1:17" ht="15">
      <c r="A42" s="5" t="str">
        <f t="shared" si="0"/>
        <v/>
      </c>
      <c r="B42" s="6"/>
      <c r="C42" s="5" t="str">
        <f>IFERROR(VLOOKUP(B42,Lists!$A$2:$B$25,2,FALSE),"")</f>
        <v/>
      </c>
      <c r="D42" s="7"/>
      <c r="E42" s="6"/>
      <c r="F42" s="6" t="str">
        <f t="shared" si="3"/>
        <v/>
      </c>
      <c r="G42" s="6"/>
      <c r="H42" s="6"/>
      <c r="I42" s="6"/>
      <c r="J42" s="7"/>
      <c r="K42" s="5" t="str" cm="1">
        <f t="array" ref="K42">IF(OR(A42="",B42="",D42="",E42=""),"",A42&amp;"_"&amp;SUBSTITUTE(B42," ","-")&amp;"_"&amp;D42&amp;"_"&amp;SUBSTITUTE(SUBSTITUTE(E42," ",""),"€","Euro")&amp;"_"&amp;IF(F42="","Unknown",F42)&amp;IF(F42="Commemorative",IF(G42="","","_"&amp;SUBSTITUTE(SUBSTITUTE(SUBSTITUTE(G42," ","-"),"/","-"),CHAR(39),"")),"")&amp;IF(I42="Duplicate","_Dub"&amp;IF(SUMPRODUCT(($B$2:B42=B42)*($D$2:D42=D42)*($E$2:E42=E42)*($F$2:F42=F42)*($G$2:G42=G42)*($I$2:I42="Duplicate"))&lt;=1,"",SUMPRODUCT(($B$2:B42=B42)*($D$2:D42=D42)*($E$2:E42=E42)*($F$2:F42=F42)*($G$2:G42=G42)*($I$2:I42="Duplicate"))-1),"")&amp;".jpeg")</f>
        <v/>
      </c>
      <c r="L42" s="6"/>
      <c r="M42" s="5" t="str">
        <f>IFERROR(VLOOKUP(E42,Specifications!$A$2:$D$9,2,FALSE),"")</f>
        <v/>
      </c>
      <c r="N42" s="5" t="str">
        <f>IFERROR(VLOOKUP(E42,Specifications!$A$2:$D$9,3,FALSE),"")</f>
        <v/>
      </c>
      <c r="O42" s="5" t="str">
        <f>IFERROR(VLOOKUP(E42,Specifications!$A$2:$D$9,4,FALSE),"")</f>
        <v/>
      </c>
      <c r="P42" s="8" t="str">
        <f t="shared" si="1"/>
        <v/>
      </c>
      <c r="Q42" s="9"/>
    </row>
    <row r="43" spans="1:17" ht="15">
      <c r="A43" s="5" t="str">
        <f t="shared" si="0"/>
        <v/>
      </c>
      <c r="B43" s="6"/>
      <c r="C43" s="5" t="str">
        <f>IFERROR(VLOOKUP(B43,Lists!$A$2:$B$25,2,FALSE),"")</f>
        <v/>
      </c>
      <c r="D43" s="7"/>
      <c r="E43" s="6"/>
      <c r="F43" s="6" t="str">
        <f t="shared" si="3"/>
        <v/>
      </c>
      <c r="G43" s="6"/>
      <c r="H43" s="6"/>
      <c r="I43" s="6"/>
      <c r="J43" s="7"/>
      <c r="K43" s="5" t="str" cm="1">
        <f t="array" ref="K43">IF(OR(A43="",B43="",D43="",E43=""),"",A43&amp;"_"&amp;SUBSTITUTE(B43," ","-")&amp;"_"&amp;D43&amp;"_"&amp;SUBSTITUTE(SUBSTITUTE(E43," ",""),"€","Euro")&amp;"_"&amp;IF(F43="","Unknown",F43)&amp;IF(F43="Commemorative",IF(G43="","","_"&amp;SUBSTITUTE(SUBSTITUTE(SUBSTITUTE(G43," ","-"),"/","-"),CHAR(39),"")),"")&amp;IF(I43="Duplicate","_Dub"&amp;IF(SUMPRODUCT(($B$2:B43=B43)*($D$2:D43=D43)*($E$2:E43=E43)*($F$2:F43=F43)*($G$2:G43=G43)*($I$2:I43="Duplicate"))&lt;=1,"",SUMPRODUCT(($B$2:B43=B43)*($D$2:D43=D43)*($E$2:E43=E43)*($F$2:F43=F43)*($G$2:G43=G43)*($I$2:I43="Duplicate"))-1),"")&amp;".jpeg")</f>
        <v/>
      </c>
      <c r="L43" s="6"/>
      <c r="M43" s="5" t="str">
        <f>IFERROR(VLOOKUP(E43,Specifications!$A$2:$D$9,2,FALSE),"")</f>
        <v/>
      </c>
      <c r="N43" s="5" t="str">
        <f>IFERROR(VLOOKUP(E43,Specifications!$A$2:$D$9,3,FALSE),"")</f>
        <v/>
      </c>
      <c r="O43" s="5" t="str">
        <f>IFERROR(VLOOKUP(E43,Specifications!$A$2:$D$9,4,FALSE),"")</f>
        <v/>
      </c>
      <c r="P43" s="8" t="str">
        <f t="shared" si="1"/>
        <v/>
      </c>
      <c r="Q43" s="9"/>
    </row>
    <row r="44" spans="1:17" ht="15">
      <c r="A44" s="5" t="str">
        <f t="shared" si="0"/>
        <v/>
      </c>
      <c r="B44" s="6"/>
      <c r="C44" s="5" t="str">
        <f>IFERROR(VLOOKUP(B44,Lists!$A$2:$B$25,2,FALSE),"")</f>
        <v/>
      </c>
      <c r="D44" s="7"/>
      <c r="E44" s="6"/>
      <c r="F44" s="6" t="str">
        <f t="shared" si="3"/>
        <v/>
      </c>
      <c r="G44" s="6"/>
      <c r="H44" s="6"/>
      <c r="I44" s="6"/>
      <c r="J44" s="7"/>
      <c r="K44" s="5" t="str" cm="1">
        <f t="array" ref="K44">IF(OR(A44="",B44="",D44="",E44=""),"",A44&amp;"_"&amp;SUBSTITUTE(B44," ","-")&amp;"_"&amp;D44&amp;"_"&amp;SUBSTITUTE(SUBSTITUTE(E44," ",""),"€","Euro")&amp;"_"&amp;IF(F44="","Unknown",F44)&amp;IF(F44="Commemorative",IF(G44="","","_"&amp;SUBSTITUTE(SUBSTITUTE(SUBSTITUTE(G44," ","-"),"/","-"),CHAR(39),"")),"")&amp;IF(I44="Duplicate","_Dub"&amp;IF(SUMPRODUCT(($B$2:B44=B44)*($D$2:D44=D44)*($E$2:E44=E44)*($F$2:F44=F44)*($G$2:G44=G44)*($I$2:I44="Duplicate"))&lt;=1,"",SUMPRODUCT(($B$2:B44=B44)*($D$2:D44=D44)*($E$2:E44=E44)*($F$2:F44=F44)*($G$2:G44=G44)*($I$2:I44="Duplicate"))-1),"")&amp;".jpeg")</f>
        <v/>
      </c>
      <c r="L44" s="6"/>
      <c r="M44" s="5" t="str">
        <f>IFERROR(VLOOKUP(E44,Specifications!$A$2:$D$9,2,FALSE),"")</f>
        <v/>
      </c>
      <c r="N44" s="5" t="str">
        <f>IFERROR(VLOOKUP(E44,Specifications!$A$2:$D$9,3,FALSE),"")</f>
        <v/>
      </c>
      <c r="O44" s="5" t="str">
        <f>IFERROR(VLOOKUP(E44,Specifications!$A$2:$D$9,4,FALSE),"")</f>
        <v/>
      </c>
      <c r="P44" s="8" t="str">
        <f t="shared" si="1"/>
        <v/>
      </c>
      <c r="Q44" s="9"/>
    </row>
    <row r="45" spans="1:17" ht="15">
      <c r="A45" s="5" t="str">
        <f t="shared" si="0"/>
        <v/>
      </c>
      <c r="B45" s="6"/>
      <c r="C45" s="5" t="str">
        <f>IFERROR(VLOOKUP(B45,Lists!$A$2:$B$25,2,FALSE),"")</f>
        <v/>
      </c>
      <c r="D45" s="7"/>
      <c r="E45" s="6"/>
      <c r="F45" s="6" t="str">
        <f t="shared" si="3"/>
        <v/>
      </c>
      <c r="G45" s="6"/>
      <c r="H45" s="6"/>
      <c r="I45" s="6"/>
      <c r="J45" s="7"/>
      <c r="K45" s="5" t="str" cm="1">
        <f t="array" ref="K45">IF(OR(A45="",B45="",D45="",E45=""),"",A45&amp;"_"&amp;SUBSTITUTE(B45," ","-")&amp;"_"&amp;D45&amp;"_"&amp;SUBSTITUTE(SUBSTITUTE(E45," ",""),"€","Euro")&amp;"_"&amp;IF(F45="","Unknown",F45)&amp;IF(F45="Commemorative",IF(G45="","","_"&amp;SUBSTITUTE(SUBSTITUTE(SUBSTITUTE(G45," ","-"),"/","-"),CHAR(39),"")),"")&amp;IF(I45="Duplicate","_Dub"&amp;IF(SUMPRODUCT(($B$2:B45=B45)*($D$2:D45=D45)*($E$2:E45=E45)*($F$2:F45=F45)*($G$2:G45=G45)*($I$2:I45="Duplicate"))&lt;=1,"",SUMPRODUCT(($B$2:B45=B45)*($D$2:D45=D45)*($E$2:E45=E45)*($F$2:F45=F45)*($G$2:G45=G45)*($I$2:I45="Duplicate"))-1),"")&amp;".jpeg")</f>
        <v/>
      </c>
      <c r="L45" s="6"/>
      <c r="M45" s="5" t="str">
        <f>IFERROR(VLOOKUP(E45,Specifications!$A$2:$D$9,2,FALSE),"")</f>
        <v/>
      </c>
      <c r="N45" s="5" t="str">
        <f>IFERROR(VLOOKUP(E45,Specifications!$A$2:$D$9,3,FALSE),"")</f>
        <v/>
      </c>
      <c r="O45" s="5" t="str">
        <f>IFERROR(VLOOKUP(E45,Specifications!$A$2:$D$9,4,FALSE),"")</f>
        <v/>
      </c>
      <c r="P45" s="8" t="str">
        <f t="shared" si="1"/>
        <v/>
      </c>
      <c r="Q45" s="9"/>
    </row>
    <row r="46" spans="1:17" ht="15">
      <c r="A46" s="5" t="str">
        <f t="shared" si="0"/>
        <v/>
      </c>
      <c r="B46" s="6"/>
      <c r="C46" s="5" t="str">
        <f>IFERROR(VLOOKUP(B46,Lists!$A$2:$B$25,2,FALSE),"")</f>
        <v/>
      </c>
      <c r="D46" s="7"/>
      <c r="E46" s="6"/>
      <c r="F46" s="6" t="str">
        <f t="shared" si="3"/>
        <v/>
      </c>
      <c r="G46" s="6"/>
      <c r="H46" s="6"/>
      <c r="I46" s="6"/>
      <c r="J46" s="7"/>
      <c r="K46" s="5" t="str" cm="1">
        <f t="array" ref="K46">IF(OR(A46="",B46="",D46="",E46=""),"",A46&amp;"_"&amp;SUBSTITUTE(B46," ","-")&amp;"_"&amp;D46&amp;"_"&amp;SUBSTITUTE(SUBSTITUTE(E46," ",""),"€","Euro")&amp;"_"&amp;IF(F46="","Unknown",F46)&amp;IF(F46="Commemorative",IF(G46="","","_"&amp;SUBSTITUTE(SUBSTITUTE(SUBSTITUTE(G46," ","-"),"/","-"),CHAR(39),"")),"")&amp;IF(I46="Duplicate","_Dub"&amp;IF(SUMPRODUCT(($B$2:B46=B46)*($D$2:D46=D46)*($E$2:E46=E46)*($F$2:F46=F46)*($G$2:G46=G46)*($I$2:I46="Duplicate"))&lt;=1,"",SUMPRODUCT(($B$2:B46=B46)*($D$2:D46=D46)*($E$2:E46=E46)*($F$2:F46=F46)*($G$2:G46=G46)*($I$2:I46="Duplicate"))-1),"")&amp;".jpeg")</f>
        <v/>
      </c>
      <c r="L46" s="6"/>
      <c r="M46" s="5" t="str">
        <f>IFERROR(VLOOKUP(E46,Specifications!$A$2:$D$9,2,FALSE),"")</f>
        <v/>
      </c>
      <c r="N46" s="5" t="str">
        <f>IFERROR(VLOOKUP(E46,Specifications!$A$2:$D$9,3,FALSE),"")</f>
        <v/>
      </c>
      <c r="O46" s="5" t="str">
        <f>IFERROR(VLOOKUP(E46,Specifications!$A$2:$D$9,4,FALSE),"")</f>
        <v/>
      </c>
      <c r="P46" s="8" t="str">
        <f t="shared" si="1"/>
        <v/>
      </c>
      <c r="Q46" s="9"/>
    </row>
    <row r="47" spans="1:17" ht="15">
      <c r="A47" s="5" t="str">
        <f t="shared" si="0"/>
        <v/>
      </c>
      <c r="B47" s="6"/>
      <c r="C47" s="5" t="str">
        <f>IFERROR(VLOOKUP(B47,Lists!$A$2:$B$25,2,FALSE),"")</f>
        <v/>
      </c>
      <c r="D47" s="7"/>
      <c r="E47" s="6"/>
      <c r="F47" s="6" t="str">
        <f t="shared" si="3"/>
        <v/>
      </c>
      <c r="G47" s="6"/>
      <c r="H47" s="6"/>
      <c r="I47" s="6"/>
      <c r="J47" s="7"/>
      <c r="K47" s="5" t="str" cm="1">
        <f t="array" ref="K47">IF(OR(A47="",B47="",D47="",E47=""),"",A47&amp;"_"&amp;SUBSTITUTE(B47," ","-")&amp;"_"&amp;D47&amp;"_"&amp;SUBSTITUTE(SUBSTITUTE(E47," ",""),"€","Euro")&amp;"_"&amp;IF(F47="","Unknown",F47)&amp;IF(F47="Commemorative",IF(G47="","","_"&amp;SUBSTITUTE(SUBSTITUTE(SUBSTITUTE(G47," ","-"),"/","-"),CHAR(39),"")),"")&amp;IF(I47="Duplicate","_Dub"&amp;IF(SUMPRODUCT(($B$2:B47=B47)*($D$2:D47=D47)*($E$2:E47=E47)*($F$2:F47=F47)*($G$2:G47=G47)*($I$2:I47="Duplicate"))&lt;=1,"",SUMPRODUCT(($B$2:B47=B47)*($D$2:D47=D47)*($E$2:E47=E47)*($F$2:F47=F47)*($G$2:G47=G47)*($I$2:I47="Duplicate"))-1),"")&amp;".jpeg")</f>
        <v/>
      </c>
      <c r="L47" s="6"/>
      <c r="M47" s="5" t="str">
        <f>IFERROR(VLOOKUP(E47,Specifications!$A$2:$D$9,2,FALSE),"")</f>
        <v/>
      </c>
      <c r="N47" s="5" t="str">
        <f>IFERROR(VLOOKUP(E47,Specifications!$A$2:$D$9,3,FALSE),"")</f>
        <v/>
      </c>
      <c r="O47" s="5" t="str">
        <f>IFERROR(VLOOKUP(E47,Specifications!$A$2:$D$9,4,FALSE),"")</f>
        <v/>
      </c>
      <c r="P47" s="8" t="str">
        <f t="shared" si="1"/>
        <v/>
      </c>
      <c r="Q47" s="9"/>
    </row>
    <row r="48" spans="1:17" ht="15">
      <c r="A48" s="5" t="str">
        <f t="shared" si="0"/>
        <v/>
      </c>
      <c r="B48" s="6"/>
      <c r="C48" s="5" t="str">
        <f>IFERROR(VLOOKUP(B48,Lists!$A$2:$B$25,2,FALSE),"")</f>
        <v/>
      </c>
      <c r="D48" s="7"/>
      <c r="E48" s="6"/>
      <c r="F48" s="6" t="str">
        <f t="shared" si="3"/>
        <v/>
      </c>
      <c r="G48" s="6"/>
      <c r="H48" s="6"/>
      <c r="I48" s="6"/>
      <c r="J48" s="7"/>
      <c r="K48" s="5" t="str" cm="1">
        <f t="array" ref="K48">IF(OR(A48="",B48="",D48="",E48=""),"",A48&amp;"_"&amp;SUBSTITUTE(B48," ","-")&amp;"_"&amp;D48&amp;"_"&amp;SUBSTITUTE(SUBSTITUTE(E48," ",""),"€","Euro")&amp;"_"&amp;IF(F48="","Unknown",F48)&amp;IF(F48="Commemorative",IF(G48="","","_"&amp;SUBSTITUTE(SUBSTITUTE(SUBSTITUTE(G48," ","-"),"/","-"),CHAR(39),"")),"")&amp;IF(I48="Duplicate","_Dub"&amp;IF(SUMPRODUCT(($B$2:B48=B48)*($D$2:D48=D48)*($E$2:E48=E48)*($F$2:F48=F48)*($G$2:G48=G48)*($I$2:I48="Duplicate"))&lt;=1,"",SUMPRODUCT(($B$2:B48=B48)*($D$2:D48=D48)*($E$2:E48=E48)*($F$2:F48=F48)*($G$2:G48=G48)*($I$2:I48="Duplicate"))-1),"")&amp;".jpeg")</f>
        <v/>
      </c>
      <c r="L48" s="6"/>
      <c r="M48" s="5" t="str">
        <f>IFERROR(VLOOKUP(E48,Specifications!$A$2:$D$9,2,FALSE),"")</f>
        <v/>
      </c>
      <c r="N48" s="5" t="str">
        <f>IFERROR(VLOOKUP(E48,Specifications!$A$2:$D$9,3,FALSE),"")</f>
        <v/>
      </c>
      <c r="O48" s="5" t="str">
        <f>IFERROR(VLOOKUP(E48,Specifications!$A$2:$D$9,4,FALSE),"")</f>
        <v/>
      </c>
      <c r="P48" s="8" t="str">
        <f t="shared" si="1"/>
        <v/>
      </c>
      <c r="Q48" s="9"/>
    </row>
    <row r="49" spans="1:17" ht="15">
      <c r="A49" s="5" t="str">
        <f t="shared" si="0"/>
        <v/>
      </c>
      <c r="B49" s="6"/>
      <c r="C49" s="5" t="str">
        <f>IFERROR(VLOOKUP(B49,Lists!$A$2:$B$25,2,FALSE),"")</f>
        <v/>
      </c>
      <c r="D49" s="7"/>
      <c r="E49" s="6"/>
      <c r="F49" s="6" t="str">
        <f t="shared" si="3"/>
        <v/>
      </c>
      <c r="G49" s="6"/>
      <c r="H49" s="6"/>
      <c r="I49" s="6"/>
      <c r="J49" s="7"/>
      <c r="K49" s="5" t="str" cm="1">
        <f t="array" ref="K49">IF(OR(A49="",B49="",D49="",E49=""),"",A49&amp;"_"&amp;SUBSTITUTE(B49," ","-")&amp;"_"&amp;D49&amp;"_"&amp;SUBSTITUTE(SUBSTITUTE(E49," ",""),"€","Euro")&amp;"_"&amp;IF(F49="","Unknown",F49)&amp;IF(F49="Commemorative",IF(G49="","","_"&amp;SUBSTITUTE(SUBSTITUTE(SUBSTITUTE(G49," ","-"),"/","-"),CHAR(39),"")),"")&amp;IF(I49="Duplicate","_Dub"&amp;IF(SUMPRODUCT(($B$2:B49=B49)*($D$2:D49=D49)*($E$2:E49=E49)*($F$2:F49=F49)*($G$2:G49=G49)*($I$2:I49="Duplicate"))&lt;=1,"",SUMPRODUCT(($B$2:B49=B49)*($D$2:D49=D49)*($E$2:E49=E49)*($F$2:F49=F49)*($G$2:G49=G49)*($I$2:I49="Duplicate"))-1),"")&amp;".jpeg")</f>
        <v/>
      </c>
      <c r="L49" s="6"/>
      <c r="M49" s="5" t="str">
        <f>IFERROR(VLOOKUP(E49,Specifications!$A$2:$D$9,2,FALSE),"")</f>
        <v/>
      </c>
      <c r="N49" s="5" t="str">
        <f>IFERROR(VLOOKUP(E49,Specifications!$A$2:$D$9,3,FALSE),"")</f>
        <v/>
      </c>
      <c r="O49" s="5" t="str">
        <f>IFERROR(VLOOKUP(E49,Specifications!$A$2:$D$9,4,FALSE),"")</f>
        <v/>
      </c>
      <c r="P49" s="8" t="str">
        <f t="shared" si="1"/>
        <v/>
      </c>
      <c r="Q49" s="9"/>
    </row>
    <row r="50" spans="1:17" ht="15">
      <c r="A50" s="5" t="str">
        <f t="shared" si="0"/>
        <v/>
      </c>
      <c r="B50" s="6"/>
      <c r="C50" s="5" t="str">
        <f>IFERROR(VLOOKUP(B50,Lists!$A$2:$B$25,2,FALSE),"")</f>
        <v/>
      </c>
      <c r="D50" s="7"/>
      <c r="E50" s="6"/>
      <c r="F50" s="6" t="str">
        <f t="shared" si="3"/>
        <v/>
      </c>
      <c r="G50" s="6"/>
      <c r="H50" s="6"/>
      <c r="I50" s="6"/>
      <c r="J50" s="7"/>
      <c r="K50" s="5" t="str" cm="1">
        <f t="array" ref="K50">IF(OR(A50="",B50="",D50="",E50=""),"",A50&amp;"_"&amp;SUBSTITUTE(B50," ","-")&amp;"_"&amp;D50&amp;"_"&amp;SUBSTITUTE(SUBSTITUTE(E50," ",""),"€","Euro")&amp;"_"&amp;IF(F50="","Unknown",F50)&amp;IF(F50="Commemorative",IF(G50="","","_"&amp;SUBSTITUTE(SUBSTITUTE(SUBSTITUTE(G50," ","-"),"/","-"),CHAR(39),"")),"")&amp;IF(I50="Duplicate","_Dub"&amp;IF(SUMPRODUCT(($B$2:B50=B50)*($D$2:D50=D50)*($E$2:E50=E50)*($F$2:F50=F50)*($G$2:G50=G50)*($I$2:I50="Duplicate"))&lt;=1,"",SUMPRODUCT(($B$2:B50=B50)*($D$2:D50=D50)*($E$2:E50=E50)*($F$2:F50=F50)*($G$2:G50=G50)*($I$2:I50="Duplicate"))-1),"")&amp;".jpeg")</f>
        <v/>
      </c>
      <c r="L50" s="6"/>
      <c r="M50" s="5" t="str">
        <f>IFERROR(VLOOKUP(E50,Specifications!$A$2:$D$9,2,FALSE),"")</f>
        <v/>
      </c>
      <c r="N50" s="5" t="str">
        <f>IFERROR(VLOOKUP(E50,Specifications!$A$2:$D$9,3,FALSE),"")</f>
        <v/>
      </c>
      <c r="O50" s="5" t="str">
        <f>IFERROR(VLOOKUP(E50,Specifications!$A$2:$D$9,4,FALSE),"")</f>
        <v/>
      </c>
      <c r="P50" s="8" t="str">
        <f t="shared" si="1"/>
        <v/>
      </c>
      <c r="Q50" s="9"/>
    </row>
    <row r="51" spans="1:17" ht="15">
      <c r="A51" s="5" t="str">
        <f t="shared" si="0"/>
        <v/>
      </c>
      <c r="B51" s="6"/>
      <c r="C51" s="5" t="str">
        <f>IFERROR(VLOOKUP(B51,Lists!$A$2:$B$25,2,FALSE),"")</f>
        <v/>
      </c>
      <c r="D51" s="7"/>
      <c r="E51" s="6"/>
      <c r="F51" s="6" t="str">
        <f t="shared" si="3"/>
        <v/>
      </c>
      <c r="G51" s="6"/>
      <c r="H51" s="6"/>
      <c r="I51" s="6"/>
      <c r="J51" s="7"/>
      <c r="K51" s="5" t="str" cm="1">
        <f t="array" ref="K51">IF(OR(A51="",B51="",D51="",E51=""),"",A51&amp;"_"&amp;SUBSTITUTE(B51," ","-")&amp;"_"&amp;D51&amp;"_"&amp;SUBSTITUTE(SUBSTITUTE(E51," ",""),"€","Euro")&amp;"_"&amp;IF(F51="","Unknown",F51)&amp;IF(F51="Commemorative",IF(G51="","","_"&amp;SUBSTITUTE(SUBSTITUTE(SUBSTITUTE(G51," ","-"),"/","-"),CHAR(39),"")),"")&amp;IF(I51="Duplicate","_Dub"&amp;IF(SUMPRODUCT(($B$2:B51=B51)*($D$2:D51=D51)*($E$2:E51=E51)*($F$2:F51=F51)*($G$2:G51=G51)*($I$2:I51="Duplicate"))&lt;=1,"",SUMPRODUCT(($B$2:B51=B51)*($D$2:D51=D51)*($E$2:E51=E51)*($F$2:F51=F51)*($G$2:G51=G51)*($I$2:I51="Duplicate"))-1),"")&amp;".jpeg")</f>
        <v/>
      </c>
      <c r="L51" s="6"/>
      <c r="M51" s="5" t="str">
        <f>IFERROR(VLOOKUP(E51,Specifications!$A$2:$D$9,2,FALSE),"")</f>
        <v/>
      </c>
      <c r="N51" s="5" t="str">
        <f>IFERROR(VLOOKUP(E51,Specifications!$A$2:$D$9,3,FALSE),"")</f>
        <v/>
      </c>
      <c r="O51" s="5" t="str">
        <f>IFERROR(VLOOKUP(E51,Specifications!$A$2:$D$9,4,FALSE),"")</f>
        <v/>
      </c>
      <c r="P51" s="8" t="str">
        <f t="shared" si="1"/>
        <v/>
      </c>
      <c r="Q51" s="9"/>
    </row>
    <row r="52" spans="1:17" ht="15">
      <c r="A52" s="5" t="str">
        <f t="shared" si="0"/>
        <v/>
      </c>
      <c r="B52" s="6"/>
      <c r="C52" s="5" t="str">
        <f>IFERROR(VLOOKUP(B52,Lists!$A$2:$B$25,2,FALSE),"")</f>
        <v/>
      </c>
      <c r="D52" s="7"/>
      <c r="E52" s="6"/>
      <c r="F52" s="6" t="str">
        <f t="shared" si="3"/>
        <v/>
      </c>
      <c r="G52" s="6"/>
      <c r="H52" s="6"/>
      <c r="I52" s="6"/>
      <c r="J52" s="7"/>
      <c r="K52" s="5" t="str" cm="1">
        <f t="array" ref="K52">IF(OR(A52="",B52="",D52="",E52=""),"",A52&amp;"_"&amp;SUBSTITUTE(B52," ","-")&amp;"_"&amp;D52&amp;"_"&amp;SUBSTITUTE(SUBSTITUTE(E52," ",""),"€","Euro")&amp;"_"&amp;IF(F52="","Unknown",F52)&amp;IF(F52="Commemorative",IF(G52="","","_"&amp;SUBSTITUTE(SUBSTITUTE(SUBSTITUTE(G52," ","-"),"/","-"),CHAR(39),"")),"")&amp;IF(I52="Duplicate","_Dub"&amp;IF(SUMPRODUCT(($B$2:B52=B52)*($D$2:D52=D52)*($E$2:E52=E52)*($F$2:F52=F52)*($G$2:G52=G52)*($I$2:I52="Duplicate"))&lt;=1,"",SUMPRODUCT(($B$2:B52=B52)*($D$2:D52=D52)*($E$2:E52=E52)*($F$2:F52=F52)*($G$2:G52=G52)*($I$2:I52="Duplicate"))-1),"")&amp;".jpeg")</f>
        <v/>
      </c>
      <c r="L52" s="6"/>
      <c r="M52" s="5" t="str">
        <f>IFERROR(VLOOKUP(E52,Specifications!$A$2:$D$9,2,FALSE),"")</f>
        <v/>
      </c>
      <c r="N52" s="5" t="str">
        <f>IFERROR(VLOOKUP(E52,Specifications!$A$2:$D$9,3,FALSE),"")</f>
        <v/>
      </c>
      <c r="O52" s="5" t="str">
        <f>IFERROR(VLOOKUP(E52,Specifications!$A$2:$D$9,4,FALSE),"")</f>
        <v/>
      </c>
      <c r="P52" s="8" t="str">
        <f t="shared" si="1"/>
        <v/>
      </c>
      <c r="Q52" s="9"/>
    </row>
    <row r="53" spans="1:17" ht="15">
      <c r="A53" s="5" t="str">
        <f t="shared" si="0"/>
        <v/>
      </c>
      <c r="B53" s="6"/>
      <c r="C53" s="5" t="str">
        <f>IFERROR(VLOOKUP(B53,Lists!$A$2:$B$25,2,FALSE),"")</f>
        <v/>
      </c>
      <c r="D53" s="7"/>
      <c r="E53" s="6"/>
      <c r="F53" s="6" t="str">
        <f t="shared" si="3"/>
        <v/>
      </c>
      <c r="G53" s="6"/>
      <c r="H53" s="6"/>
      <c r="I53" s="6"/>
      <c r="J53" s="7"/>
      <c r="K53" s="5" t="str" cm="1">
        <f t="array" ref="K53">IF(OR(A53="",B53="",D53="",E53=""),"",A53&amp;"_"&amp;SUBSTITUTE(B53," ","-")&amp;"_"&amp;D53&amp;"_"&amp;SUBSTITUTE(SUBSTITUTE(E53," ",""),"€","Euro")&amp;"_"&amp;IF(F53="","Unknown",F53)&amp;IF(F53="Commemorative",IF(G53="","","_"&amp;SUBSTITUTE(SUBSTITUTE(SUBSTITUTE(G53," ","-"),"/","-"),CHAR(39),"")),"")&amp;IF(I53="Duplicate","_Dub"&amp;IF(SUMPRODUCT(($B$2:B53=B53)*($D$2:D53=D53)*($E$2:E53=E53)*($F$2:F53=F53)*($G$2:G53=G53)*($I$2:I53="Duplicate"))&lt;=1,"",SUMPRODUCT(($B$2:B53=B53)*($D$2:D53=D53)*($E$2:E53=E53)*($F$2:F53=F53)*($G$2:G53=G53)*($I$2:I53="Duplicate"))-1),"")&amp;".jpeg")</f>
        <v/>
      </c>
      <c r="L53" s="6"/>
      <c r="M53" s="5" t="str">
        <f>IFERROR(VLOOKUP(E53,Specifications!$A$2:$D$9,2,FALSE),"")</f>
        <v/>
      </c>
      <c r="N53" s="5" t="str">
        <f>IFERROR(VLOOKUP(E53,Specifications!$A$2:$D$9,3,FALSE),"")</f>
        <v/>
      </c>
      <c r="O53" s="5" t="str">
        <f>IFERROR(VLOOKUP(E53,Specifications!$A$2:$D$9,4,FALSE),"")</f>
        <v/>
      </c>
      <c r="P53" s="8" t="str">
        <f t="shared" si="1"/>
        <v/>
      </c>
      <c r="Q53" s="9"/>
    </row>
    <row r="54" spans="1:17" ht="15">
      <c r="A54" s="5" t="str">
        <f t="shared" si="0"/>
        <v/>
      </c>
      <c r="B54" s="6"/>
      <c r="C54" s="5" t="str">
        <f>IFERROR(VLOOKUP(B54,Lists!$A$2:$B$25,2,FALSE),"")</f>
        <v/>
      </c>
      <c r="D54" s="7"/>
      <c r="E54" s="6"/>
      <c r="F54" s="6" t="str">
        <f t="shared" si="3"/>
        <v/>
      </c>
      <c r="G54" s="6"/>
      <c r="H54" s="6"/>
      <c r="I54" s="6"/>
      <c r="J54" s="7"/>
      <c r="K54" s="5" t="str" cm="1">
        <f t="array" ref="K54">IF(OR(A54="",B54="",D54="",E54=""),"",A54&amp;"_"&amp;SUBSTITUTE(B54," ","-")&amp;"_"&amp;D54&amp;"_"&amp;SUBSTITUTE(SUBSTITUTE(E54," ",""),"€","Euro")&amp;"_"&amp;IF(F54="","Unknown",F54)&amp;IF(F54="Commemorative",IF(G54="","","_"&amp;SUBSTITUTE(SUBSTITUTE(SUBSTITUTE(G54," ","-"),"/","-"),CHAR(39),"")),"")&amp;IF(I54="Duplicate","_Dub"&amp;IF(SUMPRODUCT(($B$2:B54=B54)*($D$2:D54=D54)*($E$2:E54=E54)*($F$2:F54=F54)*($G$2:G54=G54)*($I$2:I54="Duplicate"))&lt;=1,"",SUMPRODUCT(($B$2:B54=B54)*($D$2:D54=D54)*($E$2:E54=E54)*($F$2:F54=F54)*($G$2:G54=G54)*($I$2:I54="Duplicate"))-1),"")&amp;".jpeg")</f>
        <v/>
      </c>
      <c r="L54" s="6"/>
      <c r="M54" s="5" t="str">
        <f>IFERROR(VLOOKUP(E54,Specifications!$A$2:$D$9,2,FALSE),"")</f>
        <v/>
      </c>
      <c r="N54" s="5" t="str">
        <f>IFERROR(VLOOKUP(E54,Specifications!$A$2:$D$9,3,FALSE),"")</f>
        <v/>
      </c>
      <c r="O54" s="5" t="str">
        <f>IFERROR(VLOOKUP(E54,Specifications!$A$2:$D$9,4,FALSE),"")</f>
        <v/>
      </c>
      <c r="P54" s="8" t="str">
        <f t="shared" si="1"/>
        <v/>
      </c>
      <c r="Q54" s="9"/>
    </row>
    <row r="55" spans="1:17" ht="15">
      <c r="A55" s="5" t="str">
        <f t="shared" si="0"/>
        <v/>
      </c>
      <c r="B55" s="6"/>
      <c r="C55" s="5" t="str">
        <f>IFERROR(VLOOKUP(B55,Lists!$A$2:$B$25,2,FALSE),"")</f>
        <v/>
      </c>
      <c r="D55" s="7"/>
      <c r="E55" s="6"/>
      <c r="F55" s="6" t="str">
        <f t="shared" si="3"/>
        <v/>
      </c>
      <c r="G55" s="6"/>
      <c r="H55" s="6"/>
      <c r="I55" s="6"/>
      <c r="J55" s="7"/>
      <c r="K55" s="5" t="str" cm="1">
        <f t="array" ref="K55">IF(OR(A55="",B55="",D55="",E55=""),"",A55&amp;"_"&amp;SUBSTITUTE(B55," ","-")&amp;"_"&amp;D55&amp;"_"&amp;SUBSTITUTE(SUBSTITUTE(E55," ",""),"€","Euro")&amp;"_"&amp;IF(F55="","Unknown",F55)&amp;IF(F55="Commemorative",IF(G55="","","_"&amp;SUBSTITUTE(SUBSTITUTE(SUBSTITUTE(G55," ","-"),"/","-"),CHAR(39),"")),"")&amp;IF(I55="Duplicate","_Dub"&amp;IF(SUMPRODUCT(($B$2:B55=B55)*($D$2:D55=D55)*($E$2:E55=E55)*($F$2:F55=F55)*($G$2:G55=G55)*($I$2:I55="Duplicate"))&lt;=1,"",SUMPRODUCT(($B$2:B55=B55)*($D$2:D55=D55)*($E$2:E55=E55)*($F$2:F55=F55)*($G$2:G55=G55)*($I$2:I55="Duplicate"))-1),"")&amp;".jpeg")</f>
        <v/>
      </c>
      <c r="L55" s="6"/>
      <c r="M55" s="5" t="str">
        <f>IFERROR(VLOOKUP(E55,Specifications!$A$2:$D$9,2,FALSE),"")</f>
        <v/>
      </c>
      <c r="N55" s="5" t="str">
        <f>IFERROR(VLOOKUP(E55,Specifications!$A$2:$D$9,3,FALSE),"")</f>
        <v/>
      </c>
      <c r="O55" s="5" t="str">
        <f>IFERROR(VLOOKUP(E55,Specifications!$A$2:$D$9,4,FALSE),"")</f>
        <v/>
      </c>
      <c r="P55" s="8" t="str">
        <f t="shared" si="1"/>
        <v/>
      </c>
      <c r="Q55" s="9"/>
    </row>
    <row r="56" spans="1:17" ht="15">
      <c r="A56" s="5" t="str">
        <f t="shared" si="0"/>
        <v/>
      </c>
      <c r="B56" s="6"/>
      <c r="C56" s="5" t="str">
        <f>IFERROR(VLOOKUP(B56,Lists!$A$2:$B$25,2,FALSE),"")</f>
        <v/>
      </c>
      <c r="D56" s="7"/>
      <c r="E56" s="6"/>
      <c r="F56" s="6" t="str">
        <f t="shared" si="3"/>
        <v/>
      </c>
      <c r="G56" s="6"/>
      <c r="H56" s="6"/>
      <c r="I56" s="6"/>
      <c r="J56" s="7"/>
      <c r="K56" s="5" t="str" cm="1">
        <f t="array" ref="K56">IF(OR(A56="",B56="",D56="",E56=""),"",A56&amp;"_"&amp;SUBSTITUTE(B56," ","-")&amp;"_"&amp;D56&amp;"_"&amp;SUBSTITUTE(SUBSTITUTE(E56," ",""),"€","Euro")&amp;"_"&amp;IF(F56="","Unknown",F56)&amp;IF(F56="Commemorative",IF(G56="","","_"&amp;SUBSTITUTE(SUBSTITUTE(SUBSTITUTE(G56," ","-"),"/","-"),CHAR(39),"")),"")&amp;IF(I56="Duplicate","_Dub"&amp;IF(SUMPRODUCT(($B$2:B56=B56)*($D$2:D56=D56)*($E$2:E56=E56)*($F$2:F56=F56)*($G$2:G56=G56)*($I$2:I56="Duplicate"))&lt;=1,"",SUMPRODUCT(($B$2:B56=B56)*($D$2:D56=D56)*($E$2:E56=E56)*($F$2:F56=F56)*($G$2:G56=G56)*($I$2:I56="Duplicate"))-1),"")&amp;".jpeg")</f>
        <v/>
      </c>
      <c r="L56" s="6"/>
      <c r="M56" s="5" t="str">
        <f>IFERROR(VLOOKUP(E56,Specifications!$A$2:$D$9,2,FALSE),"")</f>
        <v/>
      </c>
      <c r="N56" s="5" t="str">
        <f>IFERROR(VLOOKUP(E56,Specifications!$A$2:$D$9,3,FALSE),"")</f>
        <v/>
      </c>
      <c r="O56" s="5" t="str">
        <f>IFERROR(VLOOKUP(E56,Specifications!$A$2:$D$9,4,FALSE),"")</f>
        <v/>
      </c>
      <c r="P56" s="8" t="str">
        <f t="shared" si="1"/>
        <v/>
      </c>
      <c r="Q56" s="9"/>
    </row>
    <row r="57" spans="1:17" ht="15">
      <c r="A57" s="5" t="str">
        <f t="shared" si="0"/>
        <v/>
      </c>
      <c r="B57" s="6"/>
      <c r="C57" s="5" t="str">
        <f>IFERROR(VLOOKUP(B57,Lists!$A$2:$B$25,2,FALSE),"")</f>
        <v/>
      </c>
      <c r="D57" s="7"/>
      <c r="E57" s="6"/>
      <c r="F57" s="6" t="str">
        <f t="shared" si="3"/>
        <v/>
      </c>
      <c r="G57" s="6"/>
      <c r="H57" s="6"/>
      <c r="I57" s="6"/>
      <c r="J57" s="7"/>
      <c r="K57" s="5" t="str" cm="1">
        <f t="array" ref="K57">IF(OR(A57="",B57="",D57="",E57=""),"",A57&amp;"_"&amp;SUBSTITUTE(B57," ","-")&amp;"_"&amp;D57&amp;"_"&amp;SUBSTITUTE(SUBSTITUTE(E57," ",""),"€","Euro")&amp;"_"&amp;IF(F57="","Unknown",F57)&amp;IF(F57="Commemorative",IF(G57="","","_"&amp;SUBSTITUTE(SUBSTITUTE(SUBSTITUTE(G57," ","-"),"/","-"),CHAR(39),"")),"")&amp;IF(I57="Duplicate","_Dub"&amp;IF(SUMPRODUCT(($B$2:B57=B57)*($D$2:D57=D57)*($E$2:E57=E57)*($F$2:F57=F57)*($G$2:G57=G57)*($I$2:I57="Duplicate"))&lt;=1,"",SUMPRODUCT(($B$2:B57=B57)*($D$2:D57=D57)*($E$2:E57=E57)*($F$2:F57=F57)*($G$2:G57=G57)*($I$2:I57="Duplicate"))-1),"")&amp;".jpeg")</f>
        <v/>
      </c>
      <c r="L57" s="6"/>
      <c r="M57" s="5" t="str">
        <f>IFERROR(VLOOKUP(E57,Specifications!$A$2:$D$9,2,FALSE),"")</f>
        <v/>
      </c>
      <c r="N57" s="5" t="str">
        <f>IFERROR(VLOOKUP(E57,Specifications!$A$2:$D$9,3,FALSE),"")</f>
        <v/>
      </c>
      <c r="O57" s="5" t="str">
        <f>IFERROR(VLOOKUP(E57,Specifications!$A$2:$D$9,4,FALSE),"")</f>
        <v/>
      </c>
      <c r="P57" s="8" t="str">
        <f t="shared" si="1"/>
        <v/>
      </c>
      <c r="Q57" s="9"/>
    </row>
    <row r="58" spans="1:17" ht="15">
      <c r="A58" s="5" t="str">
        <f t="shared" si="0"/>
        <v/>
      </c>
      <c r="B58" s="6"/>
      <c r="C58" s="5" t="str">
        <f>IFERROR(VLOOKUP(B58,Lists!$A$2:$B$25,2,FALSE),"")</f>
        <v/>
      </c>
      <c r="D58" s="7"/>
      <c r="E58" s="6"/>
      <c r="F58" s="6" t="str">
        <f t="shared" si="3"/>
        <v/>
      </c>
      <c r="G58" s="6"/>
      <c r="H58" s="6"/>
      <c r="I58" s="6"/>
      <c r="J58" s="7"/>
      <c r="K58" s="5" t="str" cm="1">
        <f t="array" ref="K58">IF(OR(A58="",B58="",D58="",E58=""),"",A58&amp;"_"&amp;SUBSTITUTE(B58," ","-")&amp;"_"&amp;D58&amp;"_"&amp;SUBSTITUTE(SUBSTITUTE(E58," ",""),"€","Euro")&amp;"_"&amp;IF(F58="","Unknown",F58)&amp;IF(F58="Commemorative",IF(G58="","","_"&amp;SUBSTITUTE(SUBSTITUTE(SUBSTITUTE(G58," ","-"),"/","-"),CHAR(39),"")),"")&amp;IF(I58="Duplicate","_Dub"&amp;IF(SUMPRODUCT(($B$2:B58=B58)*($D$2:D58=D58)*($E$2:E58=E58)*($F$2:F58=F58)*($G$2:G58=G58)*($I$2:I58="Duplicate"))&lt;=1,"",SUMPRODUCT(($B$2:B58=B58)*($D$2:D58=D58)*($E$2:E58=E58)*($F$2:F58=F58)*($G$2:G58=G58)*($I$2:I58="Duplicate"))-1),"")&amp;".jpeg")</f>
        <v/>
      </c>
      <c r="L58" s="6"/>
      <c r="M58" s="5" t="str">
        <f>IFERROR(VLOOKUP(E58,Specifications!$A$2:$D$9,2,FALSE),"")</f>
        <v/>
      </c>
      <c r="N58" s="5" t="str">
        <f>IFERROR(VLOOKUP(E58,Specifications!$A$2:$D$9,3,FALSE),"")</f>
        <v/>
      </c>
      <c r="O58" s="5" t="str">
        <f>IFERROR(VLOOKUP(E58,Specifications!$A$2:$D$9,4,FALSE),"")</f>
        <v/>
      </c>
      <c r="P58" s="8" t="str">
        <f t="shared" si="1"/>
        <v/>
      </c>
      <c r="Q58" s="9"/>
    </row>
    <row r="59" spans="1:17" ht="15">
      <c r="A59" s="5" t="str">
        <f t="shared" si="0"/>
        <v/>
      </c>
      <c r="B59" s="6"/>
      <c r="C59" s="5" t="str">
        <f>IFERROR(VLOOKUP(B59,Lists!$A$2:$B$25,2,FALSE),"")</f>
        <v/>
      </c>
      <c r="D59" s="7"/>
      <c r="E59" s="6"/>
      <c r="F59" s="6" t="str">
        <f t="shared" si="3"/>
        <v/>
      </c>
      <c r="G59" s="6"/>
      <c r="H59" s="6"/>
      <c r="I59" s="6"/>
      <c r="J59" s="7"/>
      <c r="K59" s="5" t="str" cm="1">
        <f t="array" ref="K59">IF(OR(A59="",B59="",D59="",E59=""),"",A59&amp;"_"&amp;SUBSTITUTE(B59," ","-")&amp;"_"&amp;D59&amp;"_"&amp;SUBSTITUTE(SUBSTITUTE(E59," ",""),"€","Euro")&amp;"_"&amp;IF(F59="","Unknown",F59)&amp;IF(F59="Commemorative",IF(G59="","","_"&amp;SUBSTITUTE(SUBSTITUTE(SUBSTITUTE(G59," ","-"),"/","-"),CHAR(39),"")),"")&amp;IF(I59="Duplicate","_Dub"&amp;IF(SUMPRODUCT(($B$2:B59=B59)*($D$2:D59=D59)*($E$2:E59=E59)*($F$2:F59=F59)*($G$2:G59=G59)*($I$2:I59="Duplicate"))&lt;=1,"",SUMPRODUCT(($B$2:B59=B59)*($D$2:D59=D59)*($E$2:E59=E59)*($F$2:F59=F59)*($G$2:G59=G59)*($I$2:I59="Duplicate"))-1),"")&amp;".jpeg")</f>
        <v/>
      </c>
      <c r="L59" s="6"/>
      <c r="M59" s="5" t="str">
        <f>IFERROR(VLOOKUP(E59,Specifications!$A$2:$D$9,2,FALSE),"")</f>
        <v/>
      </c>
      <c r="N59" s="5" t="str">
        <f>IFERROR(VLOOKUP(E59,Specifications!$A$2:$D$9,3,FALSE),"")</f>
        <v/>
      </c>
      <c r="O59" s="5" t="str">
        <f>IFERROR(VLOOKUP(E59,Specifications!$A$2:$D$9,4,FALSE),"")</f>
        <v/>
      </c>
      <c r="P59" s="8" t="str">
        <f t="shared" si="1"/>
        <v/>
      </c>
      <c r="Q59" s="9"/>
    </row>
    <row r="60" spans="1:17" ht="15">
      <c r="A60" s="5" t="str">
        <f t="shared" si="0"/>
        <v/>
      </c>
      <c r="B60" s="6"/>
      <c r="C60" s="5" t="str">
        <f>IFERROR(VLOOKUP(B60,Lists!$A$2:$B$25,2,FALSE),"")</f>
        <v/>
      </c>
      <c r="D60" s="7"/>
      <c r="E60" s="6"/>
      <c r="F60" s="6" t="str">
        <f t="shared" si="3"/>
        <v/>
      </c>
      <c r="G60" s="6"/>
      <c r="H60" s="6"/>
      <c r="I60" s="6"/>
      <c r="J60" s="7"/>
      <c r="K60" s="5" t="str" cm="1">
        <f t="array" ref="K60">IF(OR(A60="",B60="",D60="",E60=""),"",A60&amp;"_"&amp;SUBSTITUTE(B60," ","-")&amp;"_"&amp;D60&amp;"_"&amp;SUBSTITUTE(SUBSTITUTE(E60," ",""),"€","Euro")&amp;"_"&amp;IF(F60="","Unknown",F60)&amp;IF(F60="Commemorative",IF(G60="","","_"&amp;SUBSTITUTE(SUBSTITUTE(SUBSTITUTE(G60," ","-"),"/","-"),CHAR(39),"")),"")&amp;IF(I60="Duplicate","_Dub"&amp;IF(SUMPRODUCT(($B$2:B60=B60)*($D$2:D60=D60)*($E$2:E60=E60)*($F$2:F60=F60)*($G$2:G60=G60)*($I$2:I60="Duplicate"))&lt;=1,"",SUMPRODUCT(($B$2:B60=B60)*($D$2:D60=D60)*($E$2:E60=E60)*($F$2:F60=F60)*($G$2:G60=G60)*($I$2:I60="Duplicate"))-1),"")&amp;".jpeg")</f>
        <v/>
      </c>
      <c r="L60" s="6"/>
      <c r="M60" s="5" t="str">
        <f>IFERROR(VLOOKUP(E60,Specifications!$A$2:$D$9,2,FALSE),"")</f>
        <v/>
      </c>
      <c r="N60" s="5" t="str">
        <f>IFERROR(VLOOKUP(E60,Specifications!$A$2:$D$9,3,FALSE),"")</f>
        <v/>
      </c>
      <c r="O60" s="5" t="str">
        <f>IFERROR(VLOOKUP(E60,Specifications!$A$2:$D$9,4,FALSE),"")</f>
        <v/>
      </c>
      <c r="P60" s="8" t="str">
        <f t="shared" si="1"/>
        <v/>
      </c>
      <c r="Q60" s="9"/>
    </row>
    <row r="61" spans="1:17" ht="15">
      <c r="A61" s="5" t="str">
        <f t="shared" si="0"/>
        <v/>
      </c>
      <c r="B61" s="6"/>
      <c r="C61" s="5" t="str">
        <f>IFERROR(VLOOKUP(B61,Lists!$A$2:$B$25,2,FALSE),"")</f>
        <v/>
      </c>
      <c r="D61" s="7"/>
      <c r="E61" s="6"/>
      <c r="F61" s="6" t="str">
        <f t="shared" si="3"/>
        <v/>
      </c>
      <c r="G61" s="6"/>
      <c r="H61" s="6"/>
      <c r="I61" s="6"/>
      <c r="J61" s="7"/>
      <c r="K61" s="5" t="str" cm="1">
        <f t="array" ref="K61">IF(OR(A61="",B61="",D61="",E61=""),"",A61&amp;"_"&amp;SUBSTITUTE(B61," ","-")&amp;"_"&amp;D61&amp;"_"&amp;SUBSTITUTE(SUBSTITUTE(E61," ",""),"€","Euro")&amp;"_"&amp;IF(F61="","Unknown",F61)&amp;IF(F61="Commemorative",IF(G61="","","_"&amp;SUBSTITUTE(SUBSTITUTE(SUBSTITUTE(G61," ","-"),"/","-"),CHAR(39),"")),"")&amp;IF(I61="Duplicate","_Dub"&amp;IF(SUMPRODUCT(($B$2:B61=B61)*($D$2:D61=D61)*($E$2:E61=E61)*($F$2:F61=F61)*($G$2:G61=G61)*($I$2:I61="Duplicate"))&lt;=1,"",SUMPRODUCT(($B$2:B61=B61)*($D$2:D61=D61)*($E$2:E61=E61)*($F$2:F61=F61)*($G$2:G61=G61)*($I$2:I61="Duplicate"))-1),"")&amp;".jpeg")</f>
        <v/>
      </c>
      <c r="L61" s="6"/>
      <c r="M61" s="5" t="str">
        <f>IFERROR(VLOOKUP(E61,Specifications!$A$2:$D$9,2,FALSE),"")</f>
        <v/>
      </c>
      <c r="N61" s="5" t="str">
        <f>IFERROR(VLOOKUP(E61,Specifications!$A$2:$D$9,3,FALSE),"")</f>
        <v/>
      </c>
      <c r="O61" s="5" t="str">
        <f>IFERROR(VLOOKUP(E61,Specifications!$A$2:$D$9,4,FALSE),"")</f>
        <v/>
      </c>
      <c r="P61" s="8" t="str">
        <f t="shared" si="1"/>
        <v/>
      </c>
      <c r="Q61" s="9"/>
    </row>
    <row r="62" spans="1:17" ht="15">
      <c r="A62" s="5" t="str">
        <f t="shared" si="0"/>
        <v/>
      </c>
      <c r="B62" s="6"/>
      <c r="C62" s="5" t="str">
        <f>IFERROR(VLOOKUP(B62,Lists!$A$2:$B$25,2,FALSE),"")</f>
        <v/>
      </c>
      <c r="D62" s="7"/>
      <c r="E62" s="6"/>
      <c r="F62" s="6" t="str">
        <f t="shared" si="3"/>
        <v/>
      </c>
      <c r="G62" s="6"/>
      <c r="H62" s="6"/>
      <c r="I62" s="6"/>
      <c r="J62" s="7"/>
      <c r="K62" s="5" t="str" cm="1">
        <f t="array" ref="K62">IF(OR(A62="",B62="",D62="",E62=""),"",A62&amp;"_"&amp;SUBSTITUTE(B62," ","-")&amp;"_"&amp;D62&amp;"_"&amp;SUBSTITUTE(SUBSTITUTE(E62," ",""),"€","Euro")&amp;"_"&amp;IF(F62="","Unknown",F62)&amp;IF(F62="Commemorative",IF(G62="","","_"&amp;SUBSTITUTE(SUBSTITUTE(SUBSTITUTE(G62," ","-"),"/","-"),CHAR(39),"")),"")&amp;IF(I62="Duplicate","_Dub"&amp;IF(SUMPRODUCT(($B$2:B62=B62)*($D$2:D62=D62)*($E$2:E62=E62)*($F$2:F62=F62)*($G$2:G62=G62)*($I$2:I62="Duplicate"))&lt;=1,"",SUMPRODUCT(($B$2:B62=B62)*($D$2:D62=D62)*($E$2:E62=E62)*($F$2:F62=F62)*($G$2:G62=G62)*($I$2:I62="Duplicate"))-1),"")&amp;".jpeg")</f>
        <v/>
      </c>
      <c r="L62" s="6"/>
      <c r="M62" s="5" t="str">
        <f>IFERROR(VLOOKUP(E62,Specifications!$A$2:$D$9,2,FALSE),"")</f>
        <v/>
      </c>
      <c r="N62" s="5" t="str">
        <f>IFERROR(VLOOKUP(E62,Specifications!$A$2:$D$9,3,FALSE),"")</f>
        <v/>
      </c>
      <c r="O62" s="5" t="str">
        <f>IFERROR(VLOOKUP(E62,Specifications!$A$2:$D$9,4,FALSE),"")</f>
        <v/>
      </c>
      <c r="P62" s="8" t="str">
        <f t="shared" si="1"/>
        <v/>
      </c>
      <c r="Q62" s="9"/>
    </row>
    <row r="63" spans="1:17" ht="15">
      <c r="A63" s="5" t="str">
        <f t="shared" si="0"/>
        <v/>
      </c>
      <c r="B63" s="6"/>
      <c r="C63" s="5" t="str">
        <f>IFERROR(VLOOKUP(B63,Lists!$A$2:$B$25,2,FALSE),"")</f>
        <v/>
      </c>
      <c r="D63" s="7"/>
      <c r="E63" s="6"/>
      <c r="F63" s="6" t="str">
        <f t="shared" si="3"/>
        <v/>
      </c>
      <c r="G63" s="6"/>
      <c r="H63" s="6"/>
      <c r="I63" s="6"/>
      <c r="J63" s="7"/>
      <c r="K63" s="5" t="str" cm="1">
        <f t="array" ref="K63">IF(OR(A63="",B63="",D63="",E63=""),"",A63&amp;"_"&amp;SUBSTITUTE(B63," ","-")&amp;"_"&amp;D63&amp;"_"&amp;SUBSTITUTE(SUBSTITUTE(E63," ",""),"€","Euro")&amp;"_"&amp;IF(F63="","Unknown",F63)&amp;IF(F63="Commemorative",IF(G63="","","_"&amp;SUBSTITUTE(SUBSTITUTE(SUBSTITUTE(G63," ","-"),"/","-"),CHAR(39),"")),"")&amp;IF(I63="Duplicate","_Dub"&amp;IF(SUMPRODUCT(($B$2:B63=B63)*($D$2:D63=D63)*($E$2:E63=E63)*($F$2:F63=F63)*($G$2:G63=G63)*($I$2:I63="Duplicate"))&lt;=1,"",SUMPRODUCT(($B$2:B63=B63)*($D$2:D63=D63)*($E$2:E63=E63)*($F$2:F63=F63)*($G$2:G63=G63)*($I$2:I63="Duplicate"))-1),"")&amp;".jpeg")</f>
        <v/>
      </c>
      <c r="L63" s="6"/>
      <c r="M63" s="5" t="str">
        <f>IFERROR(VLOOKUP(E63,Specifications!$A$2:$D$9,2,FALSE),"")</f>
        <v/>
      </c>
      <c r="N63" s="5" t="str">
        <f>IFERROR(VLOOKUP(E63,Specifications!$A$2:$D$9,3,FALSE),"")</f>
        <v/>
      </c>
      <c r="O63" s="5" t="str">
        <f>IFERROR(VLOOKUP(E63,Specifications!$A$2:$D$9,4,FALSE),"")</f>
        <v/>
      </c>
      <c r="P63" s="8" t="str">
        <f t="shared" si="1"/>
        <v/>
      </c>
      <c r="Q63" s="9"/>
    </row>
    <row r="64" spans="1:17" ht="15">
      <c r="A64" s="5" t="str">
        <f t="shared" si="0"/>
        <v/>
      </c>
      <c r="B64" s="6"/>
      <c r="C64" s="5" t="str">
        <f>IFERROR(VLOOKUP(B64,Lists!$A$2:$B$25,2,FALSE),"")</f>
        <v/>
      </c>
      <c r="D64" s="7"/>
      <c r="E64" s="6"/>
      <c r="F64" s="6" t="str">
        <f t="shared" si="3"/>
        <v/>
      </c>
      <c r="G64" s="6"/>
      <c r="H64" s="6"/>
      <c r="I64" s="6"/>
      <c r="J64" s="7"/>
      <c r="K64" s="5" t="str" cm="1">
        <f t="array" ref="K64">IF(OR(A64="",B64="",D64="",E64=""),"",A64&amp;"_"&amp;SUBSTITUTE(B64," ","-")&amp;"_"&amp;D64&amp;"_"&amp;SUBSTITUTE(SUBSTITUTE(E64," ",""),"€","Euro")&amp;"_"&amp;IF(F64="","Unknown",F64)&amp;IF(F64="Commemorative",IF(G64="","","_"&amp;SUBSTITUTE(SUBSTITUTE(SUBSTITUTE(G64," ","-"),"/","-"),CHAR(39),"")),"")&amp;IF(I64="Duplicate","_Dub"&amp;IF(SUMPRODUCT(($B$2:B64=B64)*($D$2:D64=D64)*($E$2:E64=E64)*($F$2:F64=F64)*($G$2:G64=G64)*($I$2:I64="Duplicate"))&lt;=1,"",SUMPRODUCT(($B$2:B64=B64)*($D$2:D64=D64)*($E$2:E64=E64)*($F$2:F64=F64)*($G$2:G64=G64)*($I$2:I64="Duplicate"))-1),"")&amp;".jpeg")</f>
        <v/>
      </c>
      <c r="L64" s="6"/>
      <c r="M64" s="5" t="str">
        <f>IFERROR(VLOOKUP(E64,Specifications!$A$2:$D$9,2,FALSE),"")</f>
        <v/>
      </c>
      <c r="N64" s="5" t="str">
        <f>IFERROR(VLOOKUP(E64,Specifications!$A$2:$D$9,3,FALSE),"")</f>
        <v/>
      </c>
      <c r="O64" s="5" t="str">
        <f>IFERROR(VLOOKUP(E64,Specifications!$A$2:$D$9,4,FALSE),"")</f>
        <v/>
      </c>
      <c r="P64" s="8" t="str">
        <f t="shared" si="1"/>
        <v/>
      </c>
      <c r="Q64" s="9"/>
    </row>
    <row r="65" spans="1:17" ht="15">
      <c r="A65" s="5" t="str">
        <f t="shared" si="0"/>
        <v/>
      </c>
      <c r="B65" s="6"/>
      <c r="C65" s="5" t="str">
        <f>IFERROR(VLOOKUP(B65,Lists!$A$2:$B$25,2,FALSE),"")</f>
        <v/>
      </c>
      <c r="D65" s="7"/>
      <c r="E65" s="6"/>
      <c r="F65" s="6" t="str">
        <f t="shared" si="3"/>
        <v/>
      </c>
      <c r="G65" s="6"/>
      <c r="H65" s="6"/>
      <c r="I65" s="6"/>
      <c r="J65" s="7"/>
      <c r="K65" s="5" t="str" cm="1">
        <f t="array" ref="K65">IF(OR(A65="",B65="",D65="",E65=""),"",A65&amp;"_"&amp;SUBSTITUTE(B65," ","-")&amp;"_"&amp;D65&amp;"_"&amp;SUBSTITUTE(SUBSTITUTE(E65," ",""),"€","Euro")&amp;"_"&amp;IF(F65="","Unknown",F65)&amp;IF(F65="Commemorative",IF(G65="","","_"&amp;SUBSTITUTE(SUBSTITUTE(SUBSTITUTE(G65," ","-"),"/","-"),CHAR(39),"")),"")&amp;IF(I65="Duplicate","_Dub"&amp;IF(SUMPRODUCT(($B$2:B65=B65)*($D$2:D65=D65)*($E$2:E65=E65)*($F$2:F65=F65)*($G$2:G65=G65)*($I$2:I65="Duplicate"))&lt;=1,"",SUMPRODUCT(($B$2:B65=B65)*($D$2:D65=D65)*($E$2:E65=E65)*($F$2:F65=F65)*($G$2:G65=G65)*($I$2:I65="Duplicate"))-1),"")&amp;".jpeg")</f>
        <v/>
      </c>
      <c r="L65" s="6"/>
      <c r="M65" s="5" t="str">
        <f>IFERROR(VLOOKUP(E65,Specifications!$A$2:$D$9,2,FALSE),"")</f>
        <v/>
      </c>
      <c r="N65" s="5" t="str">
        <f>IFERROR(VLOOKUP(E65,Specifications!$A$2:$D$9,3,FALSE),"")</f>
        <v/>
      </c>
      <c r="O65" s="5" t="str">
        <f>IFERROR(VLOOKUP(E65,Specifications!$A$2:$D$9,4,FALSE),"")</f>
        <v/>
      </c>
      <c r="P65" s="8" t="str">
        <f t="shared" si="1"/>
        <v/>
      </c>
      <c r="Q65" s="9"/>
    </row>
    <row r="66" spans="1:17" ht="15">
      <c r="A66" s="5" t="str">
        <f t="shared" ref="A66:A129" si="4">IF(B66="","",TEXT(ROW()-1,"000"))</f>
        <v/>
      </c>
      <c r="B66" s="6"/>
      <c r="C66" s="5" t="str">
        <f>IFERROR(VLOOKUP(B66,Lists!$A$2:$B$25,2,FALSE),"")</f>
        <v/>
      </c>
      <c r="D66" s="7"/>
      <c r="E66" s="6"/>
      <c r="F66" s="6" t="str">
        <f t="shared" ref="F66:F129" si="5">IF(E66="","",IF(E66="2 €","", "Regular"))</f>
        <v/>
      </c>
      <c r="G66" s="6"/>
      <c r="H66" s="6"/>
      <c r="I66" s="6"/>
      <c r="J66" s="7"/>
      <c r="K66" s="5" t="str" cm="1">
        <f t="array" ref="K66">IF(OR(A66="",B66="",D66="",E66=""),"",A66&amp;"_"&amp;SUBSTITUTE(B66," ","-")&amp;"_"&amp;D66&amp;"_"&amp;SUBSTITUTE(SUBSTITUTE(E66," ",""),"€","Euro")&amp;"_"&amp;IF(F66="","Unknown",F66)&amp;IF(F66="Commemorative",IF(G66="","","_"&amp;SUBSTITUTE(SUBSTITUTE(SUBSTITUTE(G66," ","-"),"/","-"),CHAR(39),"")),"")&amp;IF(I66="Duplicate","_Dub"&amp;IF(SUMPRODUCT(($B$2:B66=B66)*($D$2:D66=D66)*($E$2:E66=E66)*($F$2:F66=F66)*($G$2:G66=G66)*($I$2:I66="Duplicate"))&lt;=1,"",SUMPRODUCT(($B$2:B66=B66)*($D$2:D66=D66)*($E$2:E66=E66)*($F$2:F66=F66)*($G$2:G66=G66)*($I$2:I66="Duplicate"))-1),"")&amp;".jpeg")</f>
        <v/>
      </c>
      <c r="L66" s="6"/>
      <c r="M66" s="5" t="str">
        <f>IFERROR(VLOOKUP(E66,Specifications!$A$2:$D$9,2,FALSE),"")</f>
        <v/>
      </c>
      <c r="N66" s="5" t="str">
        <f>IFERROR(VLOOKUP(E66,Specifications!$A$2:$D$9,3,FALSE),"")</f>
        <v/>
      </c>
      <c r="O66" s="5" t="str">
        <f>IFERROR(VLOOKUP(E66,Specifications!$A$2:$D$9,4,FALSE),"")</f>
        <v/>
      </c>
      <c r="P66" s="8" t="str">
        <f t="shared" ref="P66:P129" si="6">IF(OR(B66="",E66="",F66=""),"",IF(F66="Regular","Regular "&amp;E66&amp;" circulation coin of "&amp;B66&amp;".",IF(F66="Commemorative",IF(G66="","",E66&amp;" commemorative coin of "&amp;B66&amp;" – "&amp;G66&amp;"."),"")))</f>
        <v/>
      </c>
      <c r="Q66" s="9"/>
    </row>
    <row r="67" spans="1:17" ht="15">
      <c r="A67" s="5" t="str">
        <f t="shared" si="4"/>
        <v/>
      </c>
      <c r="B67" s="6"/>
      <c r="C67" s="5" t="str">
        <f>IFERROR(VLOOKUP(B67,Lists!$A$2:$B$25,2,FALSE),"")</f>
        <v/>
      </c>
      <c r="D67" s="7"/>
      <c r="E67" s="6"/>
      <c r="F67" s="6" t="str">
        <f t="shared" si="5"/>
        <v/>
      </c>
      <c r="G67" s="6"/>
      <c r="H67" s="6"/>
      <c r="I67" s="6"/>
      <c r="J67" s="7"/>
      <c r="K67" s="5" t="str" cm="1">
        <f t="array" ref="K67">IF(OR(A67="",B67="",D67="",E67=""),"",A67&amp;"_"&amp;SUBSTITUTE(B67," ","-")&amp;"_"&amp;D67&amp;"_"&amp;SUBSTITUTE(SUBSTITUTE(E67," ",""),"€","Euro")&amp;"_"&amp;IF(F67="","Unknown",F67)&amp;IF(F67="Commemorative",IF(G67="","","_"&amp;SUBSTITUTE(SUBSTITUTE(SUBSTITUTE(G67," ","-"),"/","-"),CHAR(39),"")),"")&amp;IF(I67="Duplicate","_Dub"&amp;IF(SUMPRODUCT(($B$2:B67=B67)*($D$2:D67=D67)*($E$2:E67=E67)*($F$2:F67=F67)*($G$2:G67=G67)*($I$2:I67="Duplicate"))&lt;=1,"",SUMPRODUCT(($B$2:B67=B67)*($D$2:D67=D67)*($E$2:E67=E67)*($F$2:F67=F67)*($G$2:G67=G67)*($I$2:I67="Duplicate"))-1),"")&amp;".jpeg")</f>
        <v/>
      </c>
      <c r="L67" s="6"/>
      <c r="M67" s="5" t="str">
        <f>IFERROR(VLOOKUP(E67,Specifications!$A$2:$D$9,2,FALSE),"")</f>
        <v/>
      </c>
      <c r="N67" s="5" t="str">
        <f>IFERROR(VLOOKUP(E67,Specifications!$A$2:$D$9,3,FALSE),"")</f>
        <v/>
      </c>
      <c r="O67" s="5" t="str">
        <f>IFERROR(VLOOKUP(E67,Specifications!$A$2:$D$9,4,FALSE),"")</f>
        <v/>
      </c>
      <c r="P67" s="8" t="str">
        <f t="shared" si="6"/>
        <v/>
      </c>
      <c r="Q67" s="9"/>
    </row>
    <row r="68" spans="1:17" ht="15">
      <c r="A68" s="5" t="str">
        <f t="shared" si="4"/>
        <v/>
      </c>
      <c r="B68" s="6"/>
      <c r="C68" s="5" t="str">
        <f>IFERROR(VLOOKUP(B68,Lists!$A$2:$B$25,2,FALSE),"")</f>
        <v/>
      </c>
      <c r="D68" s="7"/>
      <c r="E68" s="6"/>
      <c r="F68" s="6" t="str">
        <f t="shared" si="5"/>
        <v/>
      </c>
      <c r="G68" s="6"/>
      <c r="H68" s="6"/>
      <c r="I68" s="6"/>
      <c r="J68" s="7"/>
      <c r="K68" s="5" t="str" cm="1">
        <f t="array" ref="K68">IF(OR(A68="",B68="",D68="",E68=""),"",A68&amp;"_"&amp;SUBSTITUTE(B68," ","-")&amp;"_"&amp;D68&amp;"_"&amp;SUBSTITUTE(SUBSTITUTE(E68," ",""),"€","Euro")&amp;"_"&amp;IF(F68="","Unknown",F68)&amp;IF(F68="Commemorative",IF(G68="","","_"&amp;SUBSTITUTE(SUBSTITUTE(SUBSTITUTE(G68," ","-"),"/","-"),CHAR(39),"")),"")&amp;IF(I68="Duplicate","_Dub"&amp;IF(SUMPRODUCT(($B$2:B68=B68)*($D$2:D68=D68)*($E$2:E68=E68)*($F$2:F68=F68)*($G$2:G68=G68)*($I$2:I68="Duplicate"))&lt;=1,"",SUMPRODUCT(($B$2:B68=B68)*($D$2:D68=D68)*($E$2:E68=E68)*($F$2:F68=F68)*($G$2:G68=G68)*($I$2:I68="Duplicate"))-1),"")&amp;".jpeg")</f>
        <v/>
      </c>
      <c r="L68" s="6"/>
      <c r="M68" s="5" t="str">
        <f>IFERROR(VLOOKUP(E68,Specifications!$A$2:$D$9,2,FALSE),"")</f>
        <v/>
      </c>
      <c r="N68" s="5" t="str">
        <f>IFERROR(VLOOKUP(E68,Specifications!$A$2:$D$9,3,FALSE),"")</f>
        <v/>
      </c>
      <c r="O68" s="5" t="str">
        <f>IFERROR(VLOOKUP(E68,Specifications!$A$2:$D$9,4,FALSE),"")</f>
        <v/>
      </c>
      <c r="P68" s="8" t="str">
        <f t="shared" si="6"/>
        <v/>
      </c>
      <c r="Q68" s="9"/>
    </row>
    <row r="69" spans="1:17" ht="15">
      <c r="A69" s="5" t="str">
        <f t="shared" si="4"/>
        <v/>
      </c>
      <c r="B69" s="6"/>
      <c r="C69" s="5" t="str">
        <f>IFERROR(VLOOKUP(B69,Lists!$A$2:$B$25,2,FALSE),"")</f>
        <v/>
      </c>
      <c r="D69" s="7"/>
      <c r="E69" s="6"/>
      <c r="F69" s="6" t="str">
        <f t="shared" si="5"/>
        <v/>
      </c>
      <c r="G69" s="6"/>
      <c r="H69" s="6"/>
      <c r="I69" s="6"/>
      <c r="J69" s="7"/>
      <c r="K69" s="5" t="str" cm="1">
        <f t="array" ref="K69">IF(OR(A69="",B69="",D69="",E69=""),"",A69&amp;"_"&amp;SUBSTITUTE(B69," ","-")&amp;"_"&amp;D69&amp;"_"&amp;SUBSTITUTE(SUBSTITUTE(E69," ",""),"€","Euro")&amp;"_"&amp;IF(F69="","Unknown",F69)&amp;IF(F69="Commemorative",IF(G69="","","_"&amp;SUBSTITUTE(SUBSTITUTE(SUBSTITUTE(G69," ","-"),"/","-"),CHAR(39),"")),"")&amp;IF(I69="Duplicate","_Dub"&amp;IF(SUMPRODUCT(($B$2:B69=B69)*($D$2:D69=D69)*($E$2:E69=E69)*($F$2:F69=F69)*($G$2:G69=G69)*($I$2:I69="Duplicate"))&lt;=1,"",SUMPRODUCT(($B$2:B69=B69)*($D$2:D69=D69)*($E$2:E69=E69)*($F$2:F69=F69)*($G$2:G69=G69)*($I$2:I69="Duplicate"))-1),"")&amp;".jpeg")</f>
        <v/>
      </c>
      <c r="L69" s="6"/>
      <c r="M69" s="5" t="str">
        <f>IFERROR(VLOOKUP(E69,Specifications!$A$2:$D$9,2,FALSE),"")</f>
        <v/>
      </c>
      <c r="N69" s="5" t="str">
        <f>IFERROR(VLOOKUP(E69,Specifications!$A$2:$D$9,3,FALSE),"")</f>
        <v/>
      </c>
      <c r="O69" s="5" t="str">
        <f>IFERROR(VLOOKUP(E69,Specifications!$A$2:$D$9,4,FALSE),"")</f>
        <v/>
      </c>
      <c r="P69" s="8" t="str">
        <f t="shared" si="6"/>
        <v/>
      </c>
      <c r="Q69" s="9"/>
    </row>
    <row r="70" spans="1:17" ht="15">
      <c r="A70" s="5" t="str">
        <f t="shared" si="4"/>
        <v/>
      </c>
      <c r="B70" s="6"/>
      <c r="C70" s="5" t="str">
        <f>IFERROR(VLOOKUP(B70,Lists!$A$2:$B$25,2,FALSE),"")</f>
        <v/>
      </c>
      <c r="D70" s="7"/>
      <c r="E70" s="6"/>
      <c r="F70" s="6" t="str">
        <f t="shared" si="5"/>
        <v/>
      </c>
      <c r="G70" s="6"/>
      <c r="H70" s="6"/>
      <c r="I70" s="6"/>
      <c r="J70" s="7"/>
      <c r="K70" s="5" t="str" cm="1">
        <f t="array" ref="K70">IF(OR(A70="",B70="",D70="",E70=""),"",A70&amp;"_"&amp;SUBSTITUTE(B70," ","-")&amp;"_"&amp;D70&amp;"_"&amp;SUBSTITUTE(SUBSTITUTE(E70," ",""),"€","Euro")&amp;"_"&amp;IF(F70="","Unknown",F70)&amp;IF(F70="Commemorative",IF(G70="","","_"&amp;SUBSTITUTE(SUBSTITUTE(SUBSTITUTE(G70," ","-"),"/","-"),CHAR(39),"")),"")&amp;IF(I70="Duplicate","_Dub"&amp;IF(SUMPRODUCT(($B$2:B70=B70)*($D$2:D70=D70)*($E$2:E70=E70)*($F$2:F70=F70)*($G$2:G70=G70)*($I$2:I70="Duplicate"))&lt;=1,"",SUMPRODUCT(($B$2:B70=B70)*($D$2:D70=D70)*($E$2:E70=E70)*($F$2:F70=F70)*($G$2:G70=G70)*($I$2:I70="Duplicate"))-1),"")&amp;".jpeg")</f>
        <v/>
      </c>
      <c r="L70" s="6"/>
      <c r="M70" s="5" t="str">
        <f>IFERROR(VLOOKUP(E70,Specifications!$A$2:$D$9,2,FALSE),"")</f>
        <v/>
      </c>
      <c r="N70" s="5" t="str">
        <f>IFERROR(VLOOKUP(E70,Specifications!$A$2:$D$9,3,FALSE),"")</f>
        <v/>
      </c>
      <c r="O70" s="5" t="str">
        <f>IFERROR(VLOOKUP(E70,Specifications!$A$2:$D$9,4,FALSE),"")</f>
        <v/>
      </c>
      <c r="P70" s="8" t="str">
        <f t="shared" si="6"/>
        <v/>
      </c>
      <c r="Q70" s="9"/>
    </row>
    <row r="71" spans="1:17" ht="15">
      <c r="A71" s="5" t="str">
        <f t="shared" si="4"/>
        <v/>
      </c>
      <c r="B71" s="6"/>
      <c r="C71" s="5" t="str">
        <f>IFERROR(VLOOKUP(B71,Lists!$A$2:$B$25,2,FALSE),"")</f>
        <v/>
      </c>
      <c r="D71" s="7"/>
      <c r="E71" s="6"/>
      <c r="F71" s="6" t="str">
        <f t="shared" si="5"/>
        <v/>
      </c>
      <c r="G71" s="6"/>
      <c r="H71" s="6"/>
      <c r="I71" s="6"/>
      <c r="J71" s="7"/>
      <c r="K71" s="5" t="str" cm="1">
        <f t="array" ref="K71">IF(OR(A71="",B71="",D71="",E71=""),"",A71&amp;"_"&amp;SUBSTITUTE(B71," ","-")&amp;"_"&amp;D71&amp;"_"&amp;SUBSTITUTE(SUBSTITUTE(E71," ",""),"€","Euro")&amp;"_"&amp;IF(F71="","Unknown",F71)&amp;IF(F71="Commemorative",IF(G71="","","_"&amp;SUBSTITUTE(SUBSTITUTE(SUBSTITUTE(G71," ","-"),"/","-"),CHAR(39),"")),"")&amp;IF(I71="Duplicate","_Dub"&amp;IF(SUMPRODUCT(($B$2:B71=B71)*($D$2:D71=D71)*($E$2:E71=E71)*($F$2:F71=F71)*($G$2:G71=G71)*($I$2:I71="Duplicate"))&lt;=1,"",SUMPRODUCT(($B$2:B71=B71)*($D$2:D71=D71)*($E$2:E71=E71)*($F$2:F71=F71)*($G$2:G71=G71)*($I$2:I71="Duplicate"))-1),"")&amp;".jpeg")</f>
        <v/>
      </c>
      <c r="L71" s="6"/>
      <c r="M71" s="5" t="str">
        <f>IFERROR(VLOOKUP(E71,Specifications!$A$2:$D$9,2,FALSE),"")</f>
        <v/>
      </c>
      <c r="N71" s="5" t="str">
        <f>IFERROR(VLOOKUP(E71,Specifications!$A$2:$D$9,3,FALSE),"")</f>
        <v/>
      </c>
      <c r="O71" s="5" t="str">
        <f>IFERROR(VLOOKUP(E71,Specifications!$A$2:$D$9,4,FALSE),"")</f>
        <v/>
      </c>
      <c r="P71" s="8" t="str">
        <f t="shared" si="6"/>
        <v/>
      </c>
      <c r="Q71" s="9"/>
    </row>
    <row r="72" spans="1:17" ht="15">
      <c r="A72" s="5" t="str">
        <f t="shared" si="4"/>
        <v/>
      </c>
      <c r="B72" s="6"/>
      <c r="C72" s="5" t="str">
        <f>IFERROR(VLOOKUP(B72,Lists!$A$2:$B$25,2,FALSE),"")</f>
        <v/>
      </c>
      <c r="D72" s="7"/>
      <c r="E72" s="6"/>
      <c r="F72" s="6" t="str">
        <f t="shared" si="5"/>
        <v/>
      </c>
      <c r="G72" s="6"/>
      <c r="H72" s="6"/>
      <c r="I72" s="6"/>
      <c r="J72" s="7"/>
      <c r="K72" s="5" t="str" cm="1">
        <f t="array" ref="K72">IF(OR(A72="",B72="",D72="",E72=""),"",A72&amp;"_"&amp;SUBSTITUTE(B72," ","-")&amp;"_"&amp;D72&amp;"_"&amp;SUBSTITUTE(SUBSTITUTE(E72," ",""),"€","Euro")&amp;"_"&amp;IF(F72="","Unknown",F72)&amp;IF(F72="Commemorative",IF(G72="","","_"&amp;SUBSTITUTE(SUBSTITUTE(SUBSTITUTE(G72," ","-"),"/","-"),CHAR(39),"")),"")&amp;IF(I72="Duplicate","_Dub"&amp;IF(SUMPRODUCT(($B$2:B72=B72)*($D$2:D72=D72)*($E$2:E72=E72)*($F$2:F72=F72)*($G$2:G72=G72)*($I$2:I72="Duplicate"))&lt;=1,"",SUMPRODUCT(($B$2:B72=B72)*($D$2:D72=D72)*($E$2:E72=E72)*($F$2:F72=F72)*($G$2:G72=G72)*($I$2:I72="Duplicate"))-1),"")&amp;".jpeg")</f>
        <v/>
      </c>
      <c r="L72" s="6"/>
      <c r="M72" s="5" t="str">
        <f>IFERROR(VLOOKUP(E72,Specifications!$A$2:$D$9,2,FALSE),"")</f>
        <v/>
      </c>
      <c r="N72" s="5" t="str">
        <f>IFERROR(VLOOKUP(E72,Specifications!$A$2:$D$9,3,FALSE),"")</f>
        <v/>
      </c>
      <c r="O72" s="5" t="str">
        <f>IFERROR(VLOOKUP(E72,Specifications!$A$2:$D$9,4,FALSE),"")</f>
        <v/>
      </c>
      <c r="P72" s="8" t="str">
        <f t="shared" si="6"/>
        <v/>
      </c>
      <c r="Q72" s="9"/>
    </row>
    <row r="73" spans="1:17" ht="15">
      <c r="A73" s="5" t="str">
        <f t="shared" si="4"/>
        <v/>
      </c>
      <c r="B73" s="6"/>
      <c r="C73" s="5" t="str">
        <f>IFERROR(VLOOKUP(B73,Lists!$A$2:$B$25,2,FALSE),"")</f>
        <v/>
      </c>
      <c r="D73" s="7"/>
      <c r="E73" s="6"/>
      <c r="F73" s="6" t="str">
        <f t="shared" si="5"/>
        <v/>
      </c>
      <c r="G73" s="6"/>
      <c r="H73" s="6"/>
      <c r="I73" s="6"/>
      <c r="J73" s="7"/>
      <c r="K73" s="5" t="str" cm="1">
        <f t="array" ref="K73">IF(OR(A73="",B73="",D73="",E73=""),"",A73&amp;"_"&amp;SUBSTITUTE(B73," ","-")&amp;"_"&amp;D73&amp;"_"&amp;SUBSTITUTE(SUBSTITUTE(E73," ",""),"€","Euro")&amp;"_"&amp;IF(F73="","Unknown",F73)&amp;IF(F73="Commemorative",IF(G73="","","_"&amp;SUBSTITUTE(SUBSTITUTE(SUBSTITUTE(G73," ","-"),"/","-"),CHAR(39),"")),"")&amp;IF(I73="Duplicate","_Dub"&amp;IF(SUMPRODUCT(($B$2:B73=B73)*($D$2:D73=D73)*($E$2:E73=E73)*($F$2:F73=F73)*($G$2:G73=G73)*($I$2:I73="Duplicate"))&lt;=1,"",SUMPRODUCT(($B$2:B73=B73)*($D$2:D73=D73)*($E$2:E73=E73)*($F$2:F73=F73)*($G$2:G73=G73)*($I$2:I73="Duplicate"))-1),"")&amp;".jpeg")</f>
        <v/>
      </c>
      <c r="L73" s="6"/>
      <c r="M73" s="5" t="str">
        <f>IFERROR(VLOOKUP(E73,Specifications!$A$2:$D$9,2,FALSE),"")</f>
        <v/>
      </c>
      <c r="N73" s="5" t="str">
        <f>IFERROR(VLOOKUP(E73,Specifications!$A$2:$D$9,3,FALSE),"")</f>
        <v/>
      </c>
      <c r="O73" s="5" t="str">
        <f>IFERROR(VLOOKUP(E73,Specifications!$A$2:$D$9,4,FALSE),"")</f>
        <v/>
      </c>
      <c r="P73" s="8" t="str">
        <f t="shared" si="6"/>
        <v/>
      </c>
      <c r="Q73" s="9"/>
    </row>
    <row r="74" spans="1:17" ht="15">
      <c r="A74" s="5" t="str">
        <f t="shared" si="4"/>
        <v/>
      </c>
      <c r="B74" s="6"/>
      <c r="C74" s="5" t="str">
        <f>IFERROR(VLOOKUP(B74,Lists!$A$2:$B$25,2,FALSE),"")</f>
        <v/>
      </c>
      <c r="D74" s="7"/>
      <c r="E74" s="6"/>
      <c r="F74" s="6" t="str">
        <f t="shared" si="5"/>
        <v/>
      </c>
      <c r="G74" s="6"/>
      <c r="H74" s="6"/>
      <c r="I74" s="6"/>
      <c r="J74" s="7"/>
      <c r="K74" s="5" t="str" cm="1">
        <f t="array" ref="K74">IF(OR(A74="",B74="",D74="",E74=""),"",A74&amp;"_"&amp;SUBSTITUTE(B74," ","-")&amp;"_"&amp;D74&amp;"_"&amp;SUBSTITUTE(SUBSTITUTE(E74," ",""),"€","Euro")&amp;"_"&amp;IF(F74="","Unknown",F74)&amp;IF(F74="Commemorative",IF(G74="","","_"&amp;SUBSTITUTE(SUBSTITUTE(SUBSTITUTE(G74," ","-"),"/","-"),CHAR(39),"")),"")&amp;IF(I74="Duplicate","_Dub"&amp;IF(SUMPRODUCT(($B$2:B74=B74)*($D$2:D74=D74)*($E$2:E74=E74)*($F$2:F74=F74)*($G$2:G74=G74)*($I$2:I74="Duplicate"))&lt;=1,"",SUMPRODUCT(($B$2:B74=B74)*($D$2:D74=D74)*($E$2:E74=E74)*($F$2:F74=F74)*($G$2:G74=G74)*($I$2:I74="Duplicate"))-1),"")&amp;".jpeg")</f>
        <v/>
      </c>
      <c r="L74" s="6"/>
      <c r="M74" s="5" t="str">
        <f>IFERROR(VLOOKUP(E74,Specifications!$A$2:$D$9,2,FALSE),"")</f>
        <v/>
      </c>
      <c r="N74" s="5" t="str">
        <f>IFERROR(VLOOKUP(E74,Specifications!$A$2:$D$9,3,FALSE),"")</f>
        <v/>
      </c>
      <c r="O74" s="5" t="str">
        <f>IFERROR(VLOOKUP(E74,Specifications!$A$2:$D$9,4,FALSE),"")</f>
        <v/>
      </c>
      <c r="P74" s="8" t="str">
        <f t="shared" si="6"/>
        <v/>
      </c>
      <c r="Q74" s="9"/>
    </row>
    <row r="75" spans="1:17" ht="15">
      <c r="A75" s="5" t="str">
        <f t="shared" si="4"/>
        <v/>
      </c>
      <c r="B75" s="6"/>
      <c r="C75" s="5" t="str">
        <f>IFERROR(VLOOKUP(B75,Lists!$A$2:$B$25,2,FALSE),"")</f>
        <v/>
      </c>
      <c r="D75" s="7"/>
      <c r="E75" s="6"/>
      <c r="F75" s="6" t="str">
        <f t="shared" si="5"/>
        <v/>
      </c>
      <c r="G75" s="6"/>
      <c r="H75" s="6"/>
      <c r="I75" s="6"/>
      <c r="J75" s="7"/>
      <c r="K75" s="5" t="str" cm="1">
        <f t="array" ref="K75">IF(OR(A75="",B75="",D75="",E75=""),"",A75&amp;"_"&amp;SUBSTITUTE(B75," ","-")&amp;"_"&amp;D75&amp;"_"&amp;SUBSTITUTE(SUBSTITUTE(E75," ",""),"€","Euro")&amp;"_"&amp;IF(F75="","Unknown",F75)&amp;IF(F75="Commemorative",IF(G75="","","_"&amp;SUBSTITUTE(SUBSTITUTE(SUBSTITUTE(G75," ","-"),"/","-"),CHAR(39),"")),"")&amp;IF(I75="Duplicate","_Dub"&amp;IF(SUMPRODUCT(($B$2:B75=B75)*($D$2:D75=D75)*($E$2:E75=E75)*($F$2:F75=F75)*($G$2:G75=G75)*($I$2:I75="Duplicate"))&lt;=1,"",SUMPRODUCT(($B$2:B75=B75)*($D$2:D75=D75)*($E$2:E75=E75)*($F$2:F75=F75)*($G$2:G75=G75)*($I$2:I75="Duplicate"))-1),"")&amp;".jpeg")</f>
        <v/>
      </c>
      <c r="L75" s="6"/>
      <c r="M75" s="5" t="str">
        <f>IFERROR(VLOOKUP(E75,Specifications!$A$2:$D$9,2,FALSE),"")</f>
        <v/>
      </c>
      <c r="N75" s="5" t="str">
        <f>IFERROR(VLOOKUP(E75,Specifications!$A$2:$D$9,3,FALSE),"")</f>
        <v/>
      </c>
      <c r="O75" s="5" t="str">
        <f>IFERROR(VLOOKUP(E75,Specifications!$A$2:$D$9,4,FALSE),"")</f>
        <v/>
      </c>
      <c r="P75" s="8" t="str">
        <f t="shared" si="6"/>
        <v/>
      </c>
      <c r="Q75" s="9"/>
    </row>
    <row r="76" spans="1:17" ht="15">
      <c r="A76" s="5" t="str">
        <f t="shared" si="4"/>
        <v/>
      </c>
      <c r="B76" s="6"/>
      <c r="C76" s="5" t="str">
        <f>IFERROR(VLOOKUP(B76,Lists!$A$2:$B$25,2,FALSE),"")</f>
        <v/>
      </c>
      <c r="D76" s="7"/>
      <c r="E76" s="6"/>
      <c r="F76" s="6" t="str">
        <f t="shared" si="5"/>
        <v/>
      </c>
      <c r="G76" s="6"/>
      <c r="H76" s="6"/>
      <c r="I76" s="6"/>
      <c r="J76" s="7"/>
      <c r="K76" s="5" t="str" cm="1">
        <f t="array" ref="K76">IF(OR(A76="",B76="",D76="",E76=""),"",A76&amp;"_"&amp;SUBSTITUTE(B76," ","-")&amp;"_"&amp;D76&amp;"_"&amp;SUBSTITUTE(SUBSTITUTE(E76," ",""),"€","Euro")&amp;"_"&amp;IF(F76="","Unknown",F76)&amp;IF(F76="Commemorative",IF(G76="","","_"&amp;SUBSTITUTE(SUBSTITUTE(SUBSTITUTE(G76," ","-"),"/","-"),CHAR(39),"")),"")&amp;IF(I76="Duplicate","_Dub"&amp;IF(SUMPRODUCT(($B$2:B76=B76)*($D$2:D76=D76)*($E$2:E76=E76)*($F$2:F76=F76)*($G$2:G76=G76)*($I$2:I76="Duplicate"))&lt;=1,"",SUMPRODUCT(($B$2:B76=B76)*($D$2:D76=D76)*($E$2:E76=E76)*($F$2:F76=F76)*($G$2:G76=G76)*($I$2:I76="Duplicate"))-1),"")&amp;".jpeg")</f>
        <v/>
      </c>
      <c r="L76" s="6"/>
      <c r="M76" s="5" t="str">
        <f>IFERROR(VLOOKUP(E76,Specifications!$A$2:$D$9,2,FALSE),"")</f>
        <v/>
      </c>
      <c r="N76" s="5" t="str">
        <f>IFERROR(VLOOKUP(E76,Specifications!$A$2:$D$9,3,FALSE),"")</f>
        <v/>
      </c>
      <c r="O76" s="5" t="str">
        <f>IFERROR(VLOOKUP(E76,Specifications!$A$2:$D$9,4,FALSE),"")</f>
        <v/>
      </c>
      <c r="P76" s="8" t="str">
        <f t="shared" si="6"/>
        <v/>
      </c>
      <c r="Q76" s="9"/>
    </row>
    <row r="77" spans="1:17" ht="15">
      <c r="A77" s="5" t="str">
        <f t="shared" si="4"/>
        <v/>
      </c>
      <c r="B77" s="6"/>
      <c r="C77" s="5" t="str">
        <f>IFERROR(VLOOKUP(B77,Lists!$A$2:$B$25,2,FALSE),"")</f>
        <v/>
      </c>
      <c r="D77" s="7"/>
      <c r="E77" s="6"/>
      <c r="F77" s="6" t="str">
        <f t="shared" si="5"/>
        <v/>
      </c>
      <c r="G77" s="6"/>
      <c r="H77" s="6"/>
      <c r="I77" s="6"/>
      <c r="J77" s="7"/>
      <c r="K77" s="5" t="str" cm="1">
        <f t="array" ref="K77">IF(OR(A77="",B77="",D77="",E77=""),"",A77&amp;"_"&amp;SUBSTITUTE(B77," ","-")&amp;"_"&amp;D77&amp;"_"&amp;SUBSTITUTE(SUBSTITUTE(E77," ",""),"€","Euro")&amp;"_"&amp;IF(F77="","Unknown",F77)&amp;IF(F77="Commemorative",IF(G77="","","_"&amp;SUBSTITUTE(SUBSTITUTE(SUBSTITUTE(G77," ","-"),"/","-"),CHAR(39),"")),"")&amp;IF(I77="Duplicate","_Dub"&amp;IF(SUMPRODUCT(($B$2:B77=B77)*($D$2:D77=D77)*($E$2:E77=E77)*($F$2:F77=F77)*($G$2:G77=G77)*($I$2:I77="Duplicate"))&lt;=1,"",SUMPRODUCT(($B$2:B77=B77)*($D$2:D77=D77)*($E$2:E77=E77)*($F$2:F77=F77)*($G$2:G77=G77)*($I$2:I77="Duplicate"))-1),"")&amp;".jpeg")</f>
        <v/>
      </c>
      <c r="L77" s="6"/>
      <c r="M77" s="5" t="str">
        <f>IFERROR(VLOOKUP(E77,Specifications!$A$2:$D$9,2,FALSE),"")</f>
        <v/>
      </c>
      <c r="N77" s="5" t="str">
        <f>IFERROR(VLOOKUP(E77,Specifications!$A$2:$D$9,3,FALSE),"")</f>
        <v/>
      </c>
      <c r="O77" s="5" t="str">
        <f>IFERROR(VLOOKUP(E77,Specifications!$A$2:$D$9,4,FALSE),"")</f>
        <v/>
      </c>
      <c r="P77" s="8" t="str">
        <f t="shared" si="6"/>
        <v/>
      </c>
      <c r="Q77" s="9"/>
    </row>
    <row r="78" spans="1:17" ht="15">
      <c r="A78" s="5" t="str">
        <f t="shared" si="4"/>
        <v/>
      </c>
      <c r="B78" s="6"/>
      <c r="C78" s="5" t="str">
        <f>IFERROR(VLOOKUP(B78,Lists!$A$2:$B$25,2,FALSE),"")</f>
        <v/>
      </c>
      <c r="D78" s="7"/>
      <c r="E78" s="6"/>
      <c r="F78" s="6" t="str">
        <f t="shared" si="5"/>
        <v/>
      </c>
      <c r="G78" s="6"/>
      <c r="H78" s="6"/>
      <c r="I78" s="6"/>
      <c r="J78" s="7"/>
      <c r="K78" s="5" t="str" cm="1">
        <f t="array" ref="K78">IF(OR(A78="",B78="",D78="",E78=""),"",A78&amp;"_"&amp;SUBSTITUTE(B78," ","-")&amp;"_"&amp;D78&amp;"_"&amp;SUBSTITUTE(SUBSTITUTE(E78," ",""),"€","Euro")&amp;"_"&amp;IF(F78="","Unknown",F78)&amp;IF(F78="Commemorative",IF(G78="","","_"&amp;SUBSTITUTE(SUBSTITUTE(SUBSTITUTE(G78," ","-"),"/","-"),CHAR(39),"")),"")&amp;IF(I78="Duplicate","_Dub"&amp;IF(SUMPRODUCT(($B$2:B78=B78)*($D$2:D78=D78)*($E$2:E78=E78)*($F$2:F78=F78)*($G$2:G78=G78)*($I$2:I78="Duplicate"))&lt;=1,"",SUMPRODUCT(($B$2:B78=B78)*($D$2:D78=D78)*($E$2:E78=E78)*($F$2:F78=F78)*($G$2:G78=G78)*($I$2:I78="Duplicate"))-1),"")&amp;".jpeg")</f>
        <v/>
      </c>
      <c r="L78" s="6"/>
      <c r="M78" s="5" t="str">
        <f>IFERROR(VLOOKUP(E78,Specifications!$A$2:$D$9,2,FALSE),"")</f>
        <v/>
      </c>
      <c r="N78" s="5" t="str">
        <f>IFERROR(VLOOKUP(E78,Specifications!$A$2:$D$9,3,FALSE),"")</f>
        <v/>
      </c>
      <c r="O78" s="5" t="str">
        <f>IFERROR(VLOOKUP(E78,Specifications!$A$2:$D$9,4,FALSE),"")</f>
        <v/>
      </c>
      <c r="P78" s="8" t="str">
        <f t="shared" si="6"/>
        <v/>
      </c>
      <c r="Q78" s="9"/>
    </row>
    <row r="79" spans="1:17" ht="15">
      <c r="A79" s="5" t="str">
        <f t="shared" si="4"/>
        <v/>
      </c>
      <c r="B79" s="6"/>
      <c r="C79" s="5" t="str">
        <f>IFERROR(VLOOKUP(B79,Lists!$A$2:$B$25,2,FALSE),"")</f>
        <v/>
      </c>
      <c r="D79" s="7"/>
      <c r="E79" s="6"/>
      <c r="F79" s="6" t="str">
        <f t="shared" si="5"/>
        <v/>
      </c>
      <c r="G79" s="6"/>
      <c r="H79" s="6"/>
      <c r="I79" s="6"/>
      <c r="J79" s="7"/>
      <c r="K79" s="5" t="str" cm="1">
        <f t="array" ref="K79">IF(OR(A79="",B79="",D79="",E79=""),"",A79&amp;"_"&amp;SUBSTITUTE(B79," ","-")&amp;"_"&amp;D79&amp;"_"&amp;SUBSTITUTE(SUBSTITUTE(E79," ",""),"€","Euro")&amp;"_"&amp;IF(F79="","Unknown",F79)&amp;IF(F79="Commemorative",IF(G79="","","_"&amp;SUBSTITUTE(SUBSTITUTE(SUBSTITUTE(G79," ","-"),"/","-"),CHAR(39),"")),"")&amp;IF(I79="Duplicate","_Dub"&amp;IF(SUMPRODUCT(($B$2:B79=B79)*($D$2:D79=D79)*($E$2:E79=E79)*($F$2:F79=F79)*($G$2:G79=G79)*($I$2:I79="Duplicate"))&lt;=1,"",SUMPRODUCT(($B$2:B79=B79)*($D$2:D79=D79)*($E$2:E79=E79)*($F$2:F79=F79)*($G$2:G79=G79)*($I$2:I79="Duplicate"))-1),"")&amp;".jpeg")</f>
        <v/>
      </c>
      <c r="L79" s="6"/>
      <c r="M79" s="5" t="str">
        <f>IFERROR(VLOOKUP(E79,Specifications!$A$2:$D$9,2,FALSE),"")</f>
        <v/>
      </c>
      <c r="N79" s="5" t="str">
        <f>IFERROR(VLOOKUP(E79,Specifications!$A$2:$D$9,3,FALSE),"")</f>
        <v/>
      </c>
      <c r="O79" s="5" t="str">
        <f>IFERROR(VLOOKUP(E79,Specifications!$A$2:$D$9,4,FALSE),"")</f>
        <v/>
      </c>
      <c r="P79" s="8" t="str">
        <f t="shared" si="6"/>
        <v/>
      </c>
      <c r="Q79" s="9"/>
    </row>
    <row r="80" spans="1:17" ht="15">
      <c r="A80" s="5" t="str">
        <f t="shared" si="4"/>
        <v/>
      </c>
      <c r="B80" s="6"/>
      <c r="C80" s="5" t="str">
        <f>IFERROR(VLOOKUP(B80,Lists!$A$2:$B$25,2,FALSE),"")</f>
        <v/>
      </c>
      <c r="D80" s="7"/>
      <c r="E80" s="6"/>
      <c r="F80" s="6" t="str">
        <f t="shared" si="5"/>
        <v/>
      </c>
      <c r="G80" s="6"/>
      <c r="H80" s="6"/>
      <c r="I80" s="6"/>
      <c r="J80" s="7"/>
      <c r="K80" s="5" t="str" cm="1">
        <f t="array" ref="K80">IF(OR(A80="",B80="",D80="",E80=""),"",A80&amp;"_"&amp;SUBSTITUTE(B80," ","-")&amp;"_"&amp;D80&amp;"_"&amp;SUBSTITUTE(SUBSTITUTE(E80," ",""),"€","Euro")&amp;"_"&amp;IF(F80="","Unknown",F80)&amp;IF(F80="Commemorative",IF(G80="","","_"&amp;SUBSTITUTE(SUBSTITUTE(SUBSTITUTE(G80," ","-"),"/","-"),CHAR(39),"")),"")&amp;IF(I80="Duplicate","_Dub"&amp;IF(SUMPRODUCT(($B$2:B80=B80)*($D$2:D80=D80)*($E$2:E80=E80)*($F$2:F80=F80)*($G$2:G80=G80)*($I$2:I80="Duplicate"))&lt;=1,"",SUMPRODUCT(($B$2:B80=B80)*($D$2:D80=D80)*($E$2:E80=E80)*($F$2:F80=F80)*($G$2:G80=G80)*($I$2:I80="Duplicate"))-1),"")&amp;".jpeg")</f>
        <v/>
      </c>
      <c r="L80" s="6"/>
      <c r="M80" s="5" t="str">
        <f>IFERROR(VLOOKUP(E80,Specifications!$A$2:$D$9,2,FALSE),"")</f>
        <v/>
      </c>
      <c r="N80" s="5" t="str">
        <f>IFERROR(VLOOKUP(E80,Specifications!$A$2:$D$9,3,FALSE),"")</f>
        <v/>
      </c>
      <c r="O80" s="5" t="str">
        <f>IFERROR(VLOOKUP(E80,Specifications!$A$2:$D$9,4,FALSE),"")</f>
        <v/>
      </c>
      <c r="P80" s="8" t="str">
        <f t="shared" si="6"/>
        <v/>
      </c>
      <c r="Q80" s="9"/>
    </row>
    <row r="81" spans="1:17" ht="15">
      <c r="A81" s="5" t="str">
        <f t="shared" si="4"/>
        <v/>
      </c>
      <c r="B81" s="6"/>
      <c r="C81" s="5" t="str">
        <f>IFERROR(VLOOKUP(B81,Lists!$A$2:$B$25,2,FALSE),"")</f>
        <v/>
      </c>
      <c r="D81" s="7"/>
      <c r="E81" s="6"/>
      <c r="F81" s="6" t="str">
        <f t="shared" si="5"/>
        <v/>
      </c>
      <c r="G81" s="6"/>
      <c r="H81" s="6"/>
      <c r="I81" s="6"/>
      <c r="J81" s="7"/>
      <c r="K81" s="5" t="str" cm="1">
        <f t="array" ref="K81">IF(OR(A81="",B81="",D81="",E81=""),"",A81&amp;"_"&amp;SUBSTITUTE(B81," ","-")&amp;"_"&amp;D81&amp;"_"&amp;SUBSTITUTE(SUBSTITUTE(E81," ",""),"€","Euro")&amp;"_"&amp;IF(F81="","Unknown",F81)&amp;IF(F81="Commemorative",IF(G81="","","_"&amp;SUBSTITUTE(SUBSTITUTE(SUBSTITUTE(G81," ","-"),"/","-"),CHAR(39),"")),"")&amp;IF(I81="Duplicate","_Dub"&amp;IF(SUMPRODUCT(($B$2:B81=B81)*($D$2:D81=D81)*($E$2:E81=E81)*($F$2:F81=F81)*($G$2:G81=G81)*($I$2:I81="Duplicate"))&lt;=1,"",SUMPRODUCT(($B$2:B81=B81)*($D$2:D81=D81)*($E$2:E81=E81)*($F$2:F81=F81)*($G$2:G81=G81)*($I$2:I81="Duplicate"))-1),"")&amp;".jpeg")</f>
        <v/>
      </c>
      <c r="L81" s="6"/>
      <c r="M81" s="5" t="str">
        <f>IFERROR(VLOOKUP(E81,Specifications!$A$2:$D$9,2,FALSE),"")</f>
        <v/>
      </c>
      <c r="N81" s="5" t="str">
        <f>IFERROR(VLOOKUP(E81,Specifications!$A$2:$D$9,3,FALSE),"")</f>
        <v/>
      </c>
      <c r="O81" s="5" t="str">
        <f>IFERROR(VLOOKUP(E81,Specifications!$A$2:$D$9,4,FALSE),"")</f>
        <v/>
      </c>
      <c r="P81" s="8" t="str">
        <f t="shared" si="6"/>
        <v/>
      </c>
      <c r="Q81" s="9"/>
    </row>
    <row r="82" spans="1:17" ht="15">
      <c r="A82" s="5" t="str">
        <f t="shared" si="4"/>
        <v/>
      </c>
      <c r="B82" s="6"/>
      <c r="C82" s="5" t="str">
        <f>IFERROR(VLOOKUP(B82,Lists!$A$2:$B$25,2,FALSE),"")</f>
        <v/>
      </c>
      <c r="D82" s="7"/>
      <c r="E82" s="6"/>
      <c r="F82" s="6" t="str">
        <f t="shared" si="5"/>
        <v/>
      </c>
      <c r="G82" s="6"/>
      <c r="H82" s="6"/>
      <c r="I82" s="6"/>
      <c r="J82" s="7"/>
      <c r="K82" s="5" t="str" cm="1">
        <f t="array" ref="K82">IF(OR(A82="",B82="",D82="",E82=""),"",A82&amp;"_"&amp;SUBSTITUTE(B82," ","-")&amp;"_"&amp;D82&amp;"_"&amp;SUBSTITUTE(SUBSTITUTE(E82," ",""),"€","Euro")&amp;"_"&amp;IF(F82="","Unknown",F82)&amp;IF(F82="Commemorative",IF(G82="","","_"&amp;SUBSTITUTE(SUBSTITUTE(SUBSTITUTE(G82," ","-"),"/","-"),CHAR(39),"")),"")&amp;IF(I82="Duplicate","_Dub"&amp;IF(SUMPRODUCT(($B$2:B82=B82)*($D$2:D82=D82)*($E$2:E82=E82)*($F$2:F82=F82)*($G$2:G82=G82)*($I$2:I82="Duplicate"))&lt;=1,"",SUMPRODUCT(($B$2:B82=B82)*($D$2:D82=D82)*($E$2:E82=E82)*($F$2:F82=F82)*($G$2:G82=G82)*($I$2:I82="Duplicate"))-1),"")&amp;".jpeg")</f>
        <v/>
      </c>
      <c r="L82" s="6"/>
      <c r="M82" s="5" t="str">
        <f>IFERROR(VLOOKUP(E82,Specifications!$A$2:$D$9,2,FALSE),"")</f>
        <v/>
      </c>
      <c r="N82" s="5" t="str">
        <f>IFERROR(VLOOKUP(E82,Specifications!$A$2:$D$9,3,FALSE),"")</f>
        <v/>
      </c>
      <c r="O82" s="5" t="str">
        <f>IFERROR(VLOOKUP(E82,Specifications!$A$2:$D$9,4,FALSE),"")</f>
        <v/>
      </c>
      <c r="P82" s="8" t="str">
        <f t="shared" si="6"/>
        <v/>
      </c>
      <c r="Q82" s="9"/>
    </row>
    <row r="83" spans="1:17" ht="15">
      <c r="A83" s="5" t="str">
        <f t="shared" si="4"/>
        <v/>
      </c>
      <c r="B83" s="6"/>
      <c r="C83" s="5" t="str">
        <f>IFERROR(VLOOKUP(B83,Lists!$A$2:$B$25,2,FALSE),"")</f>
        <v/>
      </c>
      <c r="D83" s="7"/>
      <c r="E83" s="6"/>
      <c r="F83" s="6" t="str">
        <f t="shared" si="5"/>
        <v/>
      </c>
      <c r="G83" s="6"/>
      <c r="H83" s="6"/>
      <c r="I83" s="6"/>
      <c r="J83" s="7"/>
      <c r="K83" s="5" t="str" cm="1">
        <f t="array" ref="K83">IF(OR(A83="",B83="",D83="",E83=""),"",A83&amp;"_"&amp;SUBSTITUTE(B83," ","-")&amp;"_"&amp;D83&amp;"_"&amp;SUBSTITUTE(SUBSTITUTE(E83," ",""),"€","Euro")&amp;"_"&amp;IF(F83="","Unknown",F83)&amp;IF(F83="Commemorative",IF(G83="","","_"&amp;SUBSTITUTE(SUBSTITUTE(SUBSTITUTE(G83," ","-"),"/","-"),CHAR(39),"")),"")&amp;IF(I83="Duplicate","_Dub"&amp;IF(SUMPRODUCT(($B$2:B83=B83)*($D$2:D83=D83)*($E$2:E83=E83)*($F$2:F83=F83)*($G$2:G83=G83)*($I$2:I83="Duplicate"))&lt;=1,"",SUMPRODUCT(($B$2:B83=B83)*($D$2:D83=D83)*($E$2:E83=E83)*($F$2:F83=F83)*($G$2:G83=G83)*($I$2:I83="Duplicate"))-1),"")&amp;".jpeg")</f>
        <v/>
      </c>
      <c r="L83" s="6"/>
      <c r="M83" s="5" t="str">
        <f>IFERROR(VLOOKUP(E83,Specifications!$A$2:$D$9,2,FALSE),"")</f>
        <v/>
      </c>
      <c r="N83" s="5" t="str">
        <f>IFERROR(VLOOKUP(E83,Specifications!$A$2:$D$9,3,FALSE),"")</f>
        <v/>
      </c>
      <c r="O83" s="5" t="str">
        <f>IFERROR(VLOOKUP(E83,Specifications!$A$2:$D$9,4,FALSE),"")</f>
        <v/>
      </c>
      <c r="P83" s="8" t="str">
        <f t="shared" si="6"/>
        <v/>
      </c>
      <c r="Q83" s="9"/>
    </row>
    <row r="84" spans="1:17" ht="15">
      <c r="A84" s="5" t="str">
        <f t="shared" si="4"/>
        <v/>
      </c>
      <c r="B84" s="6"/>
      <c r="C84" s="5" t="str">
        <f>IFERROR(VLOOKUP(B84,Lists!$A$2:$B$25,2,FALSE),"")</f>
        <v/>
      </c>
      <c r="D84" s="7"/>
      <c r="E84" s="6"/>
      <c r="F84" s="6" t="str">
        <f t="shared" si="5"/>
        <v/>
      </c>
      <c r="G84" s="6"/>
      <c r="H84" s="6"/>
      <c r="I84" s="6"/>
      <c r="J84" s="7"/>
      <c r="K84" s="5" t="str" cm="1">
        <f t="array" ref="K84">IF(OR(A84="",B84="",D84="",E84=""),"",A84&amp;"_"&amp;SUBSTITUTE(B84," ","-")&amp;"_"&amp;D84&amp;"_"&amp;SUBSTITUTE(SUBSTITUTE(E84," ",""),"€","Euro")&amp;"_"&amp;IF(F84="","Unknown",F84)&amp;IF(F84="Commemorative",IF(G84="","","_"&amp;SUBSTITUTE(SUBSTITUTE(SUBSTITUTE(G84," ","-"),"/","-"),CHAR(39),"")),"")&amp;IF(I84="Duplicate","_Dub"&amp;IF(SUMPRODUCT(($B$2:B84=B84)*($D$2:D84=D84)*($E$2:E84=E84)*($F$2:F84=F84)*($G$2:G84=G84)*($I$2:I84="Duplicate"))&lt;=1,"",SUMPRODUCT(($B$2:B84=B84)*($D$2:D84=D84)*($E$2:E84=E84)*($F$2:F84=F84)*($G$2:G84=G84)*($I$2:I84="Duplicate"))-1),"")&amp;".jpeg")</f>
        <v/>
      </c>
      <c r="L84" s="6"/>
      <c r="M84" s="5" t="str">
        <f>IFERROR(VLOOKUP(E84,Specifications!$A$2:$D$9,2,FALSE),"")</f>
        <v/>
      </c>
      <c r="N84" s="5" t="str">
        <f>IFERROR(VLOOKUP(E84,Specifications!$A$2:$D$9,3,FALSE),"")</f>
        <v/>
      </c>
      <c r="O84" s="5" t="str">
        <f>IFERROR(VLOOKUP(E84,Specifications!$A$2:$D$9,4,FALSE),"")</f>
        <v/>
      </c>
      <c r="P84" s="8" t="str">
        <f t="shared" si="6"/>
        <v/>
      </c>
      <c r="Q84" s="9"/>
    </row>
    <row r="85" spans="1:17" ht="15">
      <c r="A85" s="5" t="str">
        <f t="shared" si="4"/>
        <v/>
      </c>
      <c r="B85" s="6"/>
      <c r="C85" s="5" t="str">
        <f>IFERROR(VLOOKUP(B85,Lists!$A$2:$B$25,2,FALSE),"")</f>
        <v/>
      </c>
      <c r="D85" s="7"/>
      <c r="E85" s="6"/>
      <c r="F85" s="6" t="str">
        <f t="shared" si="5"/>
        <v/>
      </c>
      <c r="G85" s="6"/>
      <c r="H85" s="6"/>
      <c r="I85" s="6"/>
      <c r="J85" s="7"/>
      <c r="K85" s="5" t="str" cm="1">
        <f t="array" ref="K85">IF(OR(A85="",B85="",D85="",E85=""),"",A85&amp;"_"&amp;SUBSTITUTE(B85," ","-")&amp;"_"&amp;D85&amp;"_"&amp;SUBSTITUTE(SUBSTITUTE(E85," ",""),"€","Euro")&amp;"_"&amp;IF(F85="","Unknown",F85)&amp;IF(F85="Commemorative",IF(G85="","","_"&amp;SUBSTITUTE(SUBSTITUTE(SUBSTITUTE(G85," ","-"),"/","-"),CHAR(39),"")),"")&amp;IF(I85="Duplicate","_Dub"&amp;IF(SUMPRODUCT(($B$2:B85=B85)*($D$2:D85=D85)*($E$2:E85=E85)*($F$2:F85=F85)*($G$2:G85=G85)*($I$2:I85="Duplicate"))&lt;=1,"",SUMPRODUCT(($B$2:B85=B85)*($D$2:D85=D85)*($E$2:E85=E85)*($F$2:F85=F85)*($G$2:G85=G85)*($I$2:I85="Duplicate"))-1),"")&amp;".jpeg")</f>
        <v/>
      </c>
      <c r="L85" s="6"/>
      <c r="M85" s="5" t="str">
        <f>IFERROR(VLOOKUP(E85,Specifications!$A$2:$D$9,2,FALSE),"")</f>
        <v/>
      </c>
      <c r="N85" s="5" t="str">
        <f>IFERROR(VLOOKUP(E85,Specifications!$A$2:$D$9,3,FALSE),"")</f>
        <v/>
      </c>
      <c r="O85" s="5" t="str">
        <f>IFERROR(VLOOKUP(E85,Specifications!$A$2:$D$9,4,FALSE),"")</f>
        <v/>
      </c>
      <c r="P85" s="8" t="str">
        <f t="shared" si="6"/>
        <v/>
      </c>
      <c r="Q85" s="9"/>
    </row>
    <row r="86" spans="1:17" ht="15">
      <c r="A86" s="5" t="str">
        <f t="shared" si="4"/>
        <v/>
      </c>
      <c r="B86" s="6"/>
      <c r="C86" s="5" t="str">
        <f>IFERROR(VLOOKUP(B86,Lists!$A$2:$B$25,2,FALSE),"")</f>
        <v/>
      </c>
      <c r="D86" s="7"/>
      <c r="E86" s="6"/>
      <c r="F86" s="6" t="str">
        <f t="shared" si="5"/>
        <v/>
      </c>
      <c r="G86" s="6"/>
      <c r="H86" s="6"/>
      <c r="I86" s="6"/>
      <c r="J86" s="7"/>
      <c r="K86" s="5" t="str" cm="1">
        <f t="array" ref="K86">IF(OR(A86="",B86="",D86="",E86=""),"",A86&amp;"_"&amp;SUBSTITUTE(B86," ","-")&amp;"_"&amp;D86&amp;"_"&amp;SUBSTITUTE(SUBSTITUTE(E86," ",""),"€","Euro")&amp;"_"&amp;IF(F86="","Unknown",F86)&amp;IF(F86="Commemorative",IF(G86="","","_"&amp;SUBSTITUTE(SUBSTITUTE(SUBSTITUTE(G86," ","-"),"/","-"),CHAR(39),"")),"")&amp;IF(I86="Duplicate","_Dub"&amp;IF(SUMPRODUCT(($B$2:B86=B86)*($D$2:D86=D86)*($E$2:E86=E86)*($F$2:F86=F86)*($G$2:G86=G86)*($I$2:I86="Duplicate"))&lt;=1,"",SUMPRODUCT(($B$2:B86=B86)*($D$2:D86=D86)*($E$2:E86=E86)*($F$2:F86=F86)*($G$2:G86=G86)*($I$2:I86="Duplicate"))-1),"")&amp;".jpeg")</f>
        <v/>
      </c>
      <c r="L86" s="6"/>
      <c r="M86" s="5" t="str">
        <f>IFERROR(VLOOKUP(E86,Specifications!$A$2:$D$9,2,FALSE),"")</f>
        <v/>
      </c>
      <c r="N86" s="5" t="str">
        <f>IFERROR(VLOOKUP(E86,Specifications!$A$2:$D$9,3,FALSE),"")</f>
        <v/>
      </c>
      <c r="O86" s="5" t="str">
        <f>IFERROR(VLOOKUP(E86,Specifications!$A$2:$D$9,4,FALSE),"")</f>
        <v/>
      </c>
      <c r="P86" s="8" t="str">
        <f t="shared" si="6"/>
        <v/>
      </c>
      <c r="Q86" s="9"/>
    </row>
    <row r="87" spans="1:17" ht="15">
      <c r="A87" s="5" t="str">
        <f t="shared" si="4"/>
        <v/>
      </c>
      <c r="B87" s="6"/>
      <c r="C87" s="5" t="str">
        <f>IFERROR(VLOOKUP(B87,Lists!$A$2:$B$25,2,FALSE),"")</f>
        <v/>
      </c>
      <c r="D87" s="7"/>
      <c r="E87" s="6"/>
      <c r="F87" s="6" t="str">
        <f t="shared" si="5"/>
        <v/>
      </c>
      <c r="G87" s="6"/>
      <c r="H87" s="6"/>
      <c r="I87" s="6"/>
      <c r="J87" s="7"/>
      <c r="K87" s="5" t="str" cm="1">
        <f t="array" ref="K87">IF(OR(A87="",B87="",D87="",E87=""),"",A87&amp;"_"&amp;SUBSTITUTE(B87," ","-")&amp;"_"&amp;D87&amp;"_"&amp;SUBSTITUTE(SUBSTITUTE(E87," ",""),"€","Euro")&amp;"_"&amp;IF(F87="","Unknown",F87)&amp;IF(F87="Commemorative",IF(G87="","","_"&amp;SUBSTITUTE(SUBSTITUTE(SUBSTITUTE(G87," ","-"),"/","-"),CHAR(39),"")),"")&amp;IF(I87="Duplicate","_Dub"&amp;IF(SUMPRODUCT(($B$2:B87=B87)*($D$2:D87=D87)*($E$2:E87=E87)*($F$2:F87=F87)*($G$2:G87=G87)*($I$2:I87="Duplicate"))&lt;=1,"",SUMPRODUCT(($B$2:B87=B87)*($D$2:D87=D87)*($E$2:E87=E87)*($F$2:F87=F87)*($G$2:G87=G87)*($I$2:I87="Duplicate"))-1),"")&amp;".jpeg")</f>
        <v/>
      </c>
      <c r="L87" s="6"/>
      <c r="M87" s="5" t="str">
        <f>IFERROR(VLOOKUP(E87,Specifications!$A$2:$D$9,2,FALSE),"")</f>
        <v/>
      </c>
      <c r="N87" s="5" t="str">
        <f>IFERROR(VLOOKUP(E87,Specifications!$A$2:$D$9,3,FALSE),"")</f>
        <v/>
      </c>
      <c r="O87" s="5" t="str">
        <f>IFERROR(VLOOKUP(E87,Specifications!$A$2:$D$9,4,FALSE),"")</f>
        <v/>
      </c>
      <c r="P87" s="8" t="str">
        <f t="shared" si="6"/>
        <v/>
      </c>
      <c r="Q87" s="9"/>
    </row>
    <row r="88" spans="1:17" ht="15">
      <c r="A88" s="5" t="str">
        <f t="shared" si="4"/>
        <v/>
      </c>
      <c r="B88" s="6"/>
      <c r="C88" s="5" t="str">
        <f>IFERROR(VLOOKUP(B88,Lists!$A$2:$B$25,2,FALSE),"")</f>
        <v/>
      </c>
      <c r="D88" s="7"/>
      <c r="E88" s="6"/>
      <c r="F88" s="6" t="str">
        <f t="shared" si="5"/>
        <v/>
      </c>
      <c r="G88" s="6"/>
      <c r="H88" s="6"/>
      <c r="I88" s="6"/>
      <c r="J88" s="7"/>
      <c r="K88" s="5" t="str" cm="1">
        <f t="array" ref="K88">IF(OR(A88="",B88="",D88="",E88=""),"",A88&amp;"_"&amp;SUBSTITUTE(B88," ","-")&amp;"_"&amp;D88&amp;"_"&amp;SUBSTITUTE(SUBSTITUTE(E88," ",""),"€","Euro")&amp;"_"&amp;IF(F88="","Unknown",F88)&amp;IF(F88="Commemorative",IF(G88="","","_"&amp;SUBSTITUTE(SUBSTITUTE(SUBSTITUTE(G88," ","-"),"/","-"),CHAR(39),"")),"")&amp;IF(I88="Duplicate","_Dub"&amp;IF(SUMPRODUCT(($B$2:B88=B88)*($D$2:D88=D88)*($E$2:E88=E88)*($F$2:F88=F88)*($G$2:G88=G88)*($I$2:I88="Duplicate"))&lt;=1,"",SUMPRODUCT(($B$2:B88=B88)*($D$2:D88=D88)*($E$2:E88=E88)*($F$2:F88=F88)*($G$2:G88=G88)*($I$2:I88="Duplicate"))-1),"")&amp;".jpeg")</f>
        <v/>
      </c>
      <c r="L88" s="6"/>
      <c r="M88" s="5" t="str">
        <f>IFERROR(VLOOKUP(E88,Specifications!$A$2:$D$9,2,FALSE),"")</f>
        <v/>
      </c>
      <c r="N88" s="5" t="str">
        <f>IFERROR(VLOOKUP(E88,Specifications!$A$2:$D$9,3,FALSE),"")</f>
        <v/>
      </c>
      <c r="O88" s="5" t="str">
        <f>IFERROR(VLOOKUP(E88,Specifications!$A$2:$D$9,4,FALSE),"")</f>
        <v/>
      </c>
      <c r="P88" s="8" t="str">
        <f t="shared" si="6"/>
        <v/>
      </c>
      <c r="Q88" s="9"/>
    </row>
    <row r="89" spans="1:17" ht="15">
      <c r="A89" s="5" t="str">
        <f t="shared" si="4"/>
        <v/>
      </c>
      <c r="B89" s="6"/>
      <c r="C89" s="5" t="str">
        <f>IFERROR(VLOOKUP(B89,Lists!$A$2:$B$25,2,FALSE),"")</f>
        <v/>
      </c>
      <c r="D89" s="7"/>
      <c r="E89" s="6"/>
      <c r="F89" s="6" t="str">
        <f t="shared" si="5"/>
        <v/>
      </c>
      <c r="G89" s="6"/>
      <c r="H89" s="6"/>
      <c r="I89" s="6"/>
      <c r="J89" s="7"/>
      <c r="K89" s="5" t="str" cm="1">
        <f t="array" ref="K89">IF(OR(A89="",B89="",D89="",E89=""),"",A89&amp;"_"&amp;SUBSTITUTE(B89," ","-")&amp;"_"&amp;D89&amp;"_"&amp;SUBSTITUTE(SUBSTITUTE(E89," ",""),"€","Euro")&amp;"_"&amp;IF(F89="","Unknown",F89)&amp;IF(F89="Commemorative",IF(G89="","","_"&amp;SUBSTITUTE(SUBSTITUTE(SUBSTITUTE(G89," ","-"),"/","-"),CHAR(39),"")),"")&amp;IF(I89="Duplicate","_Dub"&amp;IF(SUMPRODUCT(($B$2:B89=B89)*($D$2:D89=D89)*($E$2:E89=E89)*($F$2:F89=F89)*($G$2:G89=G89)*($I$2:I89="Duplicate"))&lt;=1,"",SUMPRODUCT(($B$2:B89=B89)*($D$2:D89=D89)*($E$2:E89=E89)*($F$2:F89=F89)*($G$2:G89=G89)*($I$2:I89="Duplicate"))-1),"")&amp;".jpeg")</f>
        <v/>
      </c>
      <c r="L89" s="6"/>
      <c r="M89" s="5" t="str">
        <f>IFERROR(VLOOKUP(E89,Specifications!$A$2:$D$9,2,FALSE),"")</f>
        <v/>
      </c>
      <c r="N89" s="5" t="str">
        <f>IFERROR(VLOOKUP(E89,Specifications!$A$2:$D$9,3,FALSE),"")</f>
        <v/>
      </c>
      <c r="O89" s="5" t="str">
        <f>IFERROR(VLOOKUP(E89,Specifications!$A$2:$D$9,4,FALSE),"")</f>
        <v/>
      </c>
      <c r="P89" s="8" t="str">
        <f t="shared" si="6"/>
        <v/>
      </c>
      <c r="Q89" s="9"/>
    </row>
    <row r="90" spans="1:17" ht="15">
      <c r="A90" s="5" t="str">
        <f t="shared" si="4"/>
        <v/>
      </c>
      <c r="B90" s="6"/>
      <c r="C90" s="5" t="str">
        <f>IFERROR(VLOOKUP(B90,Lists!$A$2:$B$25,2,FALSE),"")</f>
        <v/>
      </c>
      <c r="D90" s="7"/>
      <c r="E90" s="6"/>
      <c r="F90" s="6" t="str">
        <f t="shared" si="5"/>
        <v/>
      </c>
      <c r="G90" s="6"/>
      <c r="H90" s="6"/>
      <c r="I90" s="6"/>
      <c r="J90" s="7"/>
      <c r="K90" s="5" t="str" cm="1">
        <f t="array" ref="K90">IF(OR(A90="",B90="",D90="",E90=""),"",A90&amp;"_"&amp;SUBSTITUTE(B90," ","-")&amp;"_"&amp;D90&amp;"_"&amp;SUBSTITUTE(SUBSTITUTE(E90," ",""),"€","Euro")&amp;"_"&amp;IF(F90="","Unknown",F90)&amp;IF(F90="Commemorative",IF(G90="","","_"&amp;SUBSTITUTE(SUBSTITUTE(SUBSTITUTE(G90," ","-"),"/","-"),CHAR(39),"")),"")&amp;IF(I90="Duplicate","_Dub"&amp;IF(SUMPRODUCT(($B$2:B90=B90)*($D$2:D90=D90)*($E$2:E90=E90)*($F$2:F90=F90)*($G$2:G90=G90)*($I$2:I90="Duplicate"))&lt;=1,"",SUMPRODUCT(($B$2:B90=B90)*($D$2:D90=D90)*($E$2:E90=E90)*($F$2:F90=F90)*($G$2:G90=G90)*($I$2:I90="Duplicate"))-1),"")&amp;".jpeg")</f>
        <v/>
      </c>
      <c r="L90" s="6"/>
      <c r="M90" s="5" t="str">
        <f>IFERROR(VLOOKUP(E90,Specifications!$A$2:$D$9,2,FALSE),"")</f>
        <v/>
      </c>
      <c r="N90" s="5" t="str">
        <f>IFERROR(VLOOKUP(E90,Specifications!$A$2:$D$9,3,FALSE),"")</f>
        <v/>
      </c>
      <c r="O90" s="5" t="str">
        <f>IFERROR(VLOOKUP(E90,Specifications!$A$2:$D$9,4,FALSE),"")</f>
        <v/>
      </c>
      <c r="P90" s="8" t="str">
        <f t="shared" si="6"/>
        <v/>
      </c>
      <c r="Q90" s="9"/>
    </row>
    <row r="91" spans="1:17" ht="15">
      <c r="A91" s="5" t="str">
        <f t="shared" si="4"/>
        <v/>
      </c>
      <c r="B91" s="6"/>
      <c r="C91" s="5" t="str">
        <f>IFERROR(VLOOKUP(B91,Lists!$A$2:$B$25,2,FALSE),"")</f>
        <v/>
      </c>
      <c r="D91" s="7"/>
      <c r="E91" s="6"/>
      <c r="F91" s="6" t="str">
        <f t="shared" si="5"/>
        <v/>
      </c>
      <c r="G91" s="6"/>
      <c r="H91" s="6"/>
      <c r="I91" s="6"/>
      <c r="J91" s="7"/>
      <c r="K91" s="5" t="str" cm="1">
        <f t="array" ref="K91">IF(OR(A91="",B91="",D91="",E91=""),"",A91&amp;"_"&amp;SUBSTITUTE(B91," ","-")&amp;"_"&amp;D91&amp;"_"&amp;SUBSTITUTE(SUBSTITUTE(E91," ",""),"€","Euro")&amp;"_"&amp;IF(F91="","Unknown",F91)&amp;IF(F91="Commemorative",IF(G91="","","_"&amp;SUBSTITUTE(SUBSTITUTE(SUBSTITUTE(G91," ","-"),"/","-"),CHAR(39),"")),"")&amp;IF(I91="Duplicate","_Dub"&amp;IF(SUMPRODUCT(($B$2:B91=B91)*($D$2:D91=D91)*($E$2:E91=E91)*($F$2:F91=F91)*($G$2:G91=G91)*($I$2:I91="Duplicate"))&lt;=1,"",SUMPRODUCT(($B$2:B91=B91)*($D$2:D91=D91)*($E$2:E91=E91)*($F$2:F91=F91)*($G$2:G91=G91)*($I$2:I91="Duplicate"))-1),"")&amp;".jpeg")</f>
        <v/>
      </c>
      <c r="L91" s="6"/>
      <c r="M91" s="5" t="str">
        <f>IFERROR(VLOOKUP(E91,Specifications!$A$2:$D$9,2,FALSE),"")</f>
        <v/>
      </c>
      <c r="N91" s="5" t="str">
        <f>IFERROR(VLOOKUP(E91,Specifications!$A$2:$D$9,3,FALSE),"")</f>
        <v/>
      </c>
      <c r="O91" s="5" t="str">
        <f>IFERROR(VLOOKUP(E91,Specifications!$A$2:$D$9,4,FALSE),"")</f>
        <v/>
      </c>
      <c r="P91" s="8" t="str">
        <f t="shared" si="6"/>
        <v/>
      </c>
      <c r="Q91" s="9"/>
    </row>
    <row r="92" spans="1:17" ht="15">
      <c r="A92" s="5" t="str">
        <f t="shared" si="4"/>
        <v/>
      </c>
      <c r="B92" s="6"/>
      <c r="C92" s="5" t="str">
        <f>IFERROR(VLOOKUP(B92,Lists!$A$2:$B$25,2,FALSE),"")</f>
        <v/>
      </c>
      <c r="D92" s="7"/>
      <c r="E92" s="6"/>
      <c r="F92" s="6" t="str">
        <f t="shared" si="5"/>
        <v/>
      </c>
      <c r="G92" s="6"/>
      <c r="H92" s="6"/>
      <c r="I92" s="6"/>
      <c r="J92" s="7"/>
      <c r="K92" s="5" t="str" cm="1">
        <f t="array" ref="K92">IF(OR(A92="",B92="",D92="",E92=""),"",A92&amp;"_"&amp;SUBSTITUTE(B92," ","-")&amp;"_"&amp;D92&amp;"_"&amp;SUBSTITUTE(SUBSTITUTE(E92," ",""),"€","Euro")&amp;"_"&amp;IF(F92="","Unknown",F92)&amp;IF(F92="Commemorative",IF(G92="","","_"&amp;SUBSTITUTE(SUBSTITUTE(SUBSTITUTE(G92," ","-"),"/","-"),CHAR(39),"")),"")&amp;IF(I92="Duplicate","_Dub"&amp;IF(SUMPRODUCT(($B$2:B92=B92)*($D$2:D92=D92)*($E$2:E92=E92)*($F$2:F92=F92)*($G$2:G92=G92)*($I$2:I92="Duplicate"))&lt;=1,"",SUMPRODUCT(($B$2:B92=B92)*($D$2:D92=D92)*($E$2:E92=E92)*($F$2:F92=F92)*($G$2:G92=G92)*($I$2:I92="Duplicate"))-1),"")&amp;".jpeg")</f>
        <v/>
      </c>
      <c r="L92" s="6"/>
      <c r="M92" s="5" t="str">
        <f>IFERROR(VLOOKUP(E92,Specifications!$A$2:$D$9,2,FALSE),"")</f>
        <v/>
      </c>
      <c r="N92" s="5" t="str">
        <f>IFERROR(VLOOKUP(E92,Specifications!$A$2:$D$9,3,FALSE),"")</f>
        <v/>
      </c>
      <c r="O92" s="5" t="str">
        <f>IFERROR(VLOOKUP(E92,Specifications!$A$2:$D$9,4,FALSE),"")</f>
        <v/>
      </c>
      <c r="P92" s="8" t="str">
        <f t="shared" si="6"/>
        <v/>
      </c>
      <c r="Q92" s="9"/>
    </row>
    <row r="93" spans="1:17" ht="15">
      <c r="A93" s="5" t="str">
        <f t="shared" si="4"/>
        <v/>
      </c>
      <c r="B93" s="6"/>
      <c r="C93" s="5" t="str">
        <f>IFERROR(VLOOKUP(B93,Lists!$A$2:$B$25,2,FALSE),"")</f>
        <v/>
      </c>
      <c r="D93" s="7"/>
      <c r="E93" s="6"/>
      <c r="F93" s="6" t="str">
        <f t="shared" si="5"/>
        <v/>
      </c>
      <c r="G93" s="6"/>
      <c r="H93" s="6"/>
      <c r="I93" s="6"/>
      <c r="J93" s="7"/>
      <c r="K93" s="5" t="str" cm="1">
        <f t="array" ref="K93">IF(OR(A93="",B93="",D93="",E93=""),"",A93&amp;"_"&amp;SUBSTITUTE(B93," ","-")&amp;"_"&amp;D93&amp;"_"&amp;SUBSTITUTE(SUBSTITUTE(E93," ",""),"€","Euro")&amp;"_"&amp;IF(F93="","Unknown",F93)&amp;IF(F93="Commemorative",IF(G93="","","_"&amp;SUBSTITUTE(SUBSTITUTE(SUBSTITUTE(G93," ","-"),"/","-"),CHAR(39),"")),"")&amp;IF(I93="Duplicate","_Dub"&amp;IF(SUMPRODUCT(($B$2:B93=B93)*($D$2:D93=D93)*($E$2:E93=E93)*($F$2:F93=F93)*($G$2:G93=G93)*($I$2:I93="Duplicate"))&lt;=1,"",SUMPRODUCT(($B$2:B93=B93)*($D$2:D93=D93)*($E$2:E93=E93)*($F$2:F93=F93)*($G$2:G93=G93)*($I$2:I93="Duplicate"))-1),"")&amp;".jpeg")</f>
        <v/>
      </c>
      <c r="L93" s="6"/>
      <c r="M93" s="5" t="str">
        <f>IFERROR(VLOOKUP(E93,Specifications!$A$2:$D$9,2,FALSE),"")</f>
        <v/>
      </c>
      <c r="N93" s="5" t="str">
        <f>IFERROR(VLOOKUP(E93,Specifications!$A$2:$D$9,3,FALSE),"")</f>
        <v/>
      </c>
      <c r="O93" s="5" t="str">
        <f>IFERROR(VLOOKUP(E93,Specifications!$A$2:$D$9,4,FALSE),"")</f>
        <v/>
      </c>
      <c r="P93" s="8" t="str">
        <f t="shared" si="6"/>
        <v/>
      </c>
      <c r="Q93" s="9"/>
    </row>
    <row r="94" spans="1:17" ht="15">
      <c r="A94" s="5" t="str">
        <f t="shared" si="4"/>
        <v/>
      </c>
      <c r="B94" s="6"/>
      <c r="C94" s="5" t="str">
        <f>IFERROR(VLOOKUP(B94,Lists!$A$2:$B$25,2,FALSE),"")</f>
        <v/>
      </c>
      <c r="D94" s="7"/>
      <c r="E94" s="6"/>
      <c r="F94" s="6" t="str">
        <f t="shared" si="5"/>
        <v/>
      </c>
      <c r="G94" s="6"/>
      <c r="H94" s="6"/>
      <c r="I94" s="6"/>
      <c r="J94" s="7"/>
      <c r="K94" s="5" t="str" cm="1">
        <f t="array" ref="K94">IF(OR(A94="",B94="",D94="",E94=""),"",A94&amp;"_"&amp;SUBSTITUTE(B94," ","-")&amp;"_"&amp;D94&amp;"_"&amp;SUBSTITUTE(SUBSTITUTE(E94," ",""),"€","Euro")&amp;"_"&amp;IF(F94="","Unknown",F94)&amp;IF(F94="Commemorative",IF(G94="","","_"&amp;SUBSTITUTE(SUBSTITUTE(SUBSTITUTE(G94," ","-"),"/","-"),CHAR(39),"")),"")&amp;IF(I94="Duplicate","_Dub"&amp;IF(SUMPRODUCT(($B$2:B94=B94)*($D$2:D94=D94)*($E$2:E94=E94)*($F$2:F94=F94)*($G$2:G94=G94)*($I$2:I94="Duplicate"))&lt;=1,"",SUMPRODUCT(($B$2:B94=B94)*($D$2:D94=D94)*($E$2:E94=E94)*($F$2:F94=F94)*($G$2:G94=G94)*($I$2:I94="Duplicate"))-1),"")&amp;".jpeg")</f>
        <v/>
      </c>
      <c r="L94" s="6"/>
      <c r="M94" s="5" t="str">
        <f>IFERROR(VLOOKUP(E94,Specifications!$A$2:$D$9,2,FALSE),"")</f>
        <v/>
      </c>
      <c r="N94" s="5" t="str">
        <f>IFERROR(VLOOKUP(E94,Specifications!$A$2:$D$9,3,FALSE),"")</f>
        <v/>
      </c>
      <c r="O94" s="5" t="str">
        <f>IFERROR(VLOOKUP(E94,Specifications!$A$2:$D$9,4,FALSE),"")</f>
        <v/>
      </c>
      <c r="P94" s="8" t="str">
        <f t="shared" si="6"/>
        <v/>
      </c>
      <c r="Q94" s="9"/>
    </row>
    <row r="95" spans="1:17" ht="15">
      <c r="A95" s="5" t="str">
        <f t="shared" si="4"/>
        <v/>
      </c>
      <c r="B95" s="6"/>
      <c r="C95" s="5" t="str">
        <f>IFERROR(VLOOKUP(B95,Lists!$A$2:$B$25,2,FALSE),"")</f>
        <v/>
      </c>
      <c r="D95" s="7"/>
      <c r="E95" s="6"/>
      <c r="F95" s="6" t="str">
        <f t="shared" si="5"/>
        <v/>
      </c>
      <c r="G95" s="6"/>
      <c r="H95" s="6"/>
      <c r="I95" s="6"/>
      <c r="J95" s="7"/>
      <c r="K95" s="5" t="str" cm="1">
        <f t="array" ref="K95">IF(OR(A95="",B95="",D95="",E95=""),"",A95&amp;"_"&amp;SUBSTITUTE(B95," ","-")&amp;"_"&amp;D95&amp;"_"&amp;SUBSTITUTE(SUBSTITUTE(E95," ",""),"€","Euro")&amp;"_"&amp;IF(F95="","Unknown",F95)&amp;IF(F95="Commemorative",IF(G95="","","_"&amp;SUBSTITUTE(SUBSTITUTE(SUBSTITUTE(G95," ","-"),"/","-"),CHAR(39),"")),"")&amp;IF(I95="Duplicate","_Dub"&amp;IF(SUMPRODUCT(($B$2:B95=B95)*($D$2:D95=D95)*($E$2:E95=E95)*($F$2:F95=F95)*($G$2:G95=G95)*($I$2:I95="Duplicate"))&lt;=1,"",SUMPRODUCT(($B$2:B95=B95)*($D$2:D95=D95)*($E$2:E95=E95)*($F$2:F95=F95)*($G$2:G95=G95)*($I$2:I95="Duplicate"))-1),"")&amp;".jpeg")</f>
        <v/>
      </c>
      <c r="L95" s="6"/>
      <c r="M95" s="5" t="str">
        <f>IFERROR(VLOOKUP(E95,Specifications!$A$2:$D$9,2,FALSE),"")</f>
        <v/>
      </c>
      <c r="N95" s="5" t="str">
        <f>IFERROR(VLOOKUP(E95,Specifications!$A$2:$D$9,3,FALSE),"")</f>
        <v/>
      </c>
      <c r="O95" s="5" t="str">
        <f>IFERROR(VLOOKUP(E95,Specifications!$A$2:$D$9,4,FALSE),"")</f>
        <v/>
      </c>
      <c r="P95" s="8" t="str">
        <f t="shared" si="6"/>
        <v/>
      </c>
      <c r="Q95" s="9"/>
    </row>
    <row r="96" spans="1:17" ht="15">
      <c r="A96" s="5" t="str">
        <f t="shared" si="4"/>
        <v/>
      </c>
      <c r="B96" s="6"/>
      <c r="C96" s="5" t="str">
        <f>IFERROR(VLOOKUP(B96,Lists!$A$2:$B$25,2,FALSE),"")</f>
        <v/>
      </c>
      <c r="D96" s="7"/>
      <c r="E96" s="6"/>
      <c r="F96" s="6" t="str">
        <f t="shared" si="5"/>
        <v/>
      </c>
      <c r="G96" s="6"/>
      <c r="H96" s="6"/>
      <c r="I96" s="6"/>
      <c r="J96" s="7"/>
      <c r="K96" s="5" t="str" cm="1">
        <f t="array" ref="K96">IF(OR(A96="",B96="",D96="",E96=""),"",A96&amp;"_"&amp;SUBSTITUTE(B96," ","-")&amp;"_"&amp;D96&amp;"_"&amp;SUBSTITUTE(SUBSTITUTE(E96," ",""),"€","Euro")&amp;"_"&amp;IF(F96="","Unknown",F96)&amp;IF(F96="Commemorative",IF(G96="","","_"&amp;SUBSTITUTE(SUBSTITUTE(SUBSTITUTE(G96," ","-"),"/","-"),CHAR(39),"")),"")&amp;IF(I96="Duplicate","_Dub"&amp;IF(SUMPRODUCT(($B$2:B96=B96)*($D$2:D96=D96)*($E$2:E96=E96)*($F$2:F96=F96)*($G$2:G96=G96)*($I$2:I96="Duplicate"))&lt;=1,"",SUMPRODUCT(($B$2:B96=B96)*($D$2:D96=D96)*($E$2:E96=E96)*($F$2:F96=F96)*($G$2:G96=G96)*($I$2:I96="Duplicate"))-1),"")&amp;".jpeg")</f>
        <v/>
      </c>
      <c r="L96" s="6"/>
      <c r="M96" s="5" t="str">
        <f>IFERROR(VLOOKUP(E96,Specifications!$A$2:$D$9,2,FALSE),"")</f>
        <v/>
      </c>
      <c r="N96" s="5" t="str">
        <f>IFERROR(VLOOKUP(E96,Specifications!$A$2:$D$9,3,FALSE),"")</f>
        <v/>
      </c>
      <c r="O96" s="5" t="str">
        <f>IFERROR(VLOOKUP(E96,Specifications!$A$2:$D$9,4,FALSE),"")</f>
        <v/>
      </c>
      <c r="P96" s="8" t="str">
        <f t="shared" si="6"/>
        <v/>
      </c>
      <c r="Q96" s="9"/>
    </row>
    <row r="97" spans="1:17" ht="15">
      <c r="A97" s="5" t="str">
        <f t="shared" si="4"/>
        <v/>
      </c>
      <c r="B97" s="6"/>
      <c r="C97" s="5" t="str">
        <f>IFERROR(VLOOKUP(B97,Lists!$A$2:$B$25,2,FALSE),"")</f>
        <v/>
      </c>
      <c r="D97" s="7"/>
      <c r="E97" s="6"/>
      <c r="F97" s="6" t="str">
        <f t="shared" si="5"/>
        <v/>
      </c>
      <c r="G97" s="6"/>
      <c r="H97" s="6"/>
      <c r="I97" s="6"/>
      <c r="J97" s="7"/>
      <c r="K97" s="5" t="str" cm="1">
        <f t="array" ref="K97">IF(OR(A97="",B97="",D97="",E97=""),"",A97&amp;"_"&amp;SUBSTITUTE(B97," ","-")&amp;"_"&amp;D97&amp;"_"&amp;SUBSTITUTE(SUBSTITUTE(E97," ",""),"€","Euro")&amp;"_"&amp;IF(F97="","Unknown",F97)&amp;IF(F97="Commemorative",IF(G97="","","_"&amp;SUBSTITUTE(SUBSTITUTE(SUBSTITUTE(G97," ","-"),"/","-"),CHAR(39),"")),"")&amp;IF(I97="Duplicate","_Dub"&amp;IF(SUMPRODUCT(($B$2:B97=B97)*($D$2:D97=D97)*($E$2:E97=E97)*($F$2:F97=F97)*($G$2:G97=G97)*($I$2:I97="Duplicate"))&lt;=1,"",SUMPRODUCT(($B$2:B97=B97)*($D$2:D97=D97)*($E$2:E97=E97)*($F$2:F97=F97)*($G$2:G97=G97)*($I$2:I97="Duplicate"))-1),"")&amp;".jpeg")</f>
        <v/>
      </c>
      <c r="L97" s="6"/>
      <c r="M97" s="5" t="str">
        <f>IFERROR(VLOOKUP(E97,Specifications!$A$2:$D$9,2,FALSE),"")</f>
        <v/>
      </c>
      <c r="N97" s="5" t="str">
        <f>IFERROR(VLOOKUP(E97,Specifications!$A$2:$D$9,3,FALSE),"")</f>
        <v/>
      </c>
      <c r="O97" s="5" t="str">
        <f>IFERROR(VLOOKUP(E97,Specifications!$A$2:$D$9,4,FALSE),"")</f>
        <v/>
      </c>
      <c r="P97" s="8" t="str">
        <f t="shared" si="6"/>
        <v/>
      </c>
      <c r="Q97" s="9"/>
    </row>
    <row r="98" spans="1:17" ht="15">
      <c r="A98" s="5" t="str">
        <f t="shared" si="4"/>
        <v/>
      </c>
      <c r="B98" s="6"/>
      <c r="C98" s="5" t="str">
        <f>IFERROR(VLOOKUP(B98,Lists!$A$2:$B$25,2,FALSE),"")</f>
        <v/>
      </c>
      <c r="D98" s="7"/>
      <c r="E98" s="6"/>
      <c r="F98" s="6" t="str">
        <f t="shared" si="5"/>
        <v/>
      </c>
      <c r="G98" s="6"/>
      <c r="H98" s="6"/>
      <c r="I98" s="6"/>
      <c r="J98" s="7"/>
      <c r="K98" s="5" t="str" cm="1">
        <f t="array" ref="K98">IF(OR(A98="",B98="",D98="",E98=""),"",A98&amp;"_"&amp;SUBSTITUTE(B98," ","-")&amp;"_"&amp;D98&amp;"_"&amp;SUBSTITUTE(SUBSTITUTE(E98," ",""),"€","Euro")&amp;"_"&amp;IF(F98="","Unknown",F98)&amp;IF(F98="Commemorative",IF(G98="","","_"&amp;SUBSTITUTE(SUBSTITUTE(SUBSTITUTE(G98," ","-"),"/","-"),CHAR(39),"")),"")&amp;IF(I98="Duplicate","_Dub"&amp;IF(SUMPRODUCT(($B$2:B98=B98)*($D$2:D98=D98)*($E$2:E98=E98)*($F$2:F98=F98)*($G$2:G98=G98)*($I$2:I98="Duplicate"))&lt;=1,"",SUMPRODUCT(($B$2:B98=B98)*($D$2:D98=D98)*($E$2:E98=E98)*($F$2:F98=F98)*($G$2:G98=G98)*($I$2:I98="Duplicate"))-1),"")&amp;".jpeg")</f>
        <v/>
      </c>
      <c r="L98" s="6"/>
      <c r="M98" s="5" t="str">
        <f>IFERROR(VLOOKUP(E98,Specifications!$A$2:$D$9,2,FALSE),"")</f>
        <v/>
      </c>
      <c r="N98" s="5" t="str">
        <f>IFERROR(VLOOKUP(E98,Specifications!$A$2:$D$9,3,FALSE),"")</f>
        <v/>
      </c>
      <c r="O98" s="5" t="str">
        <f>IFERROR(VLOOKUP(E98,Specifications!$A$2:$D$9,4,FALSE),"")</f>
        <v/>
      </c>
      <c r="P98" s="8" t="str">
        <f t="shared" si="6"/>
        <v/>
      </c>
      <c r="Q98" s="9"/>
    </row>
    <row r="99" spans="1:17" ht="15">
      <c r="A99" s="5" t="str">
        <f t="shared" si="4"/>
        <v/>
      </c>
      <c r="B99" s="6"/>
      <c r="C99" s="5" t="str">
        <f>IFERROR(VLOOKUP(B99,Lists!$A$2:$B$25,2,FALSE),"")</f>
        <v/>
      </c>
      <c r="D99" s="7"/>
      <c r="E99" s="6"/>
      <c r="F99" s="6" t="str">
        <f t="shared" si="5"/>
        <v/>
      </c>
      <c r="G99" s="6"/>
      <c r="H99" s="6"/>
      <c r="I99" s="6"/>
      <c r="J99" s="7"/>
      <c r="K99" s="5" t="str" cm="1">
        <f t="array" ref="K99">IF(OR(A99="",B99="",D99="",E99=""),"",A99&amp;"_"&amp;SUBSTITUTE(B99," ","-")&amp;"_"&amp;D99&amp;"_"&amp;SUBSTITUTE(SUBSTITUTE(E99," ",""),"€","Euro")&amp;"_"&amp;IF(F99="","Unknown",F99)&amp;IF(F99="Commemorative",IF(G99="","","_"&amp;SUBSTITUTE(SUBSTITUTE(SUBSTITUTE(G99," ","-"),"/","-"),CHAR(39),"")),"")&amp;IF(I99="Duplicate","_Dub"&amp;IF(SUMPRODUCT(($B$2:B99=B99)*($D$2:D99=D99)*($E$2:E99=E99)*($F$2:F99=F99)*($G$2:G99=G99)*($I$2:I99="Duplicate"))&lt;=1,"",SUMPRODUCT(($B$2:B99=B99)*($D$2:D99=D99)*($E$2:E99=E99)*($F$2:F99=F99)*($G$2:G99=G99)*($I$2:I99="Duplicate"))-1),"")&amp;".jpeg")</f>
        <v/>
      </c>
      <c r="L99" s="6"/>
      <c r="M99" s="5" t="str">
        <f>IFERROR(VLOOKUP(E99,Specifications!$A$2:$D$9,2,FALSE),"")</f>
        <v/>
      </c>
      <c r="N99" s="5" t="str">
        <f>IFERROR(VLOOKUP(E99,Specifications!$A$2:$D$9,3,FALSE),"")</f>
        <v/>
      </c>
      <c r="O99" s="5" t="str">
        <f>IFERROR(VLOOKUP(E99,Specifications!$A$2:$D$9,4,FALSE),"")</f>
        <v/>
      </c>
      <c r="P99" s="8" t="str">
        <f t="shared" si="6"/>
        <v/>
      </c>
      <c r="Q99" s="9"/>
    </row>
    <row r="100" spans="1:17" ht="15">
      <c r="A100" s="5" t="str">
        <f t="shared" si="4"/>
        <v/>
      </c>
      <c r="B100" s="6"/>
      <c r="C100" s="5" t="str">
        <f>IFERROR(VLOOKUP(B100,Lists!$A$2:$B$25,2,FALSE),"")</f>
        <v/>
      </c>
      <c r="D100" s="7"/>
      <c r="E100" s="6"/>
      <c r="F100" s="6" t="str">
        <f t="shared" si="5"/>
        <v/>
      </c>
      <c r="G100" s="6"/>
      <c r="H100" s="6"/>
      <c r="I100" s="6"/>
      <c r="J100" s="7"/>
      <c r="K100" s="5" t="str" cm="1">
        <f t="array" ref="K100">IF(OR(A100="",B100="",D100="",E100=""),"",A100&amp;"_"&amp;SUBSTITUTE(B100," ","-")&amp;"_"&amp;D100&amp;"_"&amp;SUBSTITUTE(SUBSTITUTE(E100," ",""),"€","Euro")&amp;"_"&amp;IF(F100="","Unknown",F100)&amp;IF(F100="Commemorative",IF(G100="","","_"&amp;SUBSTITUTE(SUBSTITUTE(SUBSTITUTE(G100," ","-"),"/","-"),CHAR(39),"")),"")&amp;IF(I100="Duplicate","_Dub"&amp;IF(SUMPRODUCT(($B$2:B100=B100)*($D$2:D100=D100)*($E$2:E100=E100)*($F$2:F100=F100)*($G$2:G100=G100)*($I$2:I100="Duplicate"))&lt;=1,"",SUMPRODUCT(($B$2:B100=B100)*($D$2:D100=D100)*($E$2:E100=E100)*($F$2:F100=F100)*($G$2:G100=G100)*($I$2:I100="Duplicate"))-1),"")&amp;".jpeg")</f>
        <v/>
      </c>
      <c r="L100" s="6"/>
      <c r="M100" s="5" t="str">
        <f>IFERROR(VLOOKUP(E100,Specifications!$A$2:$D$9,2,FALSE),"")</f>
        <v/>
      </c>
      <c r="N100" s="5" t="str">
        <f>IFERROR(VLOOKUP(E100,Specifications!$A$2:$D$9,3,FALSE),"")</f>
        <v/>
      </c>
      <c r="O100" s="5" t="str">
        <f>IFERROR(VLOOKUP(E100,Specifications!$A$2:$D$9,4,FALSE),"")</f>
        <v/>
      </c>
      <c r="P100" s="8" t="str">
        <f t="shared" si="6"/>
        <v/>
      </c>
      <c r="Q100" s="9"/>
    </row>
    <row r="101" spans="1:17" ht="15">
      <c r="A101" s="5" t="str">
        <f t="shared" si="4"/>
        <v/>
      </c>
      <c r="B101" s="6"/>
      <c r="C101" s="5" t="str">
        <f>IFERROR(VLOOKUP(B101,Lists!$A$2:$B$25,2,FALSE),"")</f>
        <v/>
      </c>
      <c r="D101" s="7"/>
      <c r="E101" s="6"/>
      <c r="F101" s="6" t="str">
        <f t="shared" si="5"/>
        <v/>
      </c>
      <c r="G101" s="6"/>
      <c r="H101" s="6"/>
      <c r="I101" s="6"/>
      <c r="J101" s="7"/>
      <c r="K101" s="5" t="str" cm="1">
        <f t="array" ref="K101">IF(OR(A101="",B101="",D101="",E101=""),"",A101&amp;"_"&amp;SUBSTITUTE(B101," ","-")&amp;"_"&amp;D101&amp;"_"&amp;SUBSTITUTE(SUBSTITUTE(E101," ",""),"€","Euro")&amp;"_"&amp;IF(F101="","Unknown",F101)&amp;IF(F101="Commemorative",IF(G101="","","_"&amp;SUBSTITUTE(SUBSTITUTE(SUBSTITUTE(G101," ","-"),"/","-"),CHAR(39),"")),"")&amp;IF(I101="Duplicate","_Dub"&amp;IF(SUMPRODUCT(($B$2:B101=B101)*($D$2:D101=D101)*($E$2:E101=E101)*($F$2:F101=F101)*($G$2:G101=G101)*($I$2:I101="Duplicate"))&lt;=1,"",SUMPRODUCT(($B$2:B101=B101)*($D$2:D101=D101)*($E$2:E101=E101)*($F$2:F101=F101)*($G$2:G101=G101)*($I$2:I101="Duplicate"))-1),"")&amp;".jpeg")</f>
        <v/>
      </c>
      <c r="L101" s="6"/>
      <c r="M101" s="5" t="str">
        <f>IFERROR(VLOOKUP(E101,Specifications!$A$2:$D$9,2,FALSE),"")</f>
        <v/>
      </c>
      <c r="N101" s="5" t="str">
        <f>IFERROR(VLOOKUP(E101,Specifications!$A$2:$D$9,3,FALSE),"")</f>
        <v/>
      </c>
      <c r="O101" s="5" t="str">
        <f>IFERROR(VLOOKUP(E101,Specifications!$A$2:$D$9,4,FALSE),"")</f>
        <v/>
      </c>
      <c r="P101" s="8" t="str">
        <f t="shared" si="6"/>
        <v/>
      </c>
      <c r="Q101" s="9"/>
    </row>
    <row r="102" spans="1:17" ht="15">
      <c r="A102" s="5" t="str">
        <f t="shared" si="4"/>
        <v/>
      </c>
      <c r="B102" s="6"/>
      <c r="C102" s="5" t="str">
        <f>IFERROR(VLOOKUP(B102,Lists!$A$2:$B$25,2,FALSE),"")</f>
        <v/>
      </c>
      <c r="D102" s="7"/>
      <c r="E102" s="6"/>
      <c r="F102" s="6" t="str">
        <f t="shared" si="5"/>
        <v/>
      </c>
      <c r="G102" s="6"/>
      <c r="H102" s="6"/>
      <c r="I102" s="6"/>
      <c r="J102" s="7"/>
      <c r="K102" s="5" t="str" cm="1">
        <f t="array" ref="K102">IF(OR(A102="",B102="",D102="",E102=""),"",A102&amp;"_"&amp;SUBSTITUTE(B102," ","-")&amp;"_"&amp;D102&amp;"_"&amp;SUBSTITUTE(SUBSTITUTE(E102," ",""),"€","Euro")&amp;"_"&amp;IF(F102="","Unknown",F102)&amp;IF(F102="Commemorative",IF(G102="","","_"&amp;SUBSTITUTE(SUBSTITUTE(SUBSTITUTE(G102," ","-"),"/","-"),CHAR(39),"")),"")&amp;IF(I102="Duplicate","_Dub"&amp;IF(SUMPRODUCT(($B$2:B102=B102)*($D$2:D102=D102)*($E$2:E102=E102)*($F$2:F102=F102)*($G$2:G102=G102)*($I$2:I102="Duplicate"))&lt;=1,"",SUMPRODUCT(($B$2:B102=B102)*($D$2:D102=D102)*($E$2:E102=E102)*($F$2:F102=F102)*($G$2:G102=G102)*($I$2:I102="Duplicate"))-1),"")&amp;".jpeg")</f>
        <v/>
      </c>
      <c r="L102" s="6"/>
      <c r="M102" s="5" t="str">
        <f>IFERROR(VLOOKUP(E102,Specifications!$A$2:$D$9,2,FALSE),"")</f>
        <v/>
      </c>
      <c r="N102" s="5" t="str">
        <f>IFERROR(VLOOKUP(E102,Specifications!$A$2:$D$9,3,FALSE),"")</f>
        <v/>
      </c>
      <c r="O102" s="5" t="str">
        <f>IFERROR(VLOOKUP(E102,Specifications!$A$2:$D$9,4,FALSE),"")</f>
        <v/>
      </c>
      <c r="P102" s="8" t="str">
        <f t="shared" si="6"/>
        <v/>
      </c>
      <c r="Q102" s="9"/>
    </row>
    <row r="103" spans="1:17" ht="15">
      <c r="A103" s="5" t="str">
        <f t="shared" si="4"/>
        <v/>
      </c>
      <c r="B103" s="6"/>
      <c r="C103" s="5" t="str">
        <f>IFERROR(VLOOKUP(B103,Lists!$A$2:$B$25,2,FALSE),"")</f>
        <v/>
      </c>
      <c r="D103" s="7"/>
      <c r="E103" s="6"/>
      <c r="F103" s="6" t="str">
        <f t="shared" si="5"/>
        <v/>
      </c>
      <c r="G103" s="6"/>
      <c r="H103" s="6"/>
      <c r="I103" s="6"/>
      <c r="J103" s="7"/>
      <c r="K103" s="5" t="str" cm="1">
        <f t="array" ref="K103">IF(OR(A103="",B103="",D103="",E103=""),"",A103&amp;"_"&amp;SUBSTITUTE(B103," ","-")&amp;"_"&amp;D103&amp;"_"&amp;SUBSTITUTE(SUBSTITUTE(E103," ",""),"€","Euro")&amp;"_"&amp;IF(F103="","Unknown",F103)&amp;IF(F103="Commemorative",IF(G103="","","_"&amp;SUBSTITUTE(SUBSTITUTE(SUBSTITUTE(G103," ","-"),"/","-"),CHAR(39),"")),"")&amp;IF(I103="Duplicate","_Dub"&amp;IF(SUMPRODUCT(($B$2:B103=B103)*($D$2:D103=D103)*($E$2:E103=E103)*($F$2:F103=F103)*($G$2:G103=G103)*($I$2:I103="Duplicate"))&lt;=1,"",SUMPRODUCT(($B$2:B103=B103)*($D$2:D103=D103)*($E$2:E103=E103)*($F$2:F103=F103)*($G$2:G103=G103)*($I$2:I103="Duplicate"))-1),"")&amp;".jpeg")</f>
        <v/>
      </c>
      <c r="L103" s="6"/>
      <c r="M103" s="5" t="str">
        <f>IFERROR(VLOOKUP(E103,Specifications!$A$2:$D$9,2,FALSE),"")</f>
        <v/>
      </c>
      <c r="N103" s="5" t="str">
        <f>IFERROR(VLOOKUP(E103,Specifications!$A$2:$D$9,3,FALSE),"")</f>
        <v/>
      </c>
      <c r="O103" s="5" t="str">
        <f>IFERROR(VLOOKUP(E103,Specifications!$A$2:$D$9,4,FALSE),"")</f>
        <v/>
      </c>
      <c r="P103" s="8" t="str">
        <f t="shared" si="6"/>
        <v/>
      </c>
      <c r="Q103" s="9"/>
    </row>
    <row r="104" spans="1:17" ht="15">
      <c r="A104" s="5" t="str">
        <f t="shared" si="4"/>
        <v/>
      </c>
      <c r="B104" s="6"/>
      <c r="C104" s="5" t="str">
        <f>IFERROR(VLOOKUP(B104,Lists!$A$2:$B$25,2,FALSE),"")</f>
        <v/>
      </c>
      <c r="D104" s="7"/>
      <c r="E104" s="6"/>
      <c r="F104" s="6" t="str">
        <f t="shared" si="5"/>
        <v/>
      </c>
      <c r="G104" s="6"/>
      <c r="H104" s="6"/>
      <c r="I104" s="6"/>
      <c r="J104" s="7"/>
      <c r="K104" s="5" t="str" cm="1">
        <f t="array" ref="K104">IF(OR(A104="",B104="",D104="",E104=""),"",A104&amp;"_"&amp;SUBSTITUTE(B104," ","-")&amp;"_"&amp;D104&amp;"_"&amp;SUBSTITUTE(SUBSTITUTE(E104," ",""),"€","Euro")&amp;"_"&amp;IF(F104="","Unknown",F104)&amp;IF(F104="Commemorative",IF(G104="","","_"&amp;SUBSTITUTE(SUBSTITUTE(SUBSTITUTE(G104," ","-"),"/","-"),CHAR(39),"")),"")&amp;IF(I104="Duplicate","_Dub"&amp;IF(SUMPRODUCT(($B$2:B104=B104)*($D$2:D104=D104)*($E$2:E104=E104)*($F$2:F104=F104)*($G$2:G104=G104)*($I$2:I104="Duplicate"))&lt;=1,"",SUMPRODUCT(($B$2:B104=B104)*($D$2:D104=D104)*($E$2:E104=E104)*($F$2:F104=F104)*($G$2:G104=G104)*($I$2:I104="Duplicate"))-1),"")&amp;".jpeg")</f>
        <v/>
      </c>
      <c r="L104" s="6"/>
      <c r="M104" s="5" t="str">
        <f>IFERROR(VLOOKUP(E104,Specifications!$A$2:$D$9,2,FALSE),"")</f>
        <v/>
      </c>
      <c r="N104" s="5" t="str">
        <f>IFERROR(VLOOKUP(E104,Specifications!$A$2:$D$9,3,FALSE),"")</f>
        <v/>
      </c>
      <c r="O104" s="5" t="str">
        <f>IFERROR(VLOOKUP(E104,Specifications!$A$2:$D$9,4,FALSE),"")</f>
        <v/>
      </c>
      <c r="P104" s="8" t="str">
        <f t="shared" si="6"/>
        <v/>
      </c>
      <c r="Q104" s="9"/>
    </row>
    <row r="105" spans="1:17" ht="15">
      <c r="A105" s="5" t="str">
        <f t="shared" si="4"/>
        <v/>
      </c>
      <c r="B105" s="6"/>
      <c r="C105" s="5" t="str">
        <f>IFERROR(VLOOKUP(B105,Lists!$A$2:$B$25,2,FALSE),"")</f>
        <v/>
      </c>
      <c r="D105" s="7"/>
      <c r="E105" s="6"/>
      <c r="F105" s="6" t="str">
        <f t="shared" si="5"/>
        <v/>
      </c>
      <c r="G105" s="6"/>
      <c r="H105" s="6"/>
      <c r="I105" s="6"/>
      <c r="J105" s="7"/>
      <c r="K105" s="5" t="str" cm="1">
        <f t="array" ref="K105">IF(OR(A105="",B105="",D105="",E105=""),"",A105&amp;"_"&amp;SUBSTITUTE(B105," ","-")&amp;"_"&amp;D105&amp;"_"&amp;SUBSTITUTE(SUBSTITUTE(E105," ",""),"€","Euro")&amp;"_"&amp;IF(F105="","Unknown",F105)&amp;IF(F105="Commemorative",IF(G105="","","_"&amp;SUBSTITUTE(SUBSTITUTE(SUBSTITUTE(G105," ","-"),"/","-"),CHAR(39),"")),"")&amp;IF(I105="Duplicate","_Dub"&amp;IF(SUMPRODUCT(($B$2:B105=B105)*($D$2:D105=D105)*($E$2:E105=E105)*($F$2:F105=F105)*($G$2:G105=G105)*($I$2:I105="Duplicate"))&lt;=1,"",SUMPRODUCT(($B$2:B105=B105)*($D$2:D105=D105)*($E$2:E105=E105)*($F$2:F105=F105)*($G$2:G105=G105)*($I$2:I105="Duplicate"))-1),"")&amp;".jpeg")</f>
        <v/>
      </c>
      <c r="L105" s="6"/>
      <c r="M105" s="5" t="str">
        <f>IFERROR(VLOOKUP(E105,Specifications!$A$2:$D$9,2,FALSE),"")</f>
        <v/>
      </c>
      <c r="N105" s="5" t="str">
        <f>IFERROR(VLOOKUP(E105,Specifications!$A$2:$D$9,3,FALSE),"")</f>
        <v/>
      </c>
      <c r="O105" s="5" t="str">
        <f>IFERROR(VLOOKUP(E105,Specifications!$A$2:$D$9,4,FALSE),"")</f>
        <v/>
      </c>
      <c r="P105" s="8" t="str">
        <f t="shared" si="6"/>
        <v/>
      </c>
      <c r="Q105" s="9"/>
    </row>
    <row r="106" spans="1:17" ht="15">
      <c r="A106" s="5" t="str">
        <f t="shared" si="4"/>
        <v/>
      </c>
      <c r="B106" s="6"/>
      <c r="C106" s="5" t="str">
        <f>IFERROR(VLOOKUP(B106,Lists!$A$2:$B$25,2,FALSE),"")</f>
        <v/>
      </c>
      <c r="D106" s="7"/>
      <c r="E106" s="6"/>
      <c r="F106" s="6" t="str">
        <f t="shared" si="5"/>
        <v/>
      </c>
      <c r="G106" s="6"/>
      <c r="H106" s="6"/>
      <c r="I106" s="6"/>
      <c r="J106" s="7"/>
      <c r="K106" s="5" t="str" cm="1">
        <f t="array" ref="K106">IF(OR(A106="",B106="",D106="",E106=""),"",A106&amp;"_"&amp;SUBSTITUTE(B106," ","-")&amp;"_"&amp;D106&amp;"_"&amp;SUBSTITUTE(SUBSTITUTE(E106," ",""),"€","Euro")&amp;"_"&amp;IF(F106="","Unknown",F106)&amp;IF(F106="Commemorative",IF(G106="","","_"&amp;SUBSTITUTE(SUBSTITUTE(SUBSTITUTE(G106," ","-"),"/","-"),CHAR(39),"")),"")&amp;IF(I106="Duplicate","_Dub"&amp;IF(SUMPRODUCT(($B$2:B106=B106)*($D$2:D106=D106)*($E$2:E106=E106)*($F$2:F106=F106)*($G$2:G106=G106)*($I$2:I106="Duplicate"))&lt;=1,"",SUMPRODUCT(($B$2:B106=B106)*($D$2:D106=D106)*($E$2:E106=E106)*($F$2:F106=F106)*($G$2:G106=G106)*($I$2:I106="Duplicate"))-1),"")&amp;".jpeg")</f>
        <v/>
      </c>
      <c r="L106" s="6"/>
      <c r="M106" s="5" t="str">
        <f>IFERROR(VLOOKUP(E106,Specifications!$A$2:$D$9,2,FALSE),"")</f>
        <v/>
      </c>
      <c r="N106" s="5" t="str">
        <f>IFERROR(VLOOKUP(E106,Specifications!$A$2:$D$9,3,FALSE),"")</f>
        <v/>
      </c>
      <c r="O106" s="5" t="str">
        <f>IFERROR(VLOOKUP(E106,Specifications!$A$2:$D$9,4,FALSE),"")</f>
        <v/>
      </c>
      <c r="P106" s="8" t="str">
        <f t="shared" si="6"/>
        <v/>
      </c>
      <c r="Q106" s="9"/>
    </row>
    <row r="107" spans="1:17" ht="15">
      <c r="A107" s="5" t="str">
        <f t="shared" si="4"/>
        <v/>
      </c>
      <c r="B107" s="6"/>
      <c r="C107" s="5" t="str">
        <f>IFERROR(VLOOKUP(B107,Lists!$A$2:$B$25,2,FALSE),"")</f>
        <v/>
      </c>
      <c r="D107" s="7"/>
      <c r="E107" s="6"/>
      <c r="F107" s="6" t="str">
        <f t="shared" si="5"/>
        <v/>
      </c>
      <c r="G107" s="6"/>
      <c r="H107" s="6"/>
      <c r="I107" s="6"/>
      <c r="J107" s="7"/>
      <c r="K107" s="5" t="str" cm="1">
        <f t="array" ref="K107">IF(OR(A107="",B107="",D107="",E107=""),"",A107&amp;"_"&amp;SUBSTITUTE(B107," ","-")&amp;"_"&amp;D107&amp;"_"&amp;SUBSTITUTE(SUBSTITUTE(E107," ",""),"€","Euro")&amp;"_"&amp;IF(F107="","Unknown",F107)&amp;IF(F107="Commemorative",IF(G107="","","_"&amp;SUBSTITUTE(SUBSTITUTE(SUBSTITUTE(G107," ","-"),"/","-"),CHAR(39),"")),"")&amp;IF(I107="Duplicate","_Dub"&amp;IF(SUMPRODUCT(($B$2:B107=B107)*($D$2:D107=D107)*($E$2:E107=E107)*($F$2:F107=F107)*($G$2:G107=G107)*($I$2:I107="Duplicate"))&lt;=1,"",SUMPRODUCT(($B$2:B107=B107)*($D$2:D107=D107)*($E$2:E107=E107)*($F$2:F107=F107)*($G$2:G107=G107)*($I$2:I107="Duplicate"))-1),"")&amp;".jpeg")</f>
        <v/>
      </c>
      <c r="L107" s="6"/>
      <c r="M107" s="5" t="str">
        <f>IFERROR(VLOOKUP(E107,Specifications!$A$2:$D$9,2,FALSE),"")</f>
        <v/>
      </c>
      <c r="N107" s="5" t="str">
        <f>IFERROR(VLOOKUP(E107,Specifications!$A$2:$D$9,3,FALSE),"")</f>
        <v/>
      </c>
      <c r="O107" s="5" t="str">
        <f>IFERROR(VLOOKUP(E107,Specifications!$A$2:$D$9,4,FALSE),"")</f>
        <v/>
      </c>
      <c r="P107" s="8" t="str">
        <f t="shared" si="6"/>
        <v/>
      </c>
      <c r="Q107" s="9"/>
    </row>
    <row r="108" spans="1:17" ht="15">
      <c r="A108" s="5" t="str">
        <f t="shared" si="4"/>
        <v/>
      </c>
      <c r="B108" s="6"/>
      <c r="C108" s="5" t="str">
        <f>IFERROR(VLOOKUP(B108,Lists!$A$2:$B$25,2,FALSE),"")</f>
        <v/>
      </c>
      <c r="D108" s="7"/>
      <c r="E108" s="6"/>
      <c r="F108" s="6" t="str">
        <f t="shared" si="5"/>
        <v/>
      </c>
      <c r="G108" s="6"/>
      <c r="H108" s="6"/>
      <c r="I108" s="6"/>
      <c r="J108" s="7"/>
      <c r="K108" s="5" t="str" cm="1">
        <f t="array" ref="K108">IF(OR(A108="",B108="",D108="",E108=""),"",A108&amp;"_"&amp;SUBSTITUTE(B108," ","-")&amp;"_"&amp;D108&amp;"_"&amp;SUBSTITUTE(SUBSTITUTE(E108," ",""),"€","Euro")&amp;"_"&amp;IF(F108="","Unknown",F108)&amp;IF(F108="Commemorative",IF(G108="","","_"&amp;SUBSTITUTE(SUBSTITUTE(SUBSTITUTE(G108," ","-"),"/","-"),CHAR(39),"")),"")&amp;IF(I108="Duplicate","_Dub"&amp;IF(SUMPRODUCT(($B$2:B108=B108)*($D$2:D108=D108)*($E$2:E108=E108)*($F$2:F108=F108)*($G$2:G108=G108)*($I$2:I108="Duplicate"))&lt;=1,"",SUMPRODUCT(($B$2:B108=B108)*($D$2:D108=D108)*($E$2:E108=E108)*($F$2:F108=F108)*($G$2:G108=G108)*($I$2:I108="Duplicate"))-1),"")&amp;".jpeg")</f>
        <v/>
      </c>
      <c r="L108" s="6"/>
      <c r="M108" s="5" t="str">
        <f>IFERROR(VLOOKUP(E108,Specifications!$A$2:$D$9,2,FALSE),"")</f>
        <v/>
      </c>
      <c r="N108" s="5" t="str">
        <f>IFERROR(VLOOKUP(E108,Specifications!$A$2:$D$9,3,FALSE),"")</f>
        <v/>
      </c>
      <c r="O108" s="5" t="str">
        <f>IFERROR(VLOOKUP(E108,Specifications!$A$2:$D$9,4,FALSE),"")</f>
        <v/>
      </c>
      <c r="P108" s="8" t="str">
        <f t="shared" si="6"/>
        <v/>
      </c>
      <c r="Q108" s="9"/>
    </row>
    <row r="109" spans="1:17" ht="15">
      <c r="A109" s="5" t="str">
        <f t="shared" si="4"/>
        <v/>
      </c>
      <c r="B109" s="6"/>
      <c r="C109" s="5" t="str">
        <f>IFERROR(VLOOKUP(B109,Lists!$A$2:$B$25,2,FALSE),"")</f>
        <v/>
      </c>
      <c r="D109" s="7"/>
      <c r="E109" s="6"/>
      <c r="F109" s="6" t="str">
        <f t="shared" si="5"/>
        <v/>
      </c>
      <c r="G109" s="6"/>
      <c r="H109" s="6"/>
      <c r="I109" s="6"/>
      <c r="J109" s="7"/>
      <c r="K109" s="5" t="str" cm="1">
        <f t="array" ref="K109">IF(OR(A109="",B109="",D109="",E109=""),"",A109&amp;"_"&amp;SUBSTITUTE(B109," ","-")&amp;"_"&amp;D109&amp;"_"&amp;SUBSTITUTE(SUBSTITUTE(E109," ",""),"€","Euro")&amp;"_"&amp;IF(F109="","Unknown",F109)&amp;IF(F109="Commemorative",IF(G109="","","_"&amp;SUBSTITUTE(SUBSTITUTE(SUBSTITUTE(G109," ","-"),"/","-"),CHAR(39),"")),"")&amp;IF(I109="Duplicate","_Dub"&amp;IF(SUMPRODUCT(($B$2:B109=B109)*($D$2:D109=D109)*($E$2:E109=E109)*($F$2:F109=F109)*($G$2:G109=G109)*($I$2:I109="Duplicate"))&lt;=1,"",SUMPRODUCT(($B$2:B109=B109)*($D$2:D109=D109)*($E$2:E109=E109)*($F$2:F109=F109)*($G$2:G109=G109)*($I$2:I109="Duplicate"))-1),"")&amp;".jpeg")</f>
        <v/>
      </c>
      <c r="L109" s="6"/>
      <c r="M109" s="5" t="str">
        <f>IFERROR(VLOOKUP(E109,Specifications!$A$2:$D$9,2,FALSE),"")</f>
        <v/>
      </c>
      <c r="N109" s="5" t="str">
        <f>IFERROR(VLOOKUP(E109,Specifications!$A$2:$D$9,3,FALSE),"")</f>
        <v/>
      </c>
      <c r="O109" s="5" t="str">
        <f>IFERROR(VLOOKUP(E109,Specifications!$A$2:$D$9,4,FALSE),"")</f>
        <v/>
      </c>
      <c r="P109" s="8" t="str">
        <f t="shared" si="6"/>
        <v/>
      </c>
      <c r="Q109" s="9"/>
    </row>
    <row r="110" spans="1:17" ht="15">
      <c r="A110" s="5" t="str">
        <f t="shared" si="4"/>
        <v/>
      </c>
      <c r="B110" s="6"/>
      <c r="C110" s="5" t="str">
        <f>IFERROR(VLOOKUP(B110,Lists!$A$2:$B$25,2,FALSE),"")</f>
        <v/>
      </c>
      <c r="D110" s="7"/>
      <c r="E110" s="6"/>
      <c r="F110" s="6" t="str">
        <f t="shared" si="5"/>
        <v/>
      </c>
      <c r="G110" s="6"/>
      <c r="H110" s="6"/>
      <c r="I110" s="6"/>
      <c r="J110" s="7"/>
      <c r="K110" s="5" t="str" cm="1">
        <f t="array" ref="K110">IF(OR(A110="",B110="",D110="",E110=""),"",A110&amp;"_"&amp;SUBSTITUTE(B110," ","-")&amp;"_"&amp;D110&amp;"_"&amp;SUBSTITUTE(SUBSTITUTE(E110," ",""),"€","Euro")&amp;"_"&amp;IF(F110="","Unknown",F110)&amp;IF(F110="Commemorative",IF(G110="","","_"&amp;SUBSTITUTE(SUBSTITUTE(SUBSTITUTE(G110," ","-"),"/","-"),CHAR(39),"")),"")&amp;IF(I110="Duplicate","_Dub"&amp;IF(SUMPRODUCT(($B$2:B110=B110)*($D$2:D110=D110)*($E$2:E110=E110)*($F$2:F110=F110)*($G$2:G110=G110)*($I$2:I110="Duplicate"))&lt;=1,"",SUMPRODUCT(($B$2:B110=B110)*($D$2:D110=D110)*($E$2:E110=E110)*($F$2:F110=F110)*($G$2:G110=G110)*($I$2:I110="Duplicate"))-1),"")&amp;".jpeg")</f>
        <v/>
      </c>
      <c r="L110" s="6"/>
      <c r="M110" s="5" t="str">
        <f>IFERROR(VLOOKUP(E110,Specifications!$A$2:$D$9,2,FALSE),"")</f>
        <v/>
      </c>
      <c r="N110" s="5" t="str">
        <f>IFERROR(VLOOKUP(E110,Specifications!$A$2:$D$9,3,FALSE),"")</f>
        <v/>
      </c>
      <c r="O110" s="5" t="str">
        <f>IFERROR(VLOOKUP(E110,Specifications!$A$2:$D$9,4,FALSE),"")</f>
        <v/>
      </c>
      <c r="P110" s="8" t="str">
        <f t="shared" si="6"/>
        <v/>
      </c>
      <c r="Q110" s="9"/>
    </row>
    <row r="111" spans="1:17" ht="15">
      <c r="A111" s="5" t="str">
        <f t="shared" si="4"/>
        <v/>
      </c>
      <c r="B111" s="6"/>
      <c r="C111" s="5" t="str">
        <f>IFERROR(VLOOKUP(B111,Lists!$A$2:$B$25,2,FALSE),"")</f>
        <v/>
      </c>
      <c r="D111" s="7"/>
      <c r="E111" s="6"/>
      <c r="F111" s="6" t="str">
        <f t="shared" si="5"/>
        <v/>
      </c>
      <c r="G111" s="6"/>
      <c r="H111" s="6"/>
      <c r="I111" s="6"/>
      <c r="J111" s="7"/>
      <c r="K111" s="5" t="str" cm="1">
        <f t="array" ref="K111">IF(OR(A111="",B111="",D111="",E111=""),"",A111&amp;"_"&amp;SUBSTITUTE(B111," ","-")&amp;"_"&amp;D111&amp;"_"&amp;SUBSTITUTE(SUBSTITUTE(E111," ",""),"€","Euro")&amp;"_"&amp;IF(F111="","Unknown",F111)&amp;IF(F111="Commemorative",IF(G111="","","_"&amp;SUBSTITUTE(SUBSTITUTE(SUBSTITUTE(G111," ","-"),"/","-"),CHAR(39),"")),"")&amp;IF(I111="Duplicate","_Dub"&amp;IF(SUMPRODUCT(($B$2:B111=B111)*($D$2:D111=D111)*($E$2:E111=E111)*($F$2:F111=F111)*($G$2:G111=G111)*($I$2:I111="Duplicate"))&lt;=1,"",SUMPRODUCT(($B$2:B111=B111)*($D$2:D111=D111)*($E$2:E111=E111)*($F$2:F111=F111)*($G$2:G111=G111)*($I$2:I111="Duplicate"))-1),"")&amp;".jpeg")</f>
        <v/>
      </c>
      <c r="L111" s="6"/>
      <c r="M111" s="5" t="str">
        <f>IFERROR(VLOOKUP(E111,Specifications!$A$2:$D$9,2,FALSE),"")</f>
        <v/>
      </c>
      <c r="N111" s="5" t="str">
        <f>IFERROR(VLOOKUP(E111,Specifications!$A$2:$D$9,3,FALSE),"")</f>
        <v/>
      </c>
      <c r="O111" s="5" t="str">
        <f>IFERROR(VLOOKUP(E111,Specifications!$A$2:$D$9,4,FALSE),"")</f>
        <v/>
      </c>
      <c r="P111" s="8" t="str">
        <f t="shared" si="6"/>
        <v/>
      </c>
      <c r="Q111" s="9"/>
    </row>
    <row r="112" spans="1:17" ht="15">
      <c r="A112" s="5" t="str">
        <f t="shared" si="4"/>
        <v/>
      </c>
      <c r="B112" s="6"/>
      <c r="C112" s="5" t="str">
        <f>IFERROR(VLOOKUP(B112,Lists!$A$2:$B$25,2,FALSE),"")</f>
        <v/>
      </c>
      <c r="D112" s="7"/>
      <c r="E112" s="6"/>
      <c r="F112" s="6" t="str">
        <f t="shared" si="5"/>
        <v/>
      </c>
      <c r="G112" s="6"/>
      <c r="H112" s="6"/>
      <c r="I112" s="6"/>
      <c r="J112" s="7"/>
      <c r="K112" s="5" t="str" cm="1">
        <f t="array" ref="K112">IF(OR(A112="",B112="",D112="",E112=""),"",A112&amp;"_"&amp;SUBSTITUTE(B112," ","-")&amp;"_"&amp;D112&amp;"_"&amp;SUBSTITUTE(SUBSTITUTE(E112," ",""),"€","Euro")&amp;"_"&amp;IF(F112="","Unknown",F112)&amp;IF(F112="Commemorative",IF(G112="","","_"&amp;SUBSTITUTE(SUBSTITUTE(SUBSTITUTE(G112," ","-"),"/","-"),CHAR(39),"")),"")&amp;IF(I112="Duplicate","_Dub"&amp;IF(SUMPRODUCT(($B$2:B112=B112)*($D$2:D112=D112)*($E$2:E112=E112)*($F$2:F112=F112)*($G$2:G112=G112)*($I$2:I112="Duplicate"))&lt;=1,"",SUMPRODUCT(($B$2:B112=B112)*($D$2:D112=D112)*($E$2:E112=E112)*($F$2:F112=F112)*($G$2:G112=G112)*($I$2:I112="Duplicate"))-1),"")&amp;".jpeg")</f>
        <v/>
      </c>
      <c r="L112" s="6"/>
      <c r="M112" s="5" t="str">
        <f>IFERROR(VLOOKUP(E112,Specifications!$A$2:$D$9,2,FALSE),"")</f>
        <v/>
      </c>
      <c r="N112" s="5" t="str">
        <f>IFERROR(VLOOKUP(E112,Specifications!$A$2:$D$9,3,FALSE),"")</f>
        <v/>
      </c>
      <c r="O112" s="5" t="str">
        <f>IFERROR(VLOOKUP(E112,Specifications!$A$2:$D$9,4,FALSE),"")</f>
        <v/>
      </c>
      <c r="P112" s="8" t="str">
        <f t="shared" si="6"/>
        <v/>
      </c>
      <c r="Q112" s="9"/>
    </row>
    <row r="113" spans="1:17" ht="15">
      <c r="A113" s="5" t="str">
        <f t="shared" si="4"/>
        <v/>
      </c>
      <c r="B113" s="6"/>
      <c r="C113" s="5" t="str">
        <f>IFERROR(VLOOKUP(B113,Lists!$A$2:$B$25,2,FALSE),"")</f>
        <v/>
      </c>
      <c r="D113" s="7"/>
      <c r="E113" s="6"/>
      <c r="F113" s="6" t="str">
        <f t="shared" si="5"/>
        <v/>
      </c>
      <c r="G113" s="6"/>
      <c r="H113" s="6"/>
      <c r="I113" s="6"/>
      <c r="J113" s="7"/>
      <c r="K113" s="5" t="str" cm="1">
        <f t="array" ref="K113">IF(OR(A113="",B113="",D113="",E113=""),"",A113&amp;"_"&amp;SUBSTITUTE(B113," ","-")&amp;"_"&amp;D113&amp;"_"&amp;SUBSTITUTE(SUBSTITUTE(E113," ",""),"€","Euro")&amp;"_"&amp;IF(F113="","Unknown",F113)&amp;IF(F113="Commemorative",IF(G113="","","_"&amp;SUBSTITUTE(SUBSTITUTE(SUBSTITUTE(G113," ","-"),"/","-"),CHAR(39),"")),"")&amp;IF(I113="Duplicate","_Dub"&amp;IF(SUMPRODUCT(($B$2:B113=B113)*($D$2:D113=D113)*($E$2:E113=E113)*($F$2:F113=F113)*($G$2:G113=G113)*($I$2:I113="Duplicate"))&lt;=1,"",SUMPRODUCT(($B$2:B113=B113)*($D$2:D113=D113)*($E$2:E113=E113)*($F$2:F113=F113)*($G$2:G113=G113)*($I$2:I113="Duplicate"))-1),"")&amp;".jpeg")</f>
        <v/>
      </c>
      <c r="L113" s="6"/>
      <c r="M113" s="5" t="str">
        <f>IFERROR(VLOOKUP(E113,Specifications!$A$2:$D$9,2,FALSE),"")</f>
        <v/>
      </c>
      <c r="N113" s="5" t="str">
        <f>IFERROR(VLOOKUP(E113,Specifications!$A$2:$D$9,3,FALSE),"")</f>
        <v/>
      </c>
      <c r="O113" s="5" t="str">
        <f>IFERROR(VLOOKUP(E113,Specifications!$A$2:$D$9,4,FALSE),"")</f>
        <v/>
      </c>
      <c r="P113" s="8" t="str">
        <f t="shared" si="6"/>
        <v/>
      </c>
      <c r="Q113" s="9"/>
    </row>
    <row r="114" spans="1:17" ht="15">
      <c r="A114" s="5" t="str">
        <f t="shared" si="4"/>
        <v/>
      </c>
      <c r="B114" s="6"/>
      <c r="C114" s="5" t="str">
        <f>IFERROR(VLOOKUP(B114,Lists!$A$2:$B$25,2,FALSE),"")</f>
        <v/>
      </c>
      <c r="D114" s="7"/>
      <c r="E114" s="6"/>
      <c r="F114" s="6" t="str">
        <f t="shared" si="5"/>
        <v/>
      </c>
      <c r="G114" s="6"/>
      <c r="H114" s="6"/>
      <c r="I114" s="6"/>
      <c r="J114" s="7"/>
      <c r="K114" s="5" t="str" cm="1">
        <f t="array" ref="K114">IF(OR(A114="",B114="",D114="",E114=""),"",A114&amp;"_"&amp;SUBSTITUTE(B114," ","-")&amp;"_"&amp;D114&amp;"_"&amp;SUBSTITUTE(SUBSTITUTE(E114," ",""),"€","Euro")&amp;"_"&amp;IF(F114="","Unknown",F114)&amp;IF(F114="Commemorative",IF(G114="","","_"&amp;SUBSTITUTE(SUBSTITUTE(SUBSTITUTE(G114," ","-"),"/","-"),CHAR(39),"")),"")&amp;IF(I114="Duplicate","_Dub"&amp;IF(SUMPRODUCT(($B$2:B114=B114)*($D$2:D114=D114)*($E$2:E114=E114)*($F$2:F114=F114)*($G$2:G114=G114)*($I$2:I114="Duplicate"))&lt;=1,"",SUMPRODUCT(($B$2:B114=B114)*($D$2:D114=D114)*($E$2:E114=E114)*($F$2:F114=F114)*($G$2:G114=G114)*($I$2:I114="Duplicate"))-1),"")&amp;".jpeg")</f>
        <v/>
      </c>
      <c r="L114" s="6"/>
      <c r="M114" s="5" t="str">
        <f>IFERROR(VLOOKUP(E114,Specifications!$A$2:$D$9,2,FALSE),"")</f>
        <v/>
      </c>
      <c r="N114" s="5" t="str">
        <f>IFERROR(VLOOKUP(E114,Specifications!$A$2:$D$9,3,FALSE),"")</f>
        <v/>
      </c>
      <c r="O114" s="5" t="str">
        <f>IFERROR(VLOOKUP(E114,Specifications!$A$2:$D$9,4,FALSE),"")</f>
        <v/>
      </c>
      <c r="P114" s="8" t="str">
        <f t="shared" si="6"/>
        <v/>
      </c>
      <c r="Q114" s="9"/>
    </row>
    <row r="115" spans="1:17" ht="15">
      <c r="A115" s="5" t="str">
        <f t="shared" si="4"/>
        <v/>
      </c>
      <c r="B115" s="6"/>
      <c r="C115" s="5" t="str">
        <f>IFERROR(VLOOKUP(B115,Lists!$A$2:$B$25,2,FALSE),"")</f>
        <v/>
      </c>
      <c r="D115" s="7"/>
      <c r="E115" s="6"/>
      <c r="F115" s="6" t="str">
        <f t="shared" si="5"/>
        <v/>
      </c>
      <c r="G115" s="6"/>
      <c r="H115" s="6"/>
      <c r="I115" s="6"/>
      <c r="J115" s="7"/>
      <c r="K115" s="5" t="str" cm="1">
        <f t="array" ref="K115">IF(OR(A115="",B115="",D115="",E115=""),"",A115&amp;"_"&amp;SUBSTITUTE(B115," ","-")&amp;"_"&amp;D115&amp;"_"&amp;SUBSTITUTE(SUBSTITUTE(E115," ",""),"€","Euro")&amp;"_"&amp;IF(F115="","Unknown",F115)&amp;IF(F115="Commemorative",IF(G115="","","_"&amp;SUBSTITUTE(SUBSTITUTE(SUBSTITUTE(G115," ","-"),"/","-"),CHAR(39),"")),"")&amp;IF(I115="Duplicate","_Dub"&amp;IF(SUMPRODUCT(($B$2:B115=B115)*($D$2:D115=D115)*($E$2:E115=E115)*($F$2:F115=F115)*($G$2:G115=G115)*($I$2:I115="Duplicate"))&lt;=1,"",SUMPRODUCT(($B$2:B115=B115)*($D$2:D115=D115)*($E$2:E115=E115)*($F$2:F115=F115)*($G$2:G115=G115)*($I$2:I115="Duplicate"))-1),"")&amp;".jpeg")</f>
        <v/>
      </c>
      <c r="L115" s="6"/>
      <c r="M115" s="5" t="str">
        <f>IFERROR(VLOOKUP(E115,Specifications!$A$2:$D$9,2,FALSE),"")</f>
        <v/>
      </c>
      <c r="N115" s="5" t="str">
        <f>IFERROR(VLOOKUP(E115,Specifications!$A$2:$D$9,3,FALSE),"")</f>
        <v/>
      </c>
      <c r="O115" s="5" t="str">
        <f>IFERROR(VLOOKUP(E115,Specifications!$A$2:$D$9,4,FALSE),"")</f>
        <v/>
      </c>
      <c r="P115" s="8" t="str">
        <f t="shared" si="6"/>
        <v/>
      </c>
      <c r="Q115" s="9"/>
    </row>
    <row r="116" spans="1:17" ht="15">
      <c r="A116" s="5" t="str">
        <f t="shared" si="4"/>
        <v/>
      </c>
      <c r="B116" s="6"/>
      <c r="C116" s="5" t="str">
        <f>IFERROR(VLOOKUP(B116,Lists!$A$2:$B$25,2,FALSE),"")</f>
        <v/>
      </c>
      <c r="D116" s="7"/>
      <c r="E116" s="6"/>
      <c r="F116" s="6" t="str">
        <f t="shared" si="5"/>
        <v/>
      </c>
      <c r="G116" s="6"/>
      <c r="H116" s="6"/>
      <c r="I116" s="6"/>
      <c r="J116" s="7"/>
      <c r="K116" s="5" t="str" cm="1">
        <f t="array" ref="K116">IF(OR(A116="",B116="",D116="",E116=""),"",A116&amp;"_"&amp;SUBSTITUTE(B116," ","-")&amp;"_"&amp;D116&amp;"_"&amp;SUBSTITUTE(SUBSTITUTE(E116," ",""),"€","Euro")&amp;"_"&amp;IF(F116="","Unknown",F116)&amp;IF(F116="Commemorative",IF(G116="","","_"&amp;SUBSTITUTE(SUBSTITUTE(SUBSTITUTE(G116," ","-"),"/","-"),CHAR(39),"")),"")&amp;IF(I116="Duplicate","_Dub"&amp;IF(SUMPRODUCT(($B$2:B116=B116)*($D$2:D116=D116)*($E$2:E116=E116)*($F$2:F116=F116)*($G$2:G116=G116)*($I$2:I116="Duplicate"))&lt;=1,"",SUMPRODUCT(($B$2:B116=B116)*($D$2:D116=D116)*($E$2:E116=E116)*($F$2:F116=F116)*($G$2:G116=G116)*($I$2:I116="Duplicate"))-1),"")&amp;".jpeg")</f>
        <v/>
      </c>
      <c r="L116" s="6"/>
      <c r="M116" s="5" t="str">
        <f>IFERROR(VLOOKUP(E116,Specifications!$A$2:$D$9,2,FALSE),"")</f>
        <v/>
      </c>
      <c r="N116" s="5" t="str">
        <f>IFERROR(VLOOKUP(E116,Specifications!$A$2:$D$9,3,FALSE),"")</f>
        <v/>
      </c>
      <c r="O116" s="5" t="str">
        <f>IFERROR(VLOOKUP(E116,Specifications!$A$2:$D$9,4,FALSE),"")</f>
        <v/>
      </c>
      <c r="P116" s="8" t="str">
        <f t="shared" si="6"/>
        <v/>
      </c>
      <c r="Q116" s="9"/>
    </row>
    <row r="117" spans="1:17" ht="15">
      <c r="A117" s="5" t="str">
        <f t="shared" si="4"/>
        <v/>
      </c>
      <c r="B117" s="6"/>
      <c r="C117" s="5" t="str">
        <f>IFERROR(VLOOKUP(B117,Lists!$A$2:$B$25,2,FALSE),"")</f>
        <v/>
      </c>
      <c r="D117" s="7"/>
      <c r="E117" s="6"/>
      <c r="F117" s="6" t="str">
        <f t="shared" si="5"/>
        <v/>
      </c>
      <c r="G117" s="6"/>
      <c r="H117" s="6"/>
      <c r="I117" s="6"/>
      <c r="J117" s="7"/>
      <c r="K117" s="5" t="str" cm="1">
        <f t="array" ref="K117">IF(OR(A117="",B117="",D117="",E117=""),"",A117&amp;"_"&amp;SUBSTITUTE(B117," ","-")&amp;"_"&amp;D117&amp;"_"&amp;SUBSTITUTE(SUBSTITUTE(E117," ",""),"€","Euro")&amp;"_"&amp;IF(F117="","Unknown",F117)&amp;IF(F117="Commemorative",IF(G117="","","_"&amp;SUBSTITUTE(SUBSTITUTE(SUBSTITUTE(G117," ","-"),"/","-"),CHAR(39),"")),"")&amp;IF(I117="Duplicate","_Dub"&amp;IF(SUMPRODUCT(($B$2:B117=B117)*($D$2:D117=D117)*($E$2:E117=E117)*($F$2:F117=F117)*($G$2:G117=G117)*($I$2:I117="Duplicate"))&lt;=1,"",SUMPRODUCT(($B$2:B117=B117)*($D$2:D117=D117)*($E$2:E117=E117)*($F$2:F117=F117)*($G$2:G117=G117)*($I$2:I117="Duplicate"))-1),"")&amp;".jpeg")</f>
        <v/>
      </c>
      <c r="L117" s="6"/>
      <c r="M117" s="5" t="str">
        <f>IFERROR(VLOOKUP(E117,Specifications!$A$2:$D$9,2,FALSE),"")</f>
        <v/>
      </c>
      <c r="N117" s="5" t="str">
        <f>IFERROR(VLOOKUP(E117,Specifications!$A$2:$D$9,3,FALSE),"")</f>
        <v/>
      </c>
      <c r="O117" s="5" t="str">
        <f>IFERROR(VLOOKUP(E117,Specifications!$A$2:$D$9,4,FALSE),"")</f>
        <v/>
      </c>
      <c r="P117" s="8" t="str">
        <f t="shared" si="6"/>
        <v/>
      </c>
      <c r="Q117" s="9"/>
    </row>
    <row r="118" spans="1:17" ht="15">
      <c r="A118" s="5" t="str">
        <f t="shared" si="4"/>
        <v/>
      </c>
      <c r="B118" s="6"/>
      <c r="C118" s="5" t="str">
        <f>IFERROR(VLOOKUP(B118,Lists!$A$2:$B$25,2,FALSE),"")</f>
        <v/>
      </c>
      <c r="D118" s="7"/>
      <c r="E118" s="6"/>
      <c r="F118" s="6" t="str">
        <f t="shared" si="5"/>
        <v/>
      </c>
      <c r="G118" s="6"/>
      <c r="H118" s="6"/>
      <c r="I118" s="6"/>
      <c r="J118" s="7"/>
      <c r="K118" s="5" t="str" cm="1">
        <f t="array" ref="K118">IF(OR(A118="",B118="",D118="",E118=""),"",A118&amp;"_"&amp;SUBSTITUTE(B118," ","-")&amp;"_"&amp;D118&amp;"_"&amp;SUBSTITUTE(SUBSTITUTE(E118," ",""),"€","Euro")&amp;"_"&amp;IF(F118="","Unknown",F118)&amp;IF(F118="Commemorative",IF(G118="","","_"&amp;SUBSTITUTE(SUBSTITUTE(SUBSTITUTE(G118," ","-"),"/","-"),CHAR(39),"")),"")&amp;IF(I118="Duplicate","_Dub"&amp;IF(SUMPRODUCT(($B$2:B118=B118)*($D$2:D118=D118)*($E$2:E118=E118)*($F$2:F118=F118)*($G$2:G118=G118)*($I$2:I118="Duplicate"))&lt;=1,"",SUMPRODUCT(($B$2:B118=B118)*($D$2:D118=D118)*($E$2:E118=E118)*($F$2:F118=F118)*($G$2:G118=G118)*($I$2:I118="Duplicate"))-1),"")&amp;".jpeg")</f>
        <v/>
      </c>
      <c r="L118" s="6"/>
      <c r="M118" s="5" t="str">
        <f>IFERROR(VLOOKUP(E118,Specifications!$A$2:$D$9,2,FALSE),"")</f>
        <v/>
      </c>
      <c r="N118" s="5" t="str">
        <f>IFERROR(VLOOKUP(E118,Specifications!$A$2:$D$9,3,FALSE),"")</f>
        <v/>
      </c>
      <c r="O118" s="5" t="str">
        <f>IFERROR(VLOOKUP(E118,Specifications!$A$2:$D$9,4,FALSE),"")</f>
        <v/>
      </c>
      <c r="P118" s="8" t="str">
        <f t="shared" si="6"/>
        <v/>
      </c>
      <c r="Q118" s="9"/>
    </row>
    <row r="119" spans="1:17" ht="15">
      <c r="A119" s="5" t="str">
        <f t="shared" si="4"/>
        <v/>
      </c>
      <c r="B119" s="6"/>
      <c r="C119" s="5" t="str">
        <f>IFERROR(VLOOKUP(B119,Lists!$A$2:$B$25,2,FALSE),"")</f>
        <v/>
      </c>
      <c r="D119" s="7"/>
      <c r="E119" s="6"/>
      <c r="F119" s="6" t="str">
        <f t="shared" si="5"/>
        <v/>
      </c>
      <c r="G119" s="6"/>
      <c r="H119" s="6"/>
      <c r="I119" s="6"/>
      <c r="J119" s="7"/>
      <c r="K119" s="5" t="str" cm="1">
        <f t="array" ref="K119">IF(OR(A119="",B119="",D119="",E119=""),"",A119&amp;"_"&amp;SUBSTITUTE(B119," ","-")&amp;"_"&amp;D119&amp;"_"&amp;SUBSTITUTE(SUBSTITUTE(E119," ",""),"€","Euro")&amp;"_"&amp;IF(F119="","Unknown",F119)&amp;IF(F119="Commemorative",IF(G119="","","_"&amp;SUBSTITUTE(SUBSTITUTE(SUBSTITUTE(G119," ","-"),"/","-"),CHAR(39),"")),"")&amp;IF(I119="Duplicate","_Dub"&amp;IF(SUMPRODUCT(($B$2:B119=B119)*($D$2:D119=D119)*($E$2:E119=E119)*($F$2:F119=F119)*($G$2:G119=G119)*($I$2:I119="Duplicate"))&lt;=1,"",SUMPRODUCT(($B$2:B119=B119)*($D$2:D119=D119)*($E$2:E119=E119)*($F$2:F119=F119)*($G$2:G119=G119)*($I$2:I119="Duplicate"))-1),"")&amp;".jpeg")</f>
        <v/>
      </c>
      <c r="L119" s="6"/>
      <c r="M119" s="5" t="str">
        <f>IFERROR(VLOOKUP(E119,Specifications!$A$2:$D$9,2,FALSE),"")</f>
        <v/>
      </c>
      <c r="N119" s="5" t="str">
        <f>IFERROR(VLOOKUP(E119,Specifications!$A$2:$D$9,3,FALSE),"")</f>
        <v/>
      </c>
      <c r="O119" s="5" t="str">
        <f>IFERROR(VLOOKUP(E119,Specifications!$A$2:$D$9,4,FALSE),"")</f>
        <v/>
      </c>
      <c r="P119" s="8" t="str">
        <f t="shared" si="6"/>
        <v/>
      </c>
      <c r="Q119" s="9"/>
    </row>
    <row r="120" spans="1:17" ht="15">
      <c r="A120" s="5" t="str">
        <f t="shared" si="4"/>
        <v/>
      </c>
      <c r="B120" s="6"/>
      <c r="C120" s="5" t="str">
        <f>IFERROR(VLOOKUP(B120,Lists!$A$2:$B$25,2,FALSE),"")</f>
        <v/>
      </c>
      <c r="D120" s="7"/>
      <c r="E120" s="6"/>
      <c r="F120" s="6" t="str">
        <f t="shared" si="5"/>
        <v/>
      </c>
      <c r="G120" s="6"/>
      <c r="H120" s="6"/>
      <c r="I120" s="6"/>
      <c r="J120" s="7"/>
      <c r="K120" s="5" t="str" cm="1">
        <f t="array" ref="K120">IF(OR(A120="",B120="",D120="",E120=""),"",A120&amp;"_"&amp;SUBSTITUTE(B120," ","-")&amp;"_"&amp;D120&amp;"_"&amp;SUBSTITUTE(SUBSTITUTE(E120," ",""),"€","Euro")&amp;"_"&amp;IF(F120="","Unknown",F120)&amp;IF(F120="Commemorative",IF(G120="","","_"&amp;SUBSTITUTE(SUBSTITUTE(SUBSTITUTE(G120," ","-"),"/","-"),CHAR(39),"")),"")&amp;IF(I120="Duplicate","_Dub"&amp;IF(SUMPRODUCT(($B$2:B120=B120)*($D$2:D120=D120)*($E$2:E120=E120)*($F$2:F120=F120)*($G$2:G120=G120)*($I$2:I120="Duplicate"))&lt;=1,"",SUMPRODUCT(($B$2:B120=B120)*($D$2:D120=D120)*($E$2:E120=E120)*($F$2:F120=F120)*($G$2:G120=G120)*($I$2:I120="Duplicate"))-1),"")&amp;".jpeg")</f>
        <v/>
      </c>
      <c r="L120" s="6"/>
      <c r="M120" s="5" t="str">
        <f>IFERROR(VLOOKUP(E120,Specifications!$A$2:$D$9,2,FALSE),"")</f>
        <v/>
      </c>
      <c r="N120" s="5" t="str">
        <f>IFERROR(VLOOKUP(E120,Specifications!$A$2:$D$9,3,FALSE),"")</f>
        <v/>
      </c>
      <c r="O120" s="5" t="str">
        <f>IFERROR(VLOOKUP(E120,Specifications!$A$2:$D$9,4,FALSE),"")</f>
        <v/>
      </c>
      <c r="P120" s="8" t="str">
        <f t="shared" si="6"/>
        <v/>
      </c>
      <c r="Q120" s="9"/>
    </row>
    <row r="121" spans="1:17" ht="15">
      <c r="A121" s="5" t="str">
        <f t="shared" si="4"/>
        <v/>
      </c>
      <c r="B121" s="6"/>
      <c r="C121" s="5" t="str">
        <f>IFERROR(VLOOKUP(B121,Lists!$A$2:$B$25,2,FALSE),"")</f>
        <v/>
      </c>
      <c r="D121" s="7"/>
      <c r="E121" s="6"/>
      <c r="F121" s="6" t="str">
        <f t="shared" si="5"/>
        <v/>
      </c>
      <c r="G121" s="6"/>
      <c r="H121" s="6"/>
      <c r="I121" s="6"/>
      <c r="J121" s="7"/>
      <c r="K121" s="5" t="str" cm="1">
        <f t="array" ref="K121">IF(OR(A121="",B121="",D121="",E121=""),"",A121&amp;"_"&amp;SUBSTITUTE(B121," ","-")&amp;"_"&amp;D121&amp;"_"&amp;SUBSTITUTE(SUBSTITUTE(E121," ",""),"€","Euro")&amp;"_"&amp;IF(F121="","Unknown",F121)&amp;IF(F121="Commemorative",IF(G121="","","_"&amp;SUBSTITUTE(SUBSTITUTE(SUBSTITUTE(G121," ","-"),"/","-"),CHAR(39),"")),"")&amp;IF(I121="Duplicate","_Dub"&amp;IF(SUMPRODUCT(($B$2:B121=B121)*($D$2:D121=D121)*($E$2:E121=E121)*($F$2:F121=F121)*($G$2:G121=G121)*($I$2:I121="Duplicate"))&lt;=1,"",SUMPRODUCT(($B$2:B121=B121)*($D$2:D121=D121)*($E$2:E121=E121)*($F$2:F121=F121)*($G$2:G121=G121)*($I$2:I121="Duplicate"))-1),"")&amp;".jpeg")</f>
        <v/>
      </c>
      <c r="L121" s="6"/>
      <c r="M121" s="5" t="str">
        <f>IFERROR(VLOOKUP(E121,Specifications!$A$2:$D$9,2,FALSE),"")</f>
        <v/>
      </c>
      <c r="N121" s="5" t="str">
        <f>IFERROR(VLOOKUP(E121,Specifications!$A$2:$D$9,3,FALSE),"")</f>
        <v/>
      </c>
      <c r="O121" s="5" t="str">
        <f>IFERROR(VLOOKUP(E121,Specifications!$A$2:$D$9,4,FALSE),"")</f>
        <v/>
      </c>
      <c r="P121" s="8" t="str">
        <f t="shared" si="6"/>
        <v/>
      </c>
      <c r="Q121" s="9"/>
    </row>
    <row r="122" spans="1:17" ht="15">
      <c r="A122" s="5" t="str">
        <f t="shared" si="4"/>
        <v/>
      </c>
      <c r="B122" s="6"/>
      <c r="C122" s="5" t="str">
        <f>IFERROR(VLOOKUP(B122,Lists!$A$2:$B$25,2,FALSE),"")</f>
        <v/>
      </c>
      <c r="D122" s="7"/>
      <c r="E122" s="6"/>
      <c r="F122" s="6" t="str">
        <f t="shared" si="5"/>
        <v/>
      </c>
      <c r="G122" s="6"/>
      <c r="H122" s="6"/>
      <c r="I122" s="6"/>
      <c r="J122" s="7"/>
      <c r="K122" s="5" t="str" cm="1">
        <f t="array" ref="K122">IF(OR(A122="",B122="",D122="",E122=""),"",A122&amp;"_"&amp;SUBSTITUTE(B122," ","-")&amp;"_"&amp;D122&amp;"_"&amp;SUBSTITUTE(SUBSTITUTE(E122," ",""),"€","Euro")&amp;"_"&amp;IF(F122="","Unknown",F122)&amp;IF(F122="Commemorative",IF(G122="","","_"&amp;SUBSTITUTE(SUBSTITUTE(SUBSTITUTE(G122," ","-"),"/","-"),CHAR(39),"")),"")&amp;IF(I122="Duplicate","_Dub"&amp;IF(SUMPRODUCT(($B$2:B122=B122)*($D$2:D122=D122)*($E$2:E122=E122)*($F$2:F122=F122)*($G$2:G122=G122)*($I$2:I122="Duplicate"))&lt;=1,"",SUMPRODUCT(($B$2:B122=B122)*($D$2:D122=D122)*($E$2:E122=E122)*($F$2:F122=F122)*($G$2:G122=G122)*($I$2:I122="Duplicate"))-1),"")&amp;".jpeg")</f>
        <v/>
      </c>
      <c r="L122" s="6"/>
      <c r="M122" s="5" t="str">
        <f>IFERROR(VLOOKUP(E122,Specifications!$A$2:$D$9,2,FALSE),"")</f>
        <v/>
      </c>
      <c r="N122" s="5" t="str">
        <f>IFERROR(VLOOKUP(E122,Specifications!$A$2:$D$9,3,FALSE),"")</f>
        <v/>
      </c>
      <c r="O122" s="5" t="str">
        <f>IFERROR(VLOOKUP(E122,Specifications!$A$2:$D$9,4,FALSE),"")</f>
        <v/>
      </c>
      <c r="P122" s="8" t="str">
        <f t="shared" si="6"/>
        <v/>
      </c>
      <c r="Q122" s="9"/>
    </row>
    <row r="123" spans="1:17" ht="15">
      <c r="A123" s="5" t="str">
        <f t="shared" si="4"/>
        <v/>
      </c>
      <c r="B123" s="6"/>
      <c r="C123" s="5" t="str">
        <f>IFERROR(VLOOKUP(B123,Lists!$A$2:$B$25,2,FALSE),"")</f>
        <v/>
      </c>
      <c r="D123" s="7"/>
      <c r="E123" s="6"/>
      <c r="F123" s="6" t="str">
        <f t="shared" si="5"/>
        <v/>
      </c>
      <c r="G123" s="6"/>
      <c r="H123" s="6"/>
      <c r="I123" s="6"/>
      <c r="J123" s="7"/>
      <c r="K123" s="5" t="str" cm="1">
        <f t="array" ref="K123">IF(OR(A123="",B123="",D123="",E123=""),"",A123&amp;"_"&amp;SUBSTITUTE(B123," ","-")&amp;"_"&amp;D123&amp;"_"&amp;SUBSTITUTE(SUBSTITUTE(E123," ",""),"€","Euro")&amp;"_"&amp;IF(F123="","Unknown",F123)&amp;IF(F123="Commemorative",IF(G123="","","_"&amp;SUBSTITUTE(SUBSTITUTE(SUBSTITUTE(G123," ","-"),"/","-"),CHAR(39),"")),"")&amp;IF(I123="Duplicate","_Dub"&amp;IF(SUMPRODUCT(($B$2:B123=B123)*($D$2:D123=D123)*($E$2:E123=E123)*($F$2:F123=F123)*($G$2:G123=G123)*($I$2:I123="Duplicate"))&lt;=1,"",SUMPRODUCT(($B$2:B123=B123)*($D$2:D123=D123)*($E$2:E123=E123)*($F$2:F123=F123)*($G$2:G123=G123)*($I$2:I123="Duplicate"))-1),"")&amp;".jpeg")</f>
        <v/>
      </c>
      <c r="L123" s="6"/>
      <c r="M123" s="5" t="str">
        <f>IFERROR(VLOOKUP(E123,Specifications!$A$2:$D$9,2,FALSE),"")</f>
        <v/>
      </c>
      <c r="N123" s="5" t="str">
        <f>IFERROR(VLOOKUP(E123,Specifications!$A$2:$D$9,3,FALSE),"")</f>
        <v/>
      </c>
      <c r="O123" s="5" t="str">
        <f>IFERROR(VLOOKUP(E123,Specifications!$A$2:$D$9,4,FALSE),"")</f>
        <v/>
      </c>
      <c r="P123" s="8" t="str">
        <f t="shared" si="6"/>
        <v/>
      </c>
      <c r="Q123" s="9"/>
    </row>
    <row r="124" spans="1:17" ht="15">
      <c r="A124" s="5" t="str">
        <f t="shared" si="4"/>
        <v/>
      </c>
      <c r="B124" s="6"/>
      <c r="C124" s="5" t="str">
        <f>IFERROR(VLOOKUP(B124,Lists!$A$2:$B$25,2,FALSE),"")</f>
        <v/>
      </c>
      <c r="D124" s="7"/>
      <c r="E124" s="6"/>
      <c r="F124" s="6" t="str">
        <f t="shared" si="5"/>
        <v/>
      </c>
      <c r="G124" s="6"/>
      <c r="H124" s="6"/>
      <c r="I124" s="6"/>
      <c r="J124" s="7"/>
      <c r="K124" s="5" t="str" cm="1">
        <f t="array" ref="K124">IF(OR(A124="",B124="",D124="",E124=""),"",A124&amp;"_"&amp;SUBSTITUTE(B124," ","-")&amp;"_"&amp;D124&amp;"_"&amp;SUBSTITUTE(SUBSTITUTE(E124," ",""),"€","Euro")&amp;"_"&amp;IF(F124="","Unknown",F124)&amp;IF(F124="Commemorative",IF(G124="","","_"&amp;SUBSTITUTE(SUBSTITUTE(SUBSTITUTE(G124," ","-"),"/","-"),CHAR(39),"")),"")&amp;IF(I124="Duplicate","_Dub"&amp;IF(SUMPRODUCT(($B$2:B124=B124)*($D$2:D124=D124)*($E$2:E124=E124)*($F$2:F124=F124)*($G$2:G124=G124)*($I$2:I124="Duplicate"))&lt;=1,"",SUMPRODUCT(($B$2:B124=B124)*($D$2:D124=D124)*($E$2:E124=E124)*($F$2:F124=F124)*($G$2:G124=G124)*($I$2:I124="Duplicate"))-1),"")&amp;".jpeg")</f>
        <v/>
      </c>
      <c r="L124" s="6"/>
      <c r="M124" s="5" t="str">
        <f>IFERROR(VLOOKUP(E124,Specifications!$A$2:$D$9,2,FALSE),"")</f>
        <v/>
      </c>
      <c r="N124" s="5" t="str">
        <f>IFERROR(VLOOKUP(E124,Specifications!$A$2:$D$9,3,FALSE),"")</f>
        <v/>
      </c>
      <c r="O124" s="5" t="str">
        <f>IFERROR(VLOOKUP(E124,Specifications!$A$2:$D$9,4,FALSE),"")</f>
        <v/>
      </c>
      <c r="P124" s="8" t="str">
        <f t="shared" si="6"/>
        <v/>
      </c>
      <c r="Q124" s="9"/>
    </row>
    <row r="125" spans="1:17" ht="15">
      <c r="A125" s="5" t="str">
        <f t="shared" si="4"/>
        <v/>
      </c>
      <c r="B125" s="6"/>
      <c r="C125" s="5" t="str">
        <f>IFERROR(VLOOKUP(B125,Lists!$A$2:$B$25,2,FALSE),"")</f>
        <v/>
      </c>
      <c r="D125" s="7"/>
      <c r="E125" s="6"/>
      <c r="F125" s="6" t="str">
        <f t="shared" si="5"/>
        <v/>
      </c>
      <c r="G125" s="6"/>
      <c r="H125" s="6"/>
      <c r="I125" s="6"/>
      <c r="J125" s="7"/>
      <c r="K125" s="5" t="str" cm="1">
        <f t="array" ref="K125">IF(OR(A125="",B125="",D125="",E125=""),"",A125&amp;"_"&amp;SUBSTITUTE(B125," ","-")&amp;"_"&amp;D125&amp;"_"&amp;SUBSTITUTE(SUBSTITUTE(E125," ",""),"€","Euro")&amp;"_"&amp;IF(F125="","Unknown",F125)&amp;IF(F125="Commemorative",IF(G125="","","_"&amp;SUBSTITUTE(SUBSTITUTE(SUBSTITUTE(G125," ","-"),"/","-"),CHAR(39),"")),"")&amp;IF(I125="Duplicate","_Dub"&amp;IF(SUMPRODUCT(($B$2:B125=B125)*($D$2:D125=D125)*($E$2:E125=E125)*($F$2:F125=F125)*($G$2:G125=G125)*($I$2:I125="Duplicate"))&lt;=1,"",SUMPRODUCT(($B$2:B125=B125)*($D$2:D125=D125)*($E$2:E125=E125)*($F$2:F125=F125)*($G$2:G125=G125)*($I$2:I125="Duplicate"))-1),"")&amp;".jpeg")</f>
        <v/>
      </c>
      <c r="L125" s="6"/>
      <c r="M125" s="5" t="str">
        <f>IFERROR(VLOOKUP(E125,Specifications!$A$2:$D$9,2,FALSE),"")</f>
        <v/>
      </c>
      <c r="N125" s="5" t="str">
        <f>IFERROR(VLOOKUP(E125,Specifications!$A$2:$D$9,3,FALSE),"")</f>
        <v/>
      </c>
      <c r="O125" s="5" t="str">
        <f>IFERROR(VLOOKUP(E125,Specifications!$A$2:$D$9,4,FALSE),"")</f>
        <v/>
      </c>
      <c r="P125" s="8" t="str">
        <f t="shared" si="6"/>
        <v/>
      </c>
      <c r="Q125" s="9"/>
    </row>
    <row r="126" spans="1:17" ht="15">
      <c r="A126" s="5" t="str">
        <f t="shared" si="4"/>
        <v/>
      </c>
      <c r="B126" s="6"/>
      <c r="C126" s="5" t="str">
        <f>IFERROR(VLOOKUP(B126,Lists!$A$2:$B$25,2,FALSE),"")</f>
        <v/>
      </c>
      <c r="D126" s="7"/>
      <c r="E126" s="6"/>
      <c r="F126" s="6" t="str">
        <f t="shared" si="5"/>
        <v/>
      </c>
      <c r="G126" s="6"/>
      <c r="H126" s="6"/>
      <c r="I126" s="6"/>
      <c r="J126" s="7"/>
      <c r="K126" s="5" t="str" cm="1">
        <f t="array" ref="K126">IF(OR(A126="",B126="",D126="",E126=""),"",A126&amp;"_"&amp;SUBSTITUTE(B126," ","-")&amp;"_"&amp;D126&amp;"_"&amp;SUBSTITUTE(SUBSTITUTE(E126," ",""),"€","Euro")&amp;"_"&amp;IF(F126="","Unknown",F126)&amp;IF(F126="Commemorative",IF(G126="","","_"&amp;SUBSTITUTE(SUBSTITUTE(SUBSTITUTE(G126," ","-"),"/","-"),CHAR(39),"")),"")&amp;IF(I126="Duplicate","_Dub"&amp;IF(SUMPRODUCT(($B$2:B126=B126)*($D$2:D126=D126)*($E$2:E126=E126)*($F$2:F126=F126)*($G$2:G126=G126)*($I$2:I126="Duplicate"))&lt;=1,"",SUMPRODUCT(($B$2:B126=B126)*($D$2:D126=D126)*($E$2:E126=E126)*($F$2:F126=F126)*($G$2:G126=G126)*($I$2:I126="Duplicate"))-1),"")&amp;".jpeg")</f>
        <v/>
      </c>
      <c r="L126" s="6"/>
      <c r="M126" s="5" t="str">
        <f>IFERROR(VLOOKUP(E126,Specifications!$A$2:$D$9,2,FALSE),"")</f>
        <v/>
      </c>
      <c r="N126" s="5" t="str">
        <f>IFERROR(VLOOKUP(E126,Specifications!$A$2:$D$9,3,FALSE),"")</f>
        <v/>
      </c>
      <c r="O126" s="5" t="str">
        <f>IFERROR(VLOOKUP(E126,Specifications!$A$2:$D$9,4,FALSE),"")</f>
        <v/>
      </c>
      <c r="P126" s="8" t="str">
        <f t="shared" si="6"/>
        <v/>
      </c>
      <c r="Q126" s="9"/>
    </row>
    <row r="127" spans="1:17" ht="15">
      <c r="A127" s="5" t="str">
        <f t="shared" si="4"/>
        <v/>
      </c>
      <c r="B127" s="6"/>
      <c r="C127" s="5" t="str">
        <f>IFERROR(VLOOKUP(B127,Lists!$A$2:$B$25,2,FALSE),"")</f>
        <v/>
      </c>
      <c r="D127" s="7"/>
      <c r="E127" s="6"/>
      <c r="F127" s="6" t="str">
        <f t="shared" si="5"/>
        <v/>
      </c>
      <c r="G127" s="6"/>
      <c r="H127" s="6"/>
      <c r="I127" s="6"/>
      <c r="J127" s="7"/>
      <c r="K127" s="5" t="str" cm="1">
        <f t="array" ref="K127">IF(OR(A127="",B127="",D127="",E127=""),"",A127&amp;"_"&amp;SUBSTITUTE(B127," ","-")&amp;"_"&amp;D127&amp;"_"&amp;SUBSTITUTE(SUBSTITUTE(E127," ",""),"€","Euro")&amp;"_"&amp;IF(F127="","Unknown",F127)&amp;IF(F127="Commemorative",IF(G127="","","_"&amp;SUBSTITUTE(SUBSTITUTE(SUBSTITUTE(G127," ","-"),"/","-"),CHAR(39),"")),"")&amp;IF(I127="Duplicate","_Dub"&amp;IF(SUMPRODUCT(($B$2:B127=B127)*($D$2:D127=D127)*($E$2:E127=E127)*($F$2:F127=F127)*($G$2:G127=G127)*($I$2:I127="Duplicate"))&lt;=1,"",SUMPRODUCT(($B$2:B127=B127)*($D$2:D127=D127)*($E$2:E127=E127)*($F$2:F127=F127)*($G$2:G127=G127)*($I$2:I127="Duplicate"))-1),"")&amp;".jpeg")</f>
        <v/>
      </c>
      <c r="L127" s="6"/>
      <c r="M127" s="5" t="str">
        <f>IFERROR(VLOOKUP(E127,Specifications!$A$2:$D$9,2,FALSE),"")</f>
        <v/>
      </c>
      <c r="N127" s="5" t="str">
        <f>IFERROR(VLOOKUP(E127,Specifications!$A$2:$D$9,3,FALSE),"")</f>
        <v/>
      </c>
      <c r="O127" s="5" t="str">
        <f>IFERROR(VLOOKUP(E127,Specifications!$A$2:$D$9,4,FALSE),"")</f>
        <v/>
      </c>
      <c r="P127" s="8" t="str">
        <f t="shared" si="6"/>
        <v/>
      </c>
      <c r="Q127" s="9"/>
    </row>
    <row r="128" spans="1:17" ht="15">
      <c r="A128" s="5" t="str">
        <f t="shared" si="4"/>
        <v/>
      </c>
      <c r="B128" s="6"/>
      <c r="C128" s="5" t="str">
        <f>IFERROR(VLOOKUP(B128,Lists!$A$2:$B$25,2,FALSE),"")</f>
        <v/>
      </c>
      <c r="D128" s="7"/>
      <c r="E128" s="6"/>
      <c r="F128" s="6" t="str">
        <f t="shared" si="5"/>
        <v/>
      </c>
      <c r="G128" s="6"/>
      <c r="H128" s="6"/>
      <c r="I128" s="6"/>
      <c r="J128" s="7"/>
      <c r="K128" s="5" t="str" cm="1">
        <f t="array" ref="K128">IF(OR(A128="",B128="",D128="",E128=""),"",A128&amp;"_"&amp;SUBSTITUTE(B128," ","-")&amp;"_"&amp;D128&amp;"_"&amp;SUBSTITUTE(SUBSTITUTE(E128," ",""),"€","Euro")&amp;"_"&amp;IF(F128="","Unknown",F128)&amp;IF(F128="Commemorative",IF(G128="","","_"&amp;SUBSTITUTE(SUBSTITUTE(SUBSTITUTE(G128," ","-"),"/","-"),CHAR(39),"")),"")&amp;IF(I128="Duplicate","_Dub"&amp;IF(SUMPRODUCT(($B$2:B128=B128)*($D$2:D128=D128)*($E$2:E128=E128)*($F$2:F128=F128)*($G$2:G128=G128)*($I$2:I128="Duplicate"))&lt;=1,"",SUMPRODUCT(($B$2:B128=B128)*($D$2:D128=D128)*($E$2:E128=E128)*($F$2:F128=F128)*($G$2:G128=G128)*($I$2:I128="Duplicate"))-1),"")&amp;".jpeg")</f>
        <v/>
      </c>
      <c r="L128" s="6"/>
      <c r="M128" s="5" t="str">
        <f>IFERROR(VLOOKUP(E128,Specifications!$A$2:$D$9,2,FALSE),"")</f>
        <v/>
      </c>
      <c r="N128" s="5" t="str">
        <f>IFERROR(VLOOKUP(E128,Specifications!$A$2:$D$9,3,FALSE),"")</f>
        <v/>
      </c>
      <c r="O128" s="5" t="str">
        <f>IFERROR(VLOOKUP(E128,Specifications!$A$2:$D$9,4,FALSE),"")</f>
        <v/>
      </c>
      <c r="P128" s="8" t="str">
        <f t="shared" si="6"/>
        <v/>
      </c>
      <c r="Q128" s="9"/>
    </row>
    <row r="129" spans="1:17" ht="15">
      <c r="A129" s="5" t="str">
        <f t="shared" si="4"/>
        <v/>
      </c>
      <c r="B129" s="6"/>
      <c r="C129" s="5" t="str">
        <f>IFERROR(VLOOKUP(B129,Lists!$A$2:$B$25,2,FALSE),"")</f>
        <v/>
      </c>
      <c r="D129" s="7"/>
      <c r="E129" s="6"/>
      <c r="F129" s="6" t="str">
        <f t="shared" si="5"/>
        <v/>
      </c>
      <c r="G129" s="6"/>
      <c r="H129" s="6"/>
      <c r="I129" s="6"/>
      <c r="J129" s="7"/>
      <c r="K129" s="5" t="str" cm="1">
        <f t="array" ref="K129">IF(OR(A129="",B129="",D129="",E129=""),"",A129&amp;"_"&amp;SUBSTITUTE(B129," ","-")&amp;"_"&amp;D129&amp;"_"&amp;SUBSTITUTE(SUBSTITUTE(E129," ",""),"€","Euro")&amp;"_"&amp;IF(F129="","Unknown",F129)&amp;IF(F129="Commemorative",IF(G129="","","_"&amp;SUBSTITUTE(SUBSTITUTE(SUBSTITUTE(G129," ","-"),"/","-"),CHAR(39),"")),"")&amp;IF(I129="Duplicate","_Dub"&amp;IF(SUMPRODUCT(($B$2:B129=B129)*($D$2:D129=D129)*($E$2:E129=E129)*($F$2:F129=F129)*($G$2:G129=G129)*($I$2:I129="Duplicate"))&lt;=1,"",SUMPRODUCT(($B$2:B129=B129)*($D$2:D129=D129)*($E$2:E129=E129)*($F$2:F129=F129)*($G$2:G129=G129)*($I$2:I129="Duplicate"))-1),"")&amp;".jpeg")</f>
        <v/>
      </c>
      <c r="L129" s="6"/>
      <c r="M129" s="5" t="str">
        <f>IFERROR(VLOOKUP(E129,Specifications!$A$2:$D$9,2,FALSE),"")</f>
        <v/>
      </c>
      <c r="N129" s="5" t="str">
        <f>IFERROR(VLOOKUP(E129,Specifications!$A$2:$D$9,3,FALSE),"")</f>
        <v/>
      </c>
      <c r="O129" s="5" t="str">
        <f>IFERROR(VLOOKUP(E129,Specifications!$A$2:$D$9,4,FALSE),"")</f>
        <v/>
      </c>
      <c r="P129" s="8" t="str">
        <f t="shared" si="6"/>
        <v/>
      </c>
      <c r="Q129" s="9"/>
    </row>
    <row r="130" spans="1:17" ht="15">
      <c r="A130" s="5" t="str">
        <f t="shared" ref="A130:A193" si="7">IF(B130="","",TEXT(ROW()-1,"000"))</f>
        <v/>
      </c>
      <c r="B130" s="6"/>
      <c r="C130" s="5" t="str">
        <f>IFERROR(VLOOKUP(B130,Lists!$A$2:$B$25,2,FALSE),"")</f>
        <v/>
      </c>
      <c r="D130" s="7"/>
      <c r="E130" s="6"/>
      <c r="F130" s="6" t="str">
        <f t="shared" ref="F130:F193" si="8">IF(E130="","",IF(E130="2 €","", "Regular"))</f>
        <v/>
      </c>
      <c r="G130" s="6"/>
      <c r="H130" s="6"/>
      <c r="I130" s="6"/>
      <c r="J130" s="7"/>
      <c r="K130" s="5" t="str" cm="1">
        <f t="array" ref="K130">IF(OR(A130="",B130="",D130="",E130=""),"",A130&amp;"_"&amp;SUBSTITUTE(B130," ","-")&amp;"_"&amp;D130&amp;"_"&amp;SUBSTITUTE(SUBSTITUTE(E130," ",""),"€","Euro")&amp;"_"&amp;IF(F130="","Unknown",F130)&amp;IF(F130="Commemorative",IF(G130="","","_"&amp;SUBSTITUTE(SUBSTITUTE(SUBSTITUTE(G130," ","-"),"/","-"),CHAR(39),"")),"")&amp;IF(I130="Duplicate","_Dub"&amp;IF(SUMPRODUCT(($B$2:B130=B130)*($D$2:D130=D130)*($E$2:E130=E130)*($F$2:F130=F130)*($G$2:G130=G130)*($I$2:I130="Duplicate"))&lt;=1,"",SUMPRODUCT(($B$2:B130=B130)*($D$2:D130=D130)*($E$2:E130=E130)*($F$2:F130=F130)*($G$2:G130=G130)*($I$2:I130="Duplicate"))-1),"")&amp;".jpeg")</f>
        <v/>
      </c>
      <c r="L130" s="6"/>
      <c r="M130" s="5" t="str">
        <f>IFERROR(VLOOKUP(E130,Specifications!$A$2:$D$9,2,FALSE),"")</f>
        <v/>
      </c>
      <c r="N130" s="5" t="str">
        <f>IFERROR(VLOOKUP(E130,Specifications!$A$2:$D$9,3,FALSE),"")</f>
        <v/>
      </c>
      <c r="O130" s="5" t="str">
        <f>IFERROR(VLOOKUP(E130,Specifications!$A$2:$D$9,4,FALSE),"")</f>
        <v/>
      </c>
      <c r="P130" s="8" t="str">
        <f t="shared" ref="P130:P193" si="9">IF(OR(B130="",E130="",F130=""),"",IF(F130="Regular","Regular "&amp;E130&amp;" circulation coin of "&amp;B130&amp;".",IF(F130="Commemorative",IF(G130="","",E130&amp;" commemorative coin of "&amp;B130&amp;" – "&amp;G130&amp;"."),"")))</f>
        <v/>
      </c>
      <c r="Q130" s="9"/>
    </row>
    <row r="131" spans="1:17" ht="15">
      <c r="A131" s="5" t="str">
        <f t="shared" si="7"/>
        <v/>
      </c>
      <c r="B131" s="6"/>
      <c r="C131" s="5" t="str">
        <f>IFERROR(VLOOKUP(B131,Lists!$A$2:$B$25,2,FALSE),"")</f>
        <v/>
      </c>
      <c r="D131" s="7"/>
      <c r="E131" s="6"/>
      <c r="F131" s="6" t="str">
        <f t="shared" si="8"/>
        <v/>
      </c>
      <c r="G131" s="6"/>
      <c r="H131" s="6"/>
      <c r="I131" s="6"/>
      <c r="J131" s="7"/>
      <c r="K131" s="5" t="str" cm="1">
        <f t="array" ref="K131">IF(OR(A131="",B131="",D131="",E131=""),"",A131&amp;"_"&amp;SUBSTITUTE(B131," ","-")&amp;"_"&amp;D131&amp;"_"&amp;SUBSTITUTE(SUBSTITUTE(E131," ",""),"€","Euro")&amp;"_"&amp;IF(F131="","Unknown",F131)&amp;IF(F131="Commemorative",IF(G131="","","_"&amp;SUBSTITUTE(SUBSTITUTE(SUBSTITUTE(G131," ","-"),"/","-"),CHAR(39),"")),"")&amp;IF(I131="Duplicate","_Dub"&amp;IF(SUMPRODUCT(($B$2:B131=B131)*($D$2:D131=D131)*($E$2:E131=E131)*($F$2:F131=F131)*($G$2:G131=G131)*($I$2:I131="Duplicate"))&lt;=1,"",SUMPRODUCT(($B$2:B131=B131)*($D$2:D131=D131)*($E$2:E131=E131)*($F$2:F131=F131)*($G$2:G131=G131)*($I$2:I131="Duplicate"))-1),"")&amp;".jpeg")</f>
        <v/>
      </c>
      <c r="L131" s="6"/>
      <c r="M131" s="5" t="str">
        <f>IFERROR(VLOOKUP(E131,Specifications!$A$2:$D$9,2,FALSE),"")</f>
        <v/>
      </c>
      <c r="N131" s="5" t="str">
        <f>IFERROR(VLOOKUP(E131,Specifications!$A$2:$D$9,3,FALSE),"")</f>
        <v/>
      </c>
      <c r="O131" s="5" t="str">
        <f>IFERROR(VLOOKUP(E131,Specifications!$A$2:$D$9,4,FALSE),"")</f>
        <v/>
      </c>
      <c r="P131" s="8" t="str">
        <f t="shared" si="9"/>
        <v/>
      </c>
      <c r="Q131" s="9"/>
    </row>
    <row r="132" spans="1:17" ht="15">
      <c r="A132" s="5" t="str">
        <f t="shared" si="7"/>
        <v/>
      </c>
      <c r="B132" s="6"/>
      <c r="C132" s="5" t="str">
        <f>IFERROR(VLOOKUP(B132,Lists!$A$2:$B$25,2,FALSE),"")</f>
        <v/>
      </c>
      <c r="D132" s="7"/>
      <c r="E132" s="6"/>
      <c r="F132" s="6" t="str">
        <f t="shared" si="8"/>
        <v/>
      </c>
      <c r="G132" s="6"/>
      <c r="H132" s="6"/>
      <c r="I132" s="6"/>
      <c r="J132" s="7"/>
      <c r="K132" s="5" t="str" cm="1">
        <f t="array" ref="K132">IF(OR(A132="",B132="",D132="",E132=""),"",A132&amp;"_"&amp;SUBSTITUTE(B132," ","-")&amp;"_"&amp;D132&amp;"_"&amp;SUBSTITUTE(SUBSTITUTE(E132," ",""),"€","Euro")&amp;"_"&amp;IF(F132="","Unknown",F132)&amp;IF(F132="Commemorative",IF(G132="","","_"&amp;SUBSTITUTE(SUBSTITUTE(SUBSTITUTE(G132," ","-"),"/","-"),CHAR(39),"")),"")&amp;IF(I132="Duplicate","_Dub"&amp;IF(SUMPRODUCT(($B$2:B132=B132)*($D$2:D132=D132)*($E$2:E132=E132)*($F$2:F132=F132)*($G$2:G132=G132)*($I$2:I132="Duplicate"))&lt;=1,"",SUMPRODUCT(($B$2:B132=B132)*($D$2:D132=D132)*($E$2:E132=E132)*($F$2:F132=F132)*($G$2:G132=G132)*($I$2:I132="Duplicate"))-1),"")&amp;".jpeg")</f>
        <v/>
      </c>
      <c r="L132" s="6"/>
      <c r="M132" s="5" t="str">
        <f>IFERROR(VLOOKUP(E132,Specifications!$A$2:$D$9,2,FALSE),"")</f>
        <v/>
      </c>
      <c r="N132" s="5" t="str">
        <f>IFERROR(VLOOKUP(E132,Specifications!$A$2:$D$9,3,FALSE),"")</f>
        <v/>
      </c>
      <c r="O132" s="5" t="str">
        <f>IFERROR(VLOOKUP(E132,Specifications!$A$2:$D$9,4,FALSE),"")</f>
        <v/>
      </c>
      <c r="P132" s="8" t="str">
        <f t="shared" si="9"/>
        <v/>
      </c>
      <c r="Q132" s="9"/>
    </row>
    <row r="133" spans="1:17" ht="15">
      <c r="A133" s="5" t="str">
        <f t="shared" si="7"/>
        <v/>
      </c>
      <c r="B133" s="6"/>
      <c r="C133" s="5" t="str">
        <f>IFERROR(VLOOKUP(B133,Lists!$A$2:$B$25,2,FALSE),"")</f>
        <v/>
      </c>
      <c r="D133" s="7"/>
      <c r="E133" s="6"/>
      <c r="F133" s="6" t="str">
        <f t="shared" si="8"/>
        <v/>
      </c>
      <c r="G133" s="6"/>
      <c r="H133" s="6"/>
      <c r="I133" s="6"/>
      <c r="J133" s="7"/>
      <c r="K133" s="5" t="str" cm="1">
        <f t="array" ref="K133">IF(OR(A133="",B133="",D133="",E133=""),"",A133&amp;"_"&amp;SUBSTITUTE(B133," ","-")&amp;"_"&amp;D133&amp;"_"&amp;SUBSTITUTE(SUBSTITUTE(E133," ",""),"€","Euro")&amp;"_"&amp;IF(F133="","Unknown",F133)&amp;IF(F133="Commemorative",IF(G133="","","_"&amp;SUBSTITUTE(SUBSTITUTE(SUBSTITUTE(G133," ","-"),"/","-"),CHAR(39),"")),"")&amp;IF(I133="Duplicate","_Dub"&amp;IF(SUMPRODUCT(($B$2:B133=B133)*($D$2:D133=D133)*($E$2:E133=E133)*($F$2:F133=F133)*($G$2:G133=G133)*($I$2:I133="Duplicate"))&lt;=1,"",SUMPRODUCT(($B$2:B133=B133)*($D$2:D133=D133)*($E$2:E133=E133)*($F$2:F133=F133)*($G$2:G133=G133)*($I$2:I133="Duplicate"))-1),"")&amp;".jpeg")</f>
        <v/>
      </c>
      <c r="L133" s="6"/>
      <c r="M133" s="5" t="str">
        <f>IFERROR(VLOOKUP(E133,Specifications!$A$2:$D$9,2,FALSE),"")</f>
        <v/>
      </c>
      <c r="N133" s="5" t="str">
        <f>IFERROR(VLOOKUP(E133,Specifications!$A$2:$D$9,3,FALSE),"")</f>
        <v/>
      </c>
      <c r="O133" s="5" t="str">
        <f>IFERROR(VLOOKUP(E133,Specifications!$A$2:$D$9,4,FALSE),"")</f>
        <v/>
      </c>
      <c r="P133" s="8" t="str">
        <f t="shared" si="9"/>
        <v/>
      </c>
      <c r="Q133" s="9"/>
    </row>
    <row r="134" spans="1:17" ht="15">
      <c r="A134" s="5" t="str">
        <f t="shared" si="7"/>
        <v/>
      </c>
      <c r="B134" s="6"/>
      <c r="C134" s="5" t="str">
        <f>IFERROR(VLOOKUP(B134,Lists!$A$2:$B$25,2,FALSE),"")</f>
        <v/>
      </c>
      <c r="D134" s="7"/>
      <c r="E134" s="6"/>
      <c r="F134" s="6" t="str">
        <f t="shared" si="8"/>
        <v/>
      </c>
      <c r="G134" s="6"/>
      <c r="H134" s="6"/>
      <c r="I134" s="6"/>
      <c r="J134" s="7"/>
      <c r="K134" s="5" t="str" cm="1">
        <f t="array" ref="K134">IF(OR(A134="",B134="",D134="",E134=""),"",A134&amp;"_"&amp;SUBSTITUTE(B134," ","-")&amp;"_"&amp;D134&amp;"_"&amp;SUBSTITUTE(SUBSTITUTE(E134," ",""),"€","Euro")&amp;"_"&amp;IF(F134="","Unknown",F134)&amp;IF(F134="Commemorative",IF(G134="","","_"&amp;SUBSTITUTE(SUBSTITUTE(SUBSTITUTE(G134," ","-"),"/","-"),CHAR(39),"")),"")&amp;IF(I134="Duplicate","_Dub"&amp;IF(SUMPRODUCT(($B$2:B134=B134)*($D$2:D134=D134)*($E$2:E134=E134)*($F$2:F134=F134)*($G$2:G134=G134)*($I$2:I134="Duplicate"))&lt;=1,"",SUMPRODUCT(($B$2:B134=B134)*($D$2:D134=D134)*($E$2:E134=E134)*($F$2:F134=F134)*($G$2:G134=G134)*($I$2:I134="Duplicate"))-1),"")&amp;".jpeg")</f>
        <v/>
      </c>
      <c r="L134" s="6"/>
      <c r="M134" s="5" t="str">
        <f>IFERROR(VLOOKUP(E134,Specifications!$A$2:$D$9,2,FALSE),"")</f>
        <v/>
      </c>
      <c r="N134" s="5" t="str">
        <f>IFERROR(VLOOKUP(E134,Specifications!$A$2:$D$9,3,FALSE),"")</f>
        <v/>
      </c>
      <c r="O134" s="5" t="str">
        <f>IFERROR(VLOOKUP(E134,Specifications!$A$2:$D$9,4,FALSE),"")</f>
        <v/>
      </c>
      <c r="P134" s="8" t="str">
        <f t="shared" si="9"/>
        <v/>
      </c>
      <c r="Q134" s="9"/>
    </row>
    <row r="135" spans="1:17" ht="15">
      <c r="A135" s="5" t="str">
        <f t="shared" si="7"/>
        <v/>
      </c>
      <c r="B135" s="6"/>
      <c r="C135" s="5" t="str">
        <f>IFERROR(VLOOKUP(B135,Lists!$A$2:$B$25,2,FALSE),"")</f>
        <v/>
      </c>
      <c r="D135" s="7"/>
      <c r="E135" s="6"/>
      <c r="F135" s="6" t="str">
        <f t="shared" si="8"/>
        <v/>
      </c>
      <c r="G135" s="6"/>
      <c r="H135" s="6"/>
      <c r="I135" s="6"/>
      <c r="J135" s="7"/>
      <c r="K135" s="5" t="str" cm="1">
        <f t="array" ref="K135">IF(OR(A135="",B135="",D135="",E135=""),"",A135&amp;"_"&amp;SUBSTITUTE(B135," ","-")&amp;"_"&amp;D135&amp;"_"&amp;SUBSTITUTE(SUBSTITUTE(E135," ",""),"€","Euro")&amp;"_"&amp;IF(F135="","Unknown",F135)&amp;IF(F135="Commemorative",IF(G135="","","_"&amp;SUBSTITUTE(SUBSTITUTE(SUBSTITUTE(G135," ","-"),"/","-"),CHAR(39),"")),"")&amp;IF(I135="Duplicate","_Dub"&amp;IF(SUMPRODUCT(($B$2:B135=B135)*($D$2:D135=D135)*($E$2:E135=E135)*($F$2:F135=F135)*($G$2:G135=G135)*($I$2:I135="Duplicate"))&lt;=1,"",SUMPRODUCT(($B$2:B135=B135)*($D$2:D135=D135)*($E$2:E135=E135)*($F$2:F135=F135)*($G$2:G135=G135)*($I$2:I135="Duplicate"))-1),"")&amp;".jpeg")</f>
        <v/>
      </c>
      <c r="L135" s="6"/>
      <c r="M135" s="5" t="str">
        <f>IFERROR(VLOOKUP(E135,Specifications!$A$2:$D$9,2,FALSE),"")</f>
        <v/>
      </c>
      <c r="N135" s="5" t="str">
        <f>IFERROR(VLOOKUP(E135,Specifications!$A$2:$D$9,3,FALSE),"")</f>
        <v/>
      </c>
      <c r="O135" s="5" t="str">
        <f>IFERROR(VLOOKUP(E135,Specifications!$A$2:$D$9,4,FALSE),"")</f>
        <v/>
      </c>
      <c r="P135" s="8" t="str">
        <f t="shared" si="9"/>
        <v/>
      </c>
      <c r="Q135" s="9"/>
    </row>
    <row r="136" spans="1:17" ht="15">
      <c r="A136" s="5" t="str">
        <f t="shared" si="7"/>
        <v/>
      </c>
      <c r="B136" s="6"/>
      <c r="C136" s="5" t="str">
        <f>IFERROR(VLOOKUP(B136,Lists!$A$2:$B$25,2,FALSE),"")</f>
        <v/>
      </c>
      <c r="D136" s="7"/>
      <c r="E136" s="6"/>
      <c r="F136" s="6" t="str">
        <f t="shared" si="8"/>
        <v/>
      </c>
      <c r="G136" s="6"/>
      <c r="H136" s="6"/>
      <c r="I136" s="6"/>
      <c r="J136" s="7"/>
      <c r="K136" s="5" t="str" cm="1">
        <f t="array" ref="K136">IF(OR(A136="",B136="",D136="",E136=""),"",A136&amp;"_"&amp;SUBSTITUTE(B136," ","-")&amp;"_"&amp;D136&amp;"_"&amp;SUBSTITUTE(SUBSTITUTE(E136," ",""),"€","Euro")&amp;"_"&amp;IF(F136="","Unknown",F136)&amp;IF(F136="Commemorative",IF(G136="","","_"&amp;SUBSTITUTE(SUBSTITUTE(SUBSTITUTE(G136," ","-"),"/","-"),CHAR(39),"")),"")&amp;IF(I136="Duplicate","_Dub"&amp;IF(SUMPRODUCT(($B$2:B136=B136)*($D$2:D136=D136)*($E$2:E136=E136)*($F$2:F136=F136)*($G$2:G136=G136)*($I$2:I136="Duplicate"))&lt;=1,"",SUMPRODUCT(($B$2:B136=B136)*($D$2:D136=D136)*($E$2:E136=E136)*($F$2:F136=F136)*($G$2:G136=G136)*($I$2:I136="Duplicate"))-1),"")&amp;".jpeg")</f>
        <v/>
      </c>
      <c r="L136" s="6"/>
      <c r="M136" s="5" t="str">
        <f>IFERROR(VLOOKUP(E136,Specifications!$A$2:$D$9,2,FALSE),"")</f>
        <v/>
      </c>
      <c r="N136" s="5" t="str">
        <f>IFERROR(VLOOKUP(E136,Specifications!$A$2:$D$9,3,FALSE),"")</f>
        <v/>
      </c>
      <c r="O136" s="5" t="str">
        <f>IFERROR(VLOOKUP(E136,Specifications!$A$2:$D$9,4,FALSE),"")</f>
        <v/>
      </c>
      <c r="P136" s="8" t="str">
        <f t="shared" si="9"/>
        <v/>
      </c>
      <c r="Q136" s="9"/>
    </row>
    <row r="137" spans="1:17" ht="15">
      <c r="A137" s="5" t="str">
        <f t="shared" si="7"/>
        <v/>
      </c>
      <c r="B137" s="6"/>
      <c r="C137" s="5" t="str">
        <f>IFERROR(VLOOKUP(B137,Lists!$A$2:$B$25,2,FALSE),"")</f>
        <v/>
      </c>
      <c r="D137" s="7"/>
      <c r="E137" s="6"/>
      <c r="F137" s="6" t="str">
        <f t="shared" si="8"/>
        <v/>
      </c>
      <c r="G137" s="6"/>
      <c r="H137" s="6"/>
      <c r="I137" s="6"/>
      <c r="J137" s="7"/>
      <c r="K137" s="5" t="str" cm="1">
        <f t="array" ref="K137">IF(OR(A137="",B137="",D137="",E137=""),"",A137&amp;"_"&amp;SUBSTITUTE(B137," ","-")&amp;"_"&amp;D137&amp;"_"&amp;SUBSTITUTE(SUBSTITUTE(E137," ",""),"€","Euro")&amp;"_"&amp;IF(F137="","Unknown",F137)&amp;IF(F137="Commemorative",IF(G137="","","_"&amp;SUBSTITUTE(SUBSTITUTE(SUBSTITUTE(G137," ","-"),"/","-"),CHAR(39),"")),"")&amp;IF(I137="Duplicate","_Dub"&amp;IF(SUMPRODUCT(($B$2:B137=B137)*($D$2:D137=D137)*($E$2:E137=E137)*($F$2:F137=F137)*($G$2:G137=G137)*($I$2:I137="Duplicate"))&lt;=1,"",SUMPRODUCT(($B$2:B137=B137)*($D$2:D137=D137)*($E$2:E137=E137)*($F$2:F137=F137)*($G$2:G137=G137)*($I$2:I137="Duplicate"))-1),"")&amp;".jpeg")</f>
        <v/>
      </c>
      <c r="L137" s="6"/>
      <c r="M137" s="5" t="str">
        <f>IFERROR(VLOOKUP(E137,Specifications!$A$2:$D$9,2,FALSE),"")</f>
        <v/>
      </c>
      <c r="N137" s="5" t="str">
        <f>IFERROR(VLOOKUP(E137,Specifications!$A$2:$D$9,3,FALSE),"")</f>
        <v/>
      </c>
      <c r="O137" s="5" t="str">
        <f>IFERROR(VLOOKUP(E137,Specifications!$A$2:$D$9,4,FALSE),"")</f>
        <v/>
      </c>
      <c r="P137" s="8" t="str">
        <f t="shared" si="9"/>
        <v/>
      </c>
      <c r="Q137" s="9"/>
    </row>
    <row r="138" spans="1:17" ht="15">
      <c r="A138" s="5" t="str">
        <f t="shared" si="7"/>
        <v/>
      </c>
      <c r="B138" s="6"/>
      <c r="C138" s="5" t="str">
        <f>IFERROR(VLOOKUP(B138,Lists!$A$2:$B$25,2,FALSE),"")</f>
        <v/>
      </c>
      <c r="D138" s="7"/>
      <c r="E138" s="6"/>
      <c r="F138" s="6" t="str">
        <f t="shared" si="8"/>
        <v/>
      </c>
      <c r="G138" s="6"/>
      <c r="H138" s="6"/>
      <c r="I138" s="6"/>
      <c r="J138" s="7"/>
      <c r="K138" s="5" t="str" cm="1">
        <f t="array" ref="K138">IF(OR(A138="",B138="",D138="",E138=""),"",A138&amp;"_"&amp;SUBSTITUTE(B138," ","-")&amp;"_"&amp;D138&amp;"_"&amp;SUBSTITUTE(SUBSTITUTE(E138," ",""),"€","Euro")&amp;"_"&amp;IF(F138="","Unknown",F138)&amp;IF(F138="Commemorative",IF(G138="","","_"&amp;SUBSTITUTE(SUBSTITUTE(SUBSTITUTE(G138," ","-"),"/","-"),CHAR(39),"")),"")&amp;IF(I138="Duplicate","_Dub"&amp;IF(SUMPRODUCT(($B$2:B138=B138)*($D$2:D138=D138)*($E$2:E138=E138)*($F$2:F138=F138)*($G$2:G138=G138)*($I$2:I138="Duplicate"))&lt;=1,"",SUMPRODUCT(($B$2:B138=B138)*($D$2:D138=D138)*($E$2:E138=E138)*($F$2:F138=F138)*($G$2:G138=G138)*($I$2:I138="Duplicate"))-1),"")&amp;".jpeg")</f>
        <v/>
      </c>
      <c r="L138" s="6"/>
      <c r="M138" s="5" t="str">
        <f>IFERROR(VLOOKUP(E138,Specifications!$A$2:$D$9,2,FALSE),"")</f>
        <v/>
      </c>
      <c r="N138" s="5" t="str">
        <f>IFERROR(VLOOKUP(E138,Specifications!$A$2:$D$9,3,FALSE),"")</f>
        <v/>
      </c>
      <c r="O138" s="5" t="str">
        <f>IFERROR(VLOOKUP(E138,Specifications!$A$2:$D$9,4,FALSE),"")</f>
        <v/>
      </c>
      <c r="P138" s="8" t="str">
        <f t="shared" si="9"/>
        <v/>
      </c>
      <c r="Q138" s="9"/>
    </row>
    <row r="139" spans="1:17" ht="15">
      <c r="A139" s="5" t="str">
        <f t="shared" si="7"/>
        <v/>
      </c>
      <c r="B139" s="6"/>
      <c r="C139" s="5" t="str">
        <f>IFERROR(VLOOKUP(B139,Lists!$A$2:$B$25,2,FALSE),"")</f>
        <v/>
      </c>
      <c r="D139" s="7"/>
      <c r="E139" s="6"/>
      <c r="F139" s="6" t="str">
        <f t="shared" si="8"/>
        <v/>
      </c>
      <c r="G139" s="6"/>
      <c r="H139" s="6"/>
      <c r="I139" s="6"/>
      <c r="J139" s="7"/>
      <c r="K139" s="5" t="str" cm="1">
        <f t="array" ref="K139">IF(OR(A139="",B139="",D139="",E139=""),"",A139&amp;"_"&amp;SUBSTITUTE(B139," ","-")&amp;"_"&amp;D139&amp;"_"&amp;SUBSTITUTE(SUBSTITUTE(E139," ",""),"€","Euro")&amp;"_"&amp;IF(F139="","Unknown",F139)&amp;IF(F139="Commemorative",IF(G139="","","_"&amp;SUBSTITUTE(SUBSTITUTE(SUBSTITUTE(G139," ","-"),"/","-"),CHAR(39),"")),"")&amp;IF(I139="Duplicate","_Dub"&amp;IF(SUMPRODUCT(($B$2:B139=B139)*($D$2:D139=D139)*($E$2:E139=E139)*($F$2:F139=F139)*($G$2:G139=G139)*($I$2:I139="Duplicate"))&lt;=1,"",SUMPRODUCT(($B$2:B139=B139)*($D$2:D139=D139)*($E$2:E139=E139)*($F$2:F139=F139)*($G$2:G139=G139)*($I$2:I139="Duplicate"))-1),"")&amp;".jpeg")</f>
        <v/>
      </c>
      <c r="L139" s="6"/>
      <c r="M139" s="5" t="str">
        <f>IFERROR(VLOOKUP(E139,Specifications!$A$2:$D$9,2,FALSE),"")</f>
        <v/>
      </c>
      <c r="N139" s="5" t="str">
        <f>IFERROR(VLOOKUP(E139,Specifications!$A$2:$D$9,3,FALSE),"")</f>
        <v/>
      </c>
      <c r="O139" s="5" t="str">
        <f>IFERROR(VLOOKUP(E139,Specifications!$A$2:$D$9,4,FALSE),"")</f>
        <v/>
      </c>
      <c r="P139" s="8" t="str">
        <f t="shared" si="9"/>
        <v/>
      </c>
      <c r="Q139" s="9"/>
    </row>
    <row r="140" spans="1:17" ht="15">
      <c r="A140" s="5" t="str">
        <f t="shared" si="7"/>
        <v/>
      </c>
      <c r="B140" s="6"/>
      <c r="C140" s="5" t="str">
        <f>IFERROR(VLOOKUP(B140,Lists!$A$2:$B$25,2,FALSE),"")</f>
        <v/>
      </c>
      <c r="D140" s="7"/>
      <c r="E140" s="6"/>
      <c r="F140" s="6" t="str">
        <f t="shared" si="8"/>
        <v/>
      </c>
      <c r="G140" s="6"/>
      <c r="H140" s="6"/>
      <c r="I140" s="6"/>
      <c r="J140" s="7"/>
      <c r="K140" s="5" t="str" cm="1">
        <f t="array" ref="K140">IF(OR(A140="",B140="",D140="",E140=""),"",A140&amp;"_"&amp;SUBSTITUTE(B140," ","-")&amp;"_"&amp;D140&amp;"_"&amp;SUBSTITUTE(SUBSTITUTE(E140," ",""),"€","Euro")&amp;"_"&amp;IF(F140="","Unknown",F140)&amp;IF(F140="Commemorative",IF(G140="","","_"&amp;SUBSTITUTE(SUBSTITUTE(SUBSTITUTE(G140," ","-"),"/","-"),CHAR(39),"")),"")&amp;IF(I140="Duplicate","_Dub"&amp;IF(SUMPRODUCT(($B$2:B140=B140)*($D$2:D140=D140)*($E$2:E140=E140)*($F$2:F140=F140)*($G$2:G140=G140)*($I$2:I140="Duplicate"))&lt;=1,"",SUMPRODUCT(($B$2:B140=B140)*($D$2:D140=D140)*($E$2:E140=E140)*($F$2:F140=F140)*($G$2:G140=G140)*($I$2:I140="Duplicate"))-1),"")&amp;".jpeg")</f>
        <v/>
      </c>
      <c r="L140" s="6"/>
      <c r="M140" s="5" t="str">
        <f>IFERROR(VLOOKUP(E140,Specifications!$A$2:$D$9,2,FALSE),"")</f>
        <v/>
      </c>
      <c r="N140" s="5" t="str">
        <f>IFERROR(VLOOKUP(E140,Specifications!$A$2:$D$9,3,FALSE),"")</f>
        <v/>
      </c>
      <c r="O140" s="5" t="str">
        <f>IFERROR(VLOOKUP(E140,Specifications!$A$2:$D$9,4,FALSE),"")</f>
        <v/>
      </c>
      <c r="P140" s="8" t="str">
        <f t="shared" si="9"/>
        <v/>
      </c>
      <c r="Q140" s="9"/>
    </row>
    <row r="141" spans="1:17" ht="15">
      <c r="A141" s="5" t="str">
        <f t="shared" si="7"/>
        <v/>
      </c>
      <c r="B141" s="6"/>
      <c r="C141" s="5" t="str">
        <f>IFERROR(VLOOKUP(B141,Lists!$A$2:$B$25,2,FALSE),"")</f>
        <v/>
      </c>
      <c r="D141" s="7"/>
      <c r="E141" s="6"/>
      <c r="F141" s="6" t="str">
        <f t="shared" si="8"/>
        <v/>
      </c>
      <c r="G141" s="6"/>
      <c r="H141" s="6"/>
      <c r="I141" s="6"/>
      <c r="J141" s="7"/>
      <c r="K141" s="5" t="str" cm="1">
        <f t="array" ref="K141">IF(OR(A141="",B141="",D141="",E141=""),"",A141&amp;"_"&amp;SUBSTITUTE(B141," ","-")&amp;"_"&amp;D141&amp;"_"&amp;SUBSTITUTE(SUBSTITUTE(E141," ",""),"€","Euro")&amp;"_"&amp;IF(F141="","Unknown",F141)&amp;IF(F141="Commemorative",IF(G141="","","_"&amp;SUBSTITUTE(SUBSTITUTE(SUBSTITUTE(G141," ","-"),"/","-"),CHAR(39),"")),"")&amp;IF(I141="Duplicate","_Dub"&amp;IF(SUMPRODUCT(($B$2:B141=B141)*($D$2:D141=D141)*($E$2:E141=E141)*($F$2:F141=F141)*($G$2:G141=G141)*($I$2:I141="Duplicate"))&lt;=1,"",SUMPRODUCT(($B$2:B141=B141)*($D$2:D141=D141)*($E$2:E141=E141)*($F$2:F141=F141)*($G$2:G141=G141)*($I$2:I141="Duplicate"))-1),"")&amp;".jpeg")</f>
        <v/>
      </c>
      <c r="L141" s="6"/>
      <c r="M141" s="5" t="str">
        <f>IFERROR(VLOOKUP(E141,Specifications!$A$2:$D$9,2,FALSE),"")</f>
        <v/>
      </c>
      <c r="N141" s="5" t="str">
        <f>IFERROR(VLOOKUP(E141,Specifications!$A$2:$D$9,3,FALSE),"")</f>
        <v/>
      </c>
      <c r="O141" s="5" t="str">
        <f>IFERROR(VLOOKUP(E141,Specifications!$A$2:$D$9,4,FALSE),"")</f>
        <v/>
      </c>
      <c r="P141" s="8" t="str">
        <f t="shared" si="9"/>
        <v/>
      </c>
      <c r="Q141" s="9"/>
    </row>
    <row r="142" spans="1:17" ht="15">
      <c r="A142" s="5" t="str">
        <f t="shared" si="7"/>
        <v/>
      </c>
      <c r="B142" s="6"/>
      <c r="C142" s="5" t="str">
        <f>IFERROR(VLOOKUP(B142,Lists!$A$2:$B$25,2,FALSE),"")</f>
        <v/>
      </c>
      <c r="D142" s="7"/>
      <c r="E142" s="6"/>
      <c r="F142" s="6" t="str">
        <f t="shared" si="8"/>
        <v/>
      </c>
      <c r="G142" s="6"/>
      <c r="H142" s="6"/>
      <c r="I142" s="6"/>
      <c r="J142" s="7"/>
      <c r="K142" s="5" t="str" cm="1">
        <f t="array" ref="K142">IF(OR(A142="",B142="",D142="",E142=""),"",A142&amp;"_"&amp;SUBSTITUTE(B142," ","-")&amp;"_"&amp;D142&amp;"_"&amp;SUBSTITUTE(SUBSTITUTE(E142," ",""),"€","Euro")&amp;"_"&amp;IF(F142="","Unknown",F142)&amp;IF(F142="Commemorative",IF(G142="","","_"&amp;SUBSTITUTE(SUBSTITUTE(SUBSTITUTE(G142," ","-"),"/","-"),CHAR(39),"")),"")&amp;IF(I142="Duplicate","_Dub"&amp;IF(SUMPRODUCT(($B$2:B142=B142)*($D$2:D142=D142)*($E$2:E142=E142)*($F$2:F142=F142)*($G$2:G142=G142)*($I$2:I142="Duplicate"))&lt;=1,"",SUMPRODUCT(($B$2:B142=B142)*($D$2:D142=D142)*($E$2:E142=E142)*($F$2:F142=F142)*($G$2:G142=G142)*($I$2:I142="Duplicate"))-1),"")&amp;".jpeg")</f>
        <v/>
      </c>
      <c r="L142" s="6"/>
      <c r="M142" s="5" t="str">
        <f>IFERROR(VLOOKUP(E142,Specifications!$A$2:$D$9,2,FALSE),"")</f>
        <v/>
      </c>
      <c r="N142" s="5" t="str">
        <f>IFERROR(VLOOKUP(E142,Specifications!$A$2:$D$9,3,FALSE),"")</f>
        <v/>
      </c>
      <c r="O142" s="5" t="str">
        <f>IFERROR(VLOOKUP(E142,Specifications!$A$2:$D$9,4,FALSE),"")</f>
        <v/>
      </c>
      <c r="P142" s="8" t="str">
        <f t="shared" si="9"/>
        <v/>
      </c>
      <c r="Q142" s="9"/>
    </row>
    <row r="143" spans="1:17" ht="15">
      <c r="A143" s="5" t="str">
        <f t="shared" si="7"/>
        <v/>
      </c>
      <c r="B143" s="6"/>
      <c r="C143" s="5" t="str">
        <f>IFERROR(VLOOKUP(B143,Lists!$A$2:$B$25,2,FALSE),"")</f>
        <v/>
      </c>
      <c r="D143" s="7"/>
      <c r="E143" s="6"/>
      <c r="F143" s="6" t="str">
        <f t="shared" si="8"/>
        <v/>
      </c>
      <c r="G143" s="6"/>
      <c r="H143" s="6"/>
      <c r="I143" s="6"/>
      <c r="J143" s="7"/>
      <c r="K143" s="5" t="str" cm="1">
        <f t="array" ref="K143">IF(OR(A143="",B143="",D143="",E143=""),"",A143&amp;"_"&amp;SUBSTITUTE(B143," ","-")&amp;"_"&amp;D143&amp;"_"&amp;SUBSTITUTE(SUBSTITUTE(E143," ",""),"€","Euro")&amp;"_"&amp;IF(F143="","Unknown",F143)&amp;IF(F143="Commemorative",IF(G143="","","_"&amp;SUBSTITUTE(SUBSTITUTE(SUBSTITUTE(G143," ","-"),"/","-"),CHAR(39),"")),"")&amp;IF(I143="Duplicate","_Dub"&amp;IF(SUMPRODUCT(($B$2:B143=B143)*($D$2:D143=D143)*($E$2:E143=E143)*($F$2:F143=F143)*($G$2:G143=G143)*($I$2:I143="Duplicate"))&lt;=1,"",SUMPRODUCT(($B$2:B143=B143)*($D$2:D143=D143)*($E$2:E143=E143)*($F$2:F143=F143)*($G$2:G143=G143)*($I$2:I143="Duplicate"))-1),"")&amp;".jpeg")</f>
        <v/>
      </c>
      <c r="L143" s="6"/>
      <c r="M143" s="5" t="str">
        <f>IFERROR(VLOOKUP(E143,Specifications!$A$2:$D$9,2,FALSE),"")</f>
        <v/>
      </c>
      <c r="N143" s="5" t="str">
        <f>IFERROR(VLOOKUP(E143,Specifications!$A$2:$D$9,3,FALSE),"")</f>
        <v/>
      </c>
      <c r="O143" s="5" t="str">
        <f>IFERROR(VLOOKUP(E143,Specifications!$A$2:$D$9,4,FALSE),"")</f>
        <v/>
      </c>
      <c r="P143" s="8" t="str">
        <f t="shared" si="9"/>
        <v/>
      </c>
      <c r="Q143" s="9"/>
    </row>
    <row r="144" spans="1:17" ht="15">
      <c r="A144" s="5" t="str">
        <f t="shared" si="7"/>
        <v/>
      </c>
      <c r="B144" s="6"/>
      <c r="C144" s="5" t="str">
        <f>IFERROR(VLOOKUP(B144,Lists!$A$2:$B$25,2,FALSE),"")</f>
        <v/>
      </c>
      <c r="D144" s="7"/>
      <c r="E144" s="6"/>
      <c r="F144" s="6" t="str">
        <f t="shared" si="8"/>
        <v/>
      </c>
      <c r="G144" s="6"/>
      <c r="H144" s="6"/>
      <c r="I144" s="6"/>
      <c r="J144" s="7"/>
      <c r="K144" s="5" t="str" cm="1">
        <f t="array" ref="K144">IF(OR(A144="",B144="",D144="",E144=""),"",A144&amp;"_"&amp;SUBSTITUTE(B144," ","-")&amp;"_"&amp;D144&amp;"_"&amp;SUBSTITUTE(SUBSTITUTE(E144," ",""),"€","Euro")&amp;"_"&amp;IF(F144="","Unknown",F144)&amp;IF(F144="Commemorative",IF(G144="","","_"&amp;SUBSTITUTE(SUBSTITUTE(SUBSTITUTE(G144," ","-"),"/","-"),CHAR(39),"")),"")&amp;IF(I144="Duplicate","_Dub"&amp;IF(SUMPRODUCT(($B$2:B144=B144)*($D$2:D144=D144)*($E$2:E144=E144)*($F$2:F144=F144)*($G$2:G144=G144)*($I$2:I144="Duplicate"))&lt;=1,"",SUMPRODUCT(($B$2:B144=B144)*($D$2:D144=D144)*($E$2:E144=E144)*($F$2:F144=F144)*($G$2:G144=G144)*($I$2:I144="Duplicate"))-1),"")&amp;".jpeg")</f>
        <v/>
      </c>
      <c r="L144" s="6"/>
      <c r="M144" s="5" t="str">
        <f>IFERROR(VLOOKUP(E144,Specifications!$A$2:$D$9,2,FALSE),"")</f>
        <v/>
      </c>
      <c r="N144" s="5" t="str">
        <f>IFERROR(VLOOKUP(E144,Specifications!$A$2:$D$9,3,FALSE),"")</f>
        <v/>
      </c>
      <c r="O144" s="5" t="str">
        <f>IFERROR(VLOOKUP(E144,Specifications!$A$2:$D$9,4,FALSE),"")</f>
        <v/>
      </c>
      <c r="P144" s="8" t="str">
        <f t="shared" si="9"/>
        <v/>
      </c>
      <c r="Q144" s="9"/>
    </row>
    <row r="145" spans="1:17" ht="15">
      <c r="A145" s="5" t="str">
        <f t="shared" si="7"/>
        <v/>
      </c>
      <c r="B145" s="6"/>
      <c r="C145" s="5" t="str">
        <f>IFERROR(VLOOKUP(B145,Lists!$A$2:$B$25,2,FALSE),"")</f>
        <v/>
      </c>
      <c r="D145" s="7"/>
      <c r="E145" s="6"/>
      <c r="F145" s="6" t="str">
        <f t="shared" si="8"/>
        <v/>
      </c>
      <c r="G145" s="6"/>
      <c r="H145" s="6"/>
      <c r="I145" s="6"/>
      <c r="J145" s="7"/>
      <c r="K145" s="5" t="str" cm="1">
        <f t="array" ref="K145">IF(OR(A145="",B145="",D145="",E145=""),"",A145&amp;"_"&amp;SUBSTITUTE(B145," ","-")&amp;"_"&amp;D145&amp;"_"&amp;SUBSTITUTE(SUBSTITUTE(E145," ",""),"€","Euro")&amp;"_"&amp;IF(F145="","Unknown",F145)&amp;IF(F145="Commemorative",IF(G145="","","_"&amp;SUBSTITUTE(SUBSTITUTE(SUBSTITUTE(G145," ","-"),"/","-"),CHAR(39),"")),"")&amp;IF(I145="Duplicate","_Dub"&amp;IF(SUMPRODUCT(($B$2:B145=B145)*($D$2:D145=D145)*($E$2:E145=E145)*($F$2:F145=F145)*($G$2:G145=G145)*($I$2:I145="Duplicate"))&lt;=1,"",SUMPRODUCT(($B$2:B145=B145)*($D$2:D145=D145)*($E$2:E145=E145)*($F$2:F145=F145)*($G$2:G145=G145)*($I$2:I145="Duplicate"))-1),"")&amp;".jpeg")</f>
        <v/>
      </c>
      <c r="L145" s="6"/>
      <c r="M145" s="5" t="str">
        <f>IFERROR(VLOOKUP(E145,Specifications!$A$2:$D$9,2,FALSE),"")</f>
        <v/>
      </c>
      <c r="N145" s="5" t="str">
        <f>IFERROR(VLOOKUP(E145,Specifications!$A$2:$D$9,3,FALSE),"")</f>
        <v/>
      </c>
      <c r="O145" s="5" t="str">
        <f>IFERROR(VLOOKUP(E145,Specifications!$A$2:$D$9,4,FALSE),"")</f>
        <v/>
      </c>
      <c r="P145" s="8" t="str">
        <f t="shared" si="9"/>
        <v/>
      </c>
      <c r="Q145" s="9"/>
    </row>
    <row r="146" spans="1:17" ht="15">
      <c r="A146" s="5" t="str">
        <f t="shared" si="7"/>
        <v/>
      </c>
      <c r="B146" s="6"/>
      <c r="C146" s="5" t="str">
        <f>IFERROR(VLOOKUP(B146,Lists!$A$2:$B$25,2,FALSE),"")</f>
        <v/>
      </c>
      <c r="D146" s="7"/>
      <c r="E146" s="6"/>
      <c r="F146" s="6" t="str">
        <f t="shared" si="8"/>
        <v/>
      </c>
      <c r="G146" s="6"/>
      <c r="H146" s="6"/>
      <c r="I146" s="6"/>
      <c r="J146" s="7"/>
      <c r="K146" s="5" t="str" cm="1">
        <f t="array" ref="K146">IF(OR(A146="",B146="",D146="",E146=""),"",A146&amp;"_"&amp;SUBSTITUTE(B146," ","-")&amp;"_"&amp;D146&amp;"_"&amp;SUBSTITUTE(SUBSTITUTE(E146," ",""),"€","Euro")&amp;"_"&amp;IF(F146="","Unknown",F146)&amp;IF(F146="Commemorative",IF(G146="","","_"&amp;SUBSTITUTE(SUBSTITUTE(SUBSTITUTE(G146," ","-"),"/","-"),CHAR(39),"")),"")&amp;IF(I146="Duplicate","_Dub"&amp;IF(SUMPRODUCT(($B$2:B146=B146)*($D$2:D146=D146)*($E$2:E146=E146)*($F$2:F146=F146)*($G$2:G146=G146)*($I$2:I146="Duplicate"))&lt;=1,"",SUMPRODUCT(($B$2:B146=B146)*($D$2:D146=D146)*($E$2:E146=E146)*($F$2:F146=F146)*($G$2:G146=G146)*($I$2:I146="Duplicate"))-1),"")&amp;".jpeg")</f>
        <v/>
      </c>
      <c r="L146" s="6"/>
      <c r="M146" s="5" t="str">
        <f>IFERROR(VLOOKUP(E146,Specifications!$A$2:$D$9,2,FALSE),"")</f>
        <v/>
      </c>
      <c r="N146" s="5" t="str">
        <f>IFERROR(VLOOKUP(E146,Specifications!$A$2:$D$9,3,FALSE),"")</f>
        <v/>
      </c>
      <c r="O146" s="5" t="str">
        <f>IFERROR(VLOOKUP(E146,Specifications!$A$2:$D$9,4,FALSE),"")</f>
        <v/>
      </c>
      <c r="P146" s="8" t="str">
        <f t="shared" si="9"/>
        <v/>
      </c>
      <c r="Q146" s="9"/>
    </row>
    <row r="147" spans="1:17" ht="15">
      <c r="A147" s="5" t="str">
        <f t="shared" si="7"/>
        <v/>
      </c>
      <c r="B147" s="6"/>
      <c r="C147" s="5" t="str">
        <f>IFERROR(VLOOKUP(B147,Lists!$A$2:$B$25,2,FALSE),"")</f>
        <v/>
      </c>
      <c r="D147" s="7"/>
      <c r="E147" s="6"/>
      <c r="F147" s="6" t="str">
        <f t="shared" si="8"/>
        <v/>
      </c>
      <c r="G147" s="6"/>
      <c r="H147" s="6"/>
      <c r="I147" s="6"/>
      <c r="J147" s="7"/>
      <c r="K147" s="5" t="str" cm="1">
        <f t="array" ref="K147">IF(OR(A147="",B147="",D147="",E147=""),"",A147&amp;"_"&amp;SUBSTITUTE(B147," ","-")&amp;"_"&amp;D147&amp;"_"&amp;SUBSTITUTE(SUBSTITUTE(E147," ",""),"€","Euro")&amp;"_"&amp;IF(F147="","Unknown",F147)&amp;IF(F147="Commemorative",IF(G147="","","_"&amp;SUBSTITUTE(SUBSTITUTE(SUBSTITUTE(G147," ","-"),"/","-"),CHAR(39),"")),"")&amp;IF(I147="Duplicate","_Dub"&amp;IF(SUMPRODUCT(($B$2:B147=B147)*($D$2:D147=D147)*($E$2:E147=E147)*($F$2:F147=F147)*($G$2:G147=G147)*($I$2:I147="Duplicate"))&lt;=1,"",SUMPRODUCT(($B$2:B147=B147)*($D$2:D147=D147)*($E$2:E147=E147)*($F$2:F147=F147)*($G$2:G147=G147)*($I$2:I147="Duplicate"))-1),"")&amp;".jpeg")</f>
        <v/>
      </c>
      <c r="L147" s="6"/>
      <c r="M147" s="5" t="str">
        <f>IFERROR(VLOOKUP(E147,Specifications!$A$2:$D$9,2,FALSE),"")</f>
        <v/>
      </c>
      <c r="N147" s="5" t="str">
        <f>IFERROR(VLOOKUP(E147,Specifications!$A$2:$D$9,3,FALSE),"")</f>
        <v/>
      </c>
      <c r="O147" s="5" t="str">
        <f>IFERROR(VLOOKUP(E147,Specifications!$A$2:$D$9,4,FALSE),"")</f>
        <v/>
      </c>
      <c r="P147" s="8" t="str">
        <f t="shared" si="9"/>
        <v/>
      </c>
      <c r="Q147" s="9"/>
    </row>
    <row r="148" spans="1:17" ht="15">
      <c r="A148" s="5" t="str">
        <f t="shared" si="7"/>
        <v/>
      </c>
      <c r="B148" s="6"/>
      <c r="C148" s="5" t="str">
        <f>IFERROR(VLOOKUP(B148,Lists!$A$2:$B$25,2,FALSE),"")</f>
        <v/>
      </c>
      <c r="D148" s="7"/>
      <c r="E148" s="6"/>
      <c r="F148" s="6" t="str">
        <f t="shared" si="8"/>
        <v/>
      </c>
      <c r="G148" s="6"/>
      <c r="H148" s="6"/>
      <c r="I148" s="6"/>
      <c r="J148" s="7"/>
      <c r="K148" s="5" t="str" cm="1">
        <f t="array" ref="K148">IF(OR(A148="",B148="",D148="",E148=""),"",A148&amp;"_"&amp;SUBSTITUTE(B148," ","-")&amp;"_"&amp;D148&amp;"_"&amp;SUBSTITUTE(SUBSTITUTE(E148," ",""),"€","Euro")&amp;"_"&amp;IF(F148="","Unknown",F148)&amp;IF(F148="Commemorative",IF(G148="","","_"&amp;SUBSTITUTE(SUBSTITUTE(SUBSTITUTE(G148," ","-"),"/","-"),CHAR(39),"")),"")&amp;IF(I148="Duplicate","_Dub"&amp;IF(SUMPRODUCT(($B$2:B148=B148)*($D$2:D148=D148)*($E$2:E148=E148)*($F$2:F148=F148)*($G$2:G148=G148)*($I$2:I148="Duplicate"))&lt;=1,"",SUMPRODUCT(($B$2:B148=B148)*($D$2:D148=D148)*($E$2:E148=E148)*($F$2:F148=F148)*($G$2:G148=G148)*($I$2:I148="Duplicate"))-1),"")&amp;".jpeg")</f>
        <v/>
      </c>
      <c r="L148" s="6"/>
      <c r="M148" s="5" t="str">
        <f>IFERROR(VLOOKUP(E148,Specifications!$A$2:$D$9,2,FALSE),"")</f>
        <v/>
      </c>
      <c r="N148" s="5" t="str">
        <f>IFERROR(VLOOKUP(E148,Specifications!$A$2:$D$9,3,FALSE),"")</f>
        <v/>
      </c>
      <c r="O148" s="5" t="str">
        <f>IFERROR(VLOOKUP(E148,Specifications!$A$2:$D$9,4,FALSE),"")</f>
        <v/>
      </c>
      <c r="P148" s="8" t="str">
        <f t="shared" si="9"/>
        <v/>
      </c>
      <c r="Q148" s="9"/>
    </row>
    <row r="149" spans="1:17" ht="15">
      <c r="A149" s="5" t="str">
        <f t="shared" si="7"/>
        <v/>
      </c>
      <c r="B149" s="6"/>
      <c r="C149" s="5" t="str">
        <f>IFERROR(VLOOKUP(B149,Lists!$A$2:$B$25,2,FALSE),"")</f>
        <v/>
      </c>
      <c r="D149" s="7"/>
      <c r="E149" s="6"/>
      <c r="F149" s="6" t="str">
        <f t="shared" si="8"/>
        <v/>
      </c>
      <c r="G149" s="6"/>
      <c r="H149" s="6"/>
      <c r="I149" s="6"/>
      <c r="J149" s="7"/>
      <c r="K149" s="5" t="str" cm="1">
        <f t="array" ref="K149">IF(OR(A149="",B149="",D149="",E149=""),"",A149&amp;"_"&amp;SUBSTITUTE(B149," ","-")&amp;"_"&amp;D149&amp;"_"&amp;SUBSTITUTE(SUBSTITUTE(E149," ",""),"€","Euro")&amp;"_"&amp;IF(F149="","Unknown",F149)&amp;IF(F149="Commemorative",IF(G149="","","_"&amp;SUBSTITUTE(SUBSTITUTE(SUBSTITUTE(G149," ","-"),"/","-"),CHAR(39),"")),"")&amp;IF(I149="Duplicate","_Dub"&amp;IF(SUMPRODUCT(($B$2:B149=B149)*($D$2:D149=D149)*($E$2:E149=E149)*($F$2:F149=F149)*($G$2:G149=G149)*($I$2:I149="Duplicate"))&lt;=1,"",SUMPRODUCT(($B$2:B149=B149)*($D$2:D149=D149)*($E$2:E149=E149)*($F$2:F149=F149)*($G$2:G149=G149)*($I$2:I149="Duplicate"))-1),"")&amp;".jpeg")</f>
        <v/>
      </c>
      <c r="L149" s="6"/>
      <c r="M149" s="5" t="str">
        <f>IFERROR(VLOOKUP(E149,Specifications!$A$2:$D$9,2,FALSE),"")</f>
        <v/>
      </c>
      <c r="N149" s="5" t="str">
        <f>IFERROR(VLOOKUP(E149,Specifications!$A$2:$D$9,3,FALSE),"")</f>
        <v/>
      </c>
      <c r="O149" s="5" t="str">
        <f>IFERROR(VLOOKUP(E149,Specifications!$A$2:$D$9,4,FALSE),"")</f>
        <v/>
      </c>
      <c r="P149" s="8" t="str">
        <f t="shared" si="9"/>
        <v/>
      </c>
      <c r="Q149" s="9"/>
    </row>
    <row r="150" spans="1:17" ht="15">
      <c r="A150" s="5" t="str">
        <f t="shared" si="7"/>
        <v/>
      </c>
      <c r="B150" s="6"/>
      <c r="C150" s="5" t="str">
        <f>IFERROR(VLOOKUP(B150,Lists!$A$2:$B$25,2,FALSE),"")</f>
        <v/>
      </c>
      <c r="D150" s="7"/>
      <c r="E150" s="6"/>
      <c r="F150" s="6" t="str">
        <f t="shared" si="8"/>
        <v/>
      </c>
      <c r="G150" s="6"/>
      <c r="H150" s="6"/>
      <c r="I150" s="6"/>
      <c r="J150" s="7"/>
      <c r="K150" s="5" t="str" cm="1">
        <f t="array" ref="K150">IF(OR(A150="",B150="",D150="",E150=""),"",A150&amp;"_"&amp;SUBSTITUTE(B150," ","-")&amp;"_"&amp;D150&amp;"_"&amp;SUBSTITUTE(SUBSTITUTE(E150," ",""),"€","Euro")&amp;"_"&amp;IF(F150="","Unknown",F150)&amp;IF(F150="Commemorative",IF(G150="","","_"&amp;SUBSTITUTE(SUBSTITUTE(SUBSTITUTE(G150," ","-"),"/","-"),CHAR(39),"")),"")&amp;IF(I150="Duplicate","_Dub"&amp;IF(SUMPRODUCT(($B$2:B150=B150)*($D$2:D150=D150)*($E$2:E150=E150)*($F$2:F150=F150)*($G$2:G150=G150)*($I$2:I150="Duplicate"))&lt;=1,"",SUMPRODUCT(($B$2:B150=B150)*($D$2:D150=D150)*($E$2:E150=E150)*($F$2:F150=F150)*($G$2:G150=G150)*($I$2:I150="Duplicate"))-1),"")&amp;".jpeg")</f>
        <v/>
      </c>
      <c r="L150" s="6"/>
      <c r="M150" s="5" t="str">
        <f>IFERROR(VLOOKUP(E150,Specifications!$A$2:$D$9,2,FALSE),"")</f>
        <v/>
      </c>
      <c r="N150" s="5" t="str">
        <f>IFERROR(VLOOKUP(E150,Specifications!$A$2:$D$9,3,FALSE),"")</f>
        <v/>
      </c>
      <c r="O150" s="5" t="str">
        <f>IFERROR(VLOOKUP(E150,Specifications!$A$2:$D$9,4,FALSE),"")</f>
        <v/>
      </c>
      <c r="P150" s="8" t="str">
        <f t="shared" si="9"/>
        <v/>
      </c>
      <c r="Q150" s="9"/>
    </row>
    <row r="151" spans="1:17" ht="15">
      <c r="A151" s="5" t="str">
        <f t="shared" si="7"/>
        <v/>
      </c>
      <c r="B151" s="6"/>
      <c r="C151" s="5" t="str">
        <f>IFERROR(VLOOKUP(B151,Lists!$A$2:$B$25,2,FALSE),"")</f>
        <v/>
      </c>
      <c r="D151" s="7"/>
      <c r="E151" s="6"/>
      <c r="F151" s="6" t="str">
        <f t="shared" si="8"/>
        <v/>
      </c>
      <c r="G151" s="6"/>
      <c r="H151" s="6"/>
      <c r="I151" s="6"/>
      <c r="J151" s="7"/>
      <c r="K151" s="5" t="str" cm="1">
        <f t="array" ref="K151">IF(OR(A151="",B151="",D151="",E151=""),"",A151&amp;"_"&amp;SUBSTITUTE(B151," ","-")&amp;"_"&amp;D151&amp;"_"&amp;SUBSTITUTE(SUBSTITUTE(E151," ",""),"€","Euro")&amp;"_"&amp;IF(F151="","Unknown",F151)&amp;IF(F151="Commemorative",IF(G151="","","_"&amp;SUBSTITUTE(SUBSTITUTE(SUBSTITUTE(G151," ","-"),"/","-"),CHAR(39),"")),"")&amp;IF(I151="Duplicate","_Dub"&amp;IF(SUMPRODUCT(($B$2:B151=B151)*($D$2:D151=D151)*($E$2:E151=E151)*($F$2:F151=F151)*($G$2:G151=G151)*($I$2:I151="Duplicate"))&lt;=1,"",SUMPRODUCT(($B$2:B151=B151)*($D$2:D151=D151)*($E$2:E151=E151)*($F$2:F151=F151)*($G$2:G151=G151)*($I$2:I151="Duplicate"))-1),"")&amp;".jpeg")</f>
        <v/>
      </c>
      <c r="L151" s="6"/>
      <c r="M151" s="5" t="str">
        <f>IFERROR(VLOOKUP(E151,Specifications!$A$2:$D$9,2,FALSE),"")</f>
        <v/>
      </c>
      <c r="N151" s="5" t="str">
        <f>IFERROR(VLOOKUP(E151,Specifications!$A$2:$D$9,3,FALSE),"")</f>
        <v/>
      </c>
      <c r="O151" s="5" t="str">
        <f>IFERROR(VLOOKUP(E151,Specifications!$A$2:$D$9,4,FALSE),"")</f>
        <v/>
      </c>
      <c r="P151" s="8" t="str">
        <f t="shared" si="9"/>
        <v/>
      </c>
      <c r="Q151" s="9"/>
    </row>
    <row r="152" spans="1:17" ht="15">
      <c r="A152" s="5" t="str">
        <f t="shared" si="7"/>
        <v/>
      </c>
      <c r="B152" s="6"/>
      <c r="C152" s="5" t="str">
        <f>IFERROR(VLOOKUP(B152,Lists!$A$2:$B$25,2,FALSE),"")</f>
        <v/>
      </c>
      <c r="D152" s="7"/>
      <c r="E152" s="6"/>
      <c r="F152" s="6" t="str">
        <f t="shared" si="8"/>
        <v/>
      </c>
      <c r="G152" s="6"/>
      <c r="H152" s="6"/>
      <c r="I152" s="6"/>
      <c r="J152" s="7"/>
      <c r="K152" s="5" t="str" cm="1">
        <f t="array" ref="K152">IF(OR(A152="",B152="",D152="",E152=""),"",A152&amp;"_"&amp;SUBSTITUTE(B152," ","-")&amp;"_"&amp;D152&amp;"_"&amp;SUBSTITUTE(SUBSTITUTE(E152," ",""),"€","Euro")&amp;"_"&amp;IF(F152="","Unknown",F152)&amp;IF(F152="Commemorative",IF(G152="","","_"&amp;SUBSTITUTE(SUBSTITUTE(SUBSTITUTE(G152," ","-"),"/","-"),CHAR(39),"")),"")&amp;IF(I152="Duplicate","_Dub"&amp;IF(SUMPRODUCT(($B$2:B152=B152)*($D$2:D152=D152)*($E$2:E152=E152)*($F$2:F152=F152)*($G$2:G152=G152)*($I$2:I152="Duplicate"))&lt;=1,"",SUMPRODUCT(($B$2:B152=B152)*($D$2:D152=D152)*($E$2:E152=E152)*($F$2:F152=F152)*($G$2:G152=G152)*($I$2:I152="Duplicate"))-1),"")&amp;".jpeg")</f>
        <v/>
      </c>
      <c r="L152" s="6"/>
      <c r="M152" s="5" t="str">
        <f>IFERROR(VLOOKUP(E152,Specifications!$A$2:$D$9,2,FALSE),"")</f>
        <v/>
      </c>
      <c r="N152" s="5" t="str">
        <f>IFERROR(VLOOKUP(E152,Specifications!$A$2:$D$9,3,FALSE),"")</f>
        <v/>
      </c>
      <c r="O152" s="5" t="str">
        <f>IFERROR(VLOOKUP(E152,Specifications!$A$2:$D$9,4,FALSE),"")</f>
        <v/>
      </c>
      <c r="P152" s="8" t="str">
        <f t="shared" si="9"/>
        <v/>
      </c>
      <c r="Q152" s="9"/>
    </row>
    <row r="153" spans="1:17" ht="15">
      <c r="A153" s="5" t="str">
        <f t="shared" si="7"/>
        <v/>
      </c>
      <c r="B153" s="6"/>
      <c r="C153" s="5" t="str">
        <f>IFERROR(VLOOKUP(B153,Lists!$A$2:$B$25,2,FALSE),"")</f>
        <v/>
      </c>
      <c r="D153" s="7"/>
      <c r="E153" s="6"/>
      <c r="F153" s="6" t="str">
        <f t="shared" si="8"/>
        <v/>
      </c>
      <c r="G153" s="6"/>
      <c r="H153" s="6"/>
      <c r="I153" s="6"/>
      <c r="J153" s="7"/>
      <c r="K153" s="5" t="str" cm="1">
        <f t="array" ref="K153">IF(OR(A153="",B153="",D153="",E153=""),"",A153&amp;"_"&amp;SUBSTITUTE(B153," ","-")&amp;"_"&amp;D153&amp;"_"&amp;SUBSTITUTE(SUBSTITUTE(E153," ",""),"€","Euro")&amp;"_"&amp;IF(F153="","Unknown",F153)&amp;IF(F153="Commemorative",IF(G153="","","_"&amp;SUBSTITUTE(SUBSTITUTE(SUBSTITUTE(G153," ","-"),"/","-"),CHAR(39),"")),"")&amp;IF(I153="Duplicate","_Dub"&amp;IF(SUMPRODUCT(($B$2:B153=B153)*($D$2:D153=D153)*($E$2:E153=E153)*($F$2:F153=F153)*($G$2:G153=G153)*($I$2:I153="Duplicate"))&lt;=1,"",SUMPRODUCT(($B$2:B153=B153)*($D$2:D153=D153)*($E$2:E153=E153)*($F$2:F153=F153)*($G$2:G153=G153)*($I$2:I153="Duplicate"))-1),"")&amp;".jpeg")</f>
        <v/>
      </c>
      <c r="L153" s="6"/>
      <c r="M153" s="5" t="str">
        <f>IFERROR(VLOOKUP(E153,Specifications!$A$2:$D$9,2,FALSE),"")</f>
        <v/>
      </c>
      <c r="N153" s="5" t="str">
        <f>IFERROR(VLOOKUP(E153,Specifications!$A$2:$D$9,3,FALSE),"")</f>
        <v/>
      </c>
      <c r="O153" s="5" t="str">
        <f>IFERROR(VLOOKUP(E153,Specifications!$A$2:$D$9,4,FALSE),"")</f>
        <v/>
      </c>
      <c r="P153" s="8" t="str">
        <f t="shared" si="9"/>
        <v/>
      </c>
      <c r="Q153" s="9"/>
    </row>
    <row r="154" spans="1:17" ht="15">
      <c r="A154" s="5" t="str">
        <f t="shared" si="7"/>
        <v/>
      </c>
      <c r="B154" s="6"/>
      <c r="C154" s="5" t="str">
        <f>IFERROR(VLOOKUP(B154,Lists!$A$2:$B$25,2,FALSE),"")</f>
        <v/>
      </c>
      <c r="D154" s="7"/>
      <c r="E154" s="6"/>
      <c r="F154" s="6" t="str">
        <f t="shared" si="8"/>
        <v/>
      </c>
      <c r="G154" s="6"/>
      <c r="H154" s="6"/>
      <c r="I154" s="6"/>
      <c r="J154" s="7"/>
      <c r="K154" s="5" t="str" cm="1">
        <f t="array" ref="K154">IF(OR(A154="",B154="",D154="",E154=""),"",A154&amp;"_"&amp;SUBSTITUTE(B154," ","-")&amp;"_"&amp;D154&amp;"_"&amp;SUBSTITUTE(SUBSTITUTE(E154," ",""),"€","Euro")&amp;"_"&amp;IF(F154="","Unknown",F154)&amp;IF(F154="Commemorative",IF(G154="","","_"&amp;SUBSTITUTE(SUBSTITUTE(SUBSTITUTE(G154," ","-"),"/","-"),CHAR(39),"")),"")&amp;IF(I154="Duplicate","_Dub"&amp;IF(SUMPRODUCT(($B$2:B154=B154)*($D$2:D154=D154)*($E$2:E154=E154)*($F$2:F154=F154)*($G$2:G154=G154)*($I$2:I154="Duplicate"))&lt;=1,"",SUMPRODUCT(($B$2:B154=B154)*($D$2:D154=D154)*($E$2:E154=E154)*($F$2:F154=F154)*($G$2:G154=G154)*($I$2:I154="Duplicate"))-1),"")&amp;".jpeg")</f>
        <v/>
      </c>
      <c r="L154" s="6"/>
      <c r="M154" s="5" t="str">
        <f>IFERROR(VLOOKUP(E154,Specifications!$A$2:$D$9,2,FALSE),"")</f>
        <v/>
      </c>
      <c r="N154" s="5" t="str">
        <f>IFERROR(VLOOKUP(E154,Specifications!$A$2:$D$9,3,FALSE),"")</f>
        <v/>
      </c>
      <c r="O154" s="5" t="str">
        <f>IFERROR(VLOOKUP(E154,Specifications!$A$2:$D$9,4,FALSE),"")</f>
        <v/>
      </c>
      <c r="P154" s="8" t="str">
        <f t="shared" si="9"/>
        <v/>
      </c>
      <c r="Q154" s="9"/>
    </row>
    <row r="155" spans="1:17" ht="15">
      <c r="A155" s="5" t="str">
        <f t="shared" si="7"/>
        <v/>
      </c>
      <c r="B155" s="6"/>
      <c r="C155" s="5" t="str">
        <f>IFERROR(VLOOKUP(B155,Lists!$A$2:$B$25,2,FALSE),"")</f>
        <v/>
      </c>
      <c r="D155" s="7"/>
      <c r="E155" s="6"/>
      <c r="F155" s="6" t="str">
        <f t="shared" si="8"/>
        <v/>
      </c>
      <c r="G155" s="6"/>
      <c r="H155" s="6"/>
      <c r="I155" s="6"/>
      <c r="J155" s="7"/>
      <c r="K155" s="5" t="str" cm="1">
        <f t="array" ref="K155">IF(OR(A155="",B155="",D155="",E155=""),"",A155&amp;"_"&amp;SUBSTITUTE(B155," ","-")&amp;"_"&amp;D155&amp;"_"&amp;SUBSTITUTE(SUBSTITUTE(E155," ",""),"€","Euro")&amp;"_"&amp;IF(F155="","Unknown",F155)&amp;IF(F155="Commemorative",IF(G155="","","_"&amp;SUBSTITUTE(SUBSTITUTE(SUBSTITUTE(G155," ","-"),"/","-"),CHAR(39),"")),"")&amp;IF(I155="Duplicate","_Dub"&amp;IF(SUMPRODUCT(($B$2:B155=B155)*($D$2:D155=D155)*($E$2:E155=E155)*($F$2:F155=F155)*($G$2:G155=G155)*($I$2:I155="Duplicate"))&lt;=1,"",SUMPRODUCT(($B$2:B155=B155)*($D$2:D155=D155)*($E$2:E155=E155)*($F$2:F155=F155)*($G$2:G155=G155)*($I$2:I155="Duplicate"))-1),"")&amp;".jpeg")</f>
        <v/>
      </c>
      <c r="L155" s="6"/>
      <c r="M155" s="5" t="str">
        <f>IFERROR(VLOOKUP(E155,Specifications!$A$2:$D$9,2,FALSE),"")</f>
        <v/>
      </c>
      <c r="N155" s="5" t="str">
        <f>IFERROR(VLOOKUP(E155,Specifications!$A$2:$D$9,3,FALSE),"")</f>
        <v/>
      </c>
      <c r="O155" s="5" t="str">
        <f>IFERROR(VLOOKUP(E155,Specifications!$A$2:$D$9,4,FALSE),"")</f>
        <v/>
      </c>
      <c r="P155" s="8" t="str">
        <f t="shared" si="9"/>
        <v/>
      </c>
      <c r="Q155" s="9"/>
    </row>
    <row r="156" spans="1:17" ht="15">
      <c r="A156" s="5" t="str">
        <f t="shared" si="7"/>
        <v/>
      </c>
      <c r="B156" s="6"/>
      <c r="C156" s="5" t="str">
        <f>IFERROR(VLOOKUP(B156,Lists!$A$2:$B$25,2,FALSE),"")</f>
        <v/>
      </c>
      <c r="D156" s="7"/>
      <c r="E156" s="6"/>
      <c r="F156" s="6" t="str">
        <f t="shared" si="8"/>
        <v/>
      </c>
      <c r="G156" s="6"/>
      <c r="H156" s="6"/>
      <c r="I156" s="6"/>
      <c r="J156" s="7"/>
      <c r="K156" s="5" t="str" cm="1">
        <f t="array" ref="K156">IF(OR(A156="",B156="",D156="",E156=""),"",A156&amp;"_"&amp;SUBSTITUTE(B156," ","-")&amp;"_"&amp;D156&amp;"_"&amp;SUBSTITUTE(SUBSTITUTE(E156," ",""),"€","Euro")&amp;"_"&amp;IF(F156="","Unknown",F156)&amp;IF(F156="Commemorative",IF(G156="","","_"&amp;SUBSTITUTE(SUBSTITUTE(SUBSTITUTE(G156," ","-"),"/","-"),CHAR(39),"")),"")&amp;IF(I156="Duplicate","_Dub"&amp;IF(SUMPRODUCT(($B$2:B156=B156)*($D$2:D156=D156)*($E$2:E156=E156)*($F$2:F156=F156)*($G$2:G156=G156)*($I$2:I156="Duplicate"))&lt;=1,"",SUMPRODUCT(($B$2:B156=B156)*($D$2:D156=D156)*($E$2:E156=E156)*($F$2:F156=F156)*($G$2:G156=G156)*($I$2:I156="Duplicate"))-1),"")&amp;".jpeg")</f>
        <v/>
      </c>
      <c r="L156" s="6"/>
      <c r="M156" s="5" t="str">
        <f>IFERROR(VLOOKUP(E156,Specifications!$A$2:$D$9,2,FALSE),"")</f>
        <v/>
      </c>
      <c r="N156" s="5" t="str">
        <f>IFERROR(VLOOKUP(E156,Specifications!$A$2:$D$9,3,FALSE),"")</f>
        <v/>
      </c>
      <c r="O156" s="5" t="str">
        <f>IFERROR(VLOOKUP(E156,Specifications!$A$2:$D$9,4,FALSE),"")</f>
        <v/>
      </c>
      <c r="P156" s="8" t="str">
        <f t="shared" si="9"/>
        <v/>
      </c>
      <c r="Q156" s="9"/>
    </row>
    <row r="157" spans="1:17" ht="15">
      <c r="A157" s="5" t="str">
        <f t="shared" si="7"/>
        <v/>
      </c>
      <c r="B157" s="6"/>
      <c r="C157" s="5" t="str">
        <f>IFERROR(VLOOKUP(B157,Lists!$A$2:$B$25,2,FALSE),"")</f>
        <v/>
      </c>
      <c r="D157" s="7"/>
      <c r="E157" s="6"/>
      <c r="F157" s="6" t="str">
        <f t="shared" si="8"/>
        <v/>
      </c>
      <c r="G157" s="6"/>
      <c r="H157" s="6"/>
      <c r="I157" s="6"/>
      <c r="J157" s="7"/>
      <c r="K157" s="5" t="str" cm="1">
        <f t="array" ref="K157">IF(OR(A157="",B157="",D157="",E157=""),"",A157&amp;"_"&amp;SUBSTITUTE(B157," ","-")&amp;"_"&amp;D157&amp;"_"&amp;SUBSTITUTE(SUBSTITUTE(E157," ",""),"€","Euro")&amp;"_"&amp;IF(F157="","Unknown",F157)&amp;IF(F157="Commemorative",IF(G157="","","_"&amp;SUBSTITUTE(SUBSTITUTE(SUBSTITUTE(G157," ","-"),"/","-"),CHAR(39),"")),"")&amp;IF(I157="Duplicate","_Dub"&amp;IF(SUMPRODUCT(($B$2:B157=B157)*($D$2:D157=D157)*($E$2:E157=E157)*($F$2:F157=F157)*($G$2:G157=G157)*($I$2:I157="Duplicate"))&lt;=1,"",SUMPRODUCT(($B$2:B157=B157)*($D$2:D157=D157)*($E$2:E157=E157)*($F$2:F157=F157)*($G$2:G157=G157)*($I$2:I157="Duplicate"))-1),"")&amp;".jpeg")</f>
        <v/>
      </c>
      <c r="L157" s="6"/>
      <c r="M157" s="5" t="str">
        <f>IFERROR(VLOOKUP(E157,Specifications!$A$2:$D$9,2,FALSE),"")</f>
        <v/>
      </c>
      <c r="N157" s="5" t="str">
        <f>IFERROR(VLOOKUP(E157,Specifications!$A$2:$D$9,3,FALSE),"")</f>
        <v/>
      </c>
      <c r="O157" s="5" t="str">
        <f>IFERROR(VLOOKUP(E157,Specifications!$A$2:$D$9,4,FALSE),"")</f>
        <v/>
      </c>
      <c r="P157" s="8" t="str">
        <f t="shared" si="9"/>
        <v/>
      </c>
      <c r="Q157" s="9"/>
    </row>
    <row r="158" spans="1:17" ht="15">
      <c r="A158" s="5" t="str">
        <f t="shared" si="7"/>
        <v/>
      </c>
      <c r="B158" s="6"/>
      <c r="C158" s="5" t="str">
        <f>IFERROR(VLOOKUP(B158,Lists!$A$2:$B$25,2,FALSE),"")</f>
        <v/>
      </c>
      <c r="D158" s="7"/>
      <c r="E158" s="6"/>
      <c r="F158" s="6" t="str">
        <f t="shared" si="8"/>
        <v/>
      </c>
      <c r="G158" s="6"/>
      <c r="H158" s="6"/>
      <c r="I158" s="6"/>
      <c r="J158" s="7"/>
      <c r="K158" s="5" t="str" cm="1">
        <f t="array" ref="K158">IF(OR(A158="",B158="",D158="",E158=""),"",A158&amp;"_"&amp;SUBSTITUTE(B158," ","-")&amp;"_"&amp;D158&amp;"_"&amp;SUBSTITUTE(SUBSTITUTE(E158," ",""),"€","Euro")&amp;"_"&amp;IF(F158="","Unknown",F158)&amp;IF(F158="Commemorative",IF(G158="","","_"&amp;SUBSTITUTE(SUBSTITUTE(SUBSTITUTE(G158," ","-"),"/","-"),CHAR(39),"")),"")&amp;IF(I158="Duplicate","_Dub"&amp;IF(SUMPRODUCT(($B$2:B158=B158)*($D$2:D158=D158)*($E$2:E158=E158)*($F$2:F158=F158)*($G$2:G158=G158)*($I$2:I158="Duplicate"))&lt;=1,"",SUMPRODUCT(($B$2:B158=B158)*($D$2:D158=D158)*($E$2:E158=E158)*($F$2:F158=F158)*($G$2:G158=G158)*($I$2:I158="Duplicate"))-1),"")&amp;".jpeg")</f>
        <v/>
      </c>
      <c r="L158" s="6"/>
      <c r="M158" s="5" t="str">
        <f>IFERROR(VLOOKUP(E158,Specifications!$A$2:$D$9,2,FALSE),"")</f>
        <v/>
      </c>
      <c r="N158" s="5" t="str">
        <f>IFERROR(VLOOKUP(E158,Specifications!$A$2:$D$9,3,FALSE),"")</f>
        <v/>
      </c>
      <c r="O158" s="5" t="str">
        <f>IFERROR(VLOOKUP(E158,Specifications!$A$2:$D$9,4,FALSE),"")</f>
        <v/>
      </c>
      <c r="P158" s="8" t="str">
        <f t="shared" si="9"/>
        <v/>
      </c>
      <c r="Q158" s="9"/>
    </row>
    <row r="159" spans="1:17" ht="15">
      <c r="A159" s="5" t="str">
        <f t="shared" si="7"/>
        <v/>
      </c>
      <c r="B159" s="6"/>
      <c r="C159" s="5" t="str">
        <f>IFERROR(VLOOKUP(B159,Lists!$A$2:$B$25,2,FALSE),"")</f>
        <v/>
      </c>
      <c r="D159" s="7"/>
      <c r="E159" s="6"/>
      <c r="F159" s="6" t="str">
        <f t="shared" si="8"/>
        <v/>
      </c>
      <c r="G159" s="6"/>
      <c r="H159" s="6"/>
      <c r="I159" s="6"/>
      <c r="J159" s="7"/>
      <c r="K159" s="5" t="str" cm="1">
        <f t="array" ref="K159">IF(OR(A159="",B159="",D159="",E159=""),"",A159&amp;"_"&amp;SUBSTITUTE(B159," ","-")&amp;"_"&amp;D159&amp;"_"&amp;SUBSTITUTE(SUBSTITUTE(E159," ",""),"€","Euro")&amp;"_"&amp;IF(F159="","Unknown",F159)&amp;IF(F159="Commemorative",IF(G159="","","_"&amp;SUBSTITUTE(SUBSTITUTE(SUBSTITUTE(G159," ","-"),"/","-"),CHAR(39),"")),"")&amp;IF(I159="Duplicate","_Dub"&amp;IF(SUMPRODUCT(($B$2:B159=B159)*($D$2:D159=D159)*($E$2:E159=E159)*($F$2:F159=F159)*($G$2:G159=G159)*($I$2:I159="Duplicate"))&lt;=1,"",SUMPRODUCT(($B$2:B159=B159)*($D$2:D159=D159)*($E$2:E159=E159)*($F$2:F159=F159)*($G$2:G159=G159)*($I$2:I159="Duplicate"))-1),"")&amp;".jpeg")</f>
        <v/>
      </c>
      <c r="L159" s="6"/>
      <c r="M159" s="5" t="str">
        <f>IFERROR(VLOOKUP(E159,Specifications!$A$2:$D$9,2,FALSE),"")</f>
        <v/>
      </c>
      <c r="N159" s="5" t="str">
        <f>IFERROR(VLOOKUP(E159,Specifications!$A$2:$D$9,3,FALSE),"")</f>
        <v/>
      </c>
      <c r="O159" s="5" t="str">
        <f>IFERROR(VLOOKUP(E159,Specifications!$A$2:$D$9,4,FALSE),"")</f>
        <v/>
      </c>
      <c r="P159" s="8" t="str">
        <f t="shared" si="9"/>
        <v/>
      </c>
      <c r="Q159" s="9"/>
    </row>
    <row r="160" spans="1:17" ht="15">
      <c r="A160" s="5" t="str">
        <f t="shared" si="7"/>
        <v/>
      </c>
      <c r="B160" s="6"/>
      <c r="C160" s="5" t="str">
        <f>IFERROR(VLOOKUP(B160,Lists!$A$2:$B$25,2,FALSE),"")</f>
        <v/>
      </c>
      <c r="D160" s="7"/>
      <c r="E160" s="6"/>
      <c r="F160" s="6" t="str">
        <f t="shared" si="8"/>
        <v/>
      </c>
      <c r="G160" s="6"/>
      <c r="H160" s="6"/>
      <c r="I160" s="6"/>
      <c r="J160" s="7"/>
      <c r="K160" s="5" t="str" cm="1">
        <f t="array" ref="K160">IF(OR(A160="",B160="",D160="",E160=""),"",A160&amp;"_"&amp;SUBSTITUTE(B160," ","-")&amp;"_"&amp;D160&amp;"_"&amp;SUBSTITUTE(SUBSTITUTE(E160," ",""),"€","Euro")&amp;"_"&amp;IF(F160="","Unknown",F160)&amp;IF(F160="Commemorative",IF(G160="","","_"&amp;SUBSTITUTE(SUBSTITUTE(SUBSTITUTE(G160," ","-"),"/","-"),CHAR(39),"")),"")&amp;IF(I160="Duplicate","_Dub"&amp;IF(SUMPRODUCT(($B$2:B160=B160)*($D$2:D160=D160)*($E$2:E160=E160)*($F$2:F160=F160)*($G$2:G160=G160)*($I$2:I160="Duplicate"))&lt;=1,"",SUMPRODUCT(($B$2:B160=B160)*($D$2:D160=D160)*($E$2:E160=E160)*($F$2:F160=F160)*($G$2:G160=G160)*($I$2:I160="Duplicate"))-1),"")&amp;".jpeg")</f>
        <v/>
      </c>
      <c r="L160" s="6"/>
      <c r="M160" s="5" t="str">
        <f>IFERROR(VLOOKUP(E160,Specifications!$A$2:$D$9,2,FALSE),"")</f>
        <v/>
      </c>
      <c r="N160" s="5" t="str">
        <f>IFERROR(VLOOKUP(E160,Specifications!$A$2:$D$9,3,FALSE),"")</f>
        <v/>
      </c>
      <c r="O160" s="5" t="str">
        <f>IFERROR(VLOOKUP(E160,Specifications!$A$2:$D$9,4,FALSE),"")</f>
        <v/>
      </c>
      <c r="P160" s="8" t="str">
        <f t="shared" si="9"/>
        <v/>
      </c>
      <c r="Q160" s="9"/>
    </row>
    <row r="161" spans="1:17" ht="15">
      <c r="A161" s="5" t="str">
        <f t="shared" si="7"/>
        <v/>
      </c>
      <c r="B161" s="6"/>
      <c r="C161" s="5" t="str">
        <f>IFERROR(VLOOKUP(B161,Lists!$A$2:$B$25,2,FALSE),"")</f>
        <v/>
      </c>
      <c r="D161" s="7"/>
      <c r="E161" s="6"/>
      <c r="F161" s="6" t="str">
        <f t="shared" si="8"/>
        <v/>
      </c>
      <c r="G161" s="6"/>
      <c r="H161" s="6"/>
      <c r="I161" s="6"/>
      <c r="J161" s="7"/>
      <c r="K161" s="5" t="str" cm="1">
        <f t="array" ref="K161">IF(OR(A161="",B161="",D161="",E161=""),"",A161&amp;"_"&amp;SUBSTITUTE(B161," ","-")&amp;"_"&amp;D161&amp;"_"&amp;SUBSTITUTE(SUBSTITUTE(E161," ",""),"€","Euro")&amp;"_"&amp;IF(F161="","Unknown",F161)&amp;IF(F161="Commemorative",IF(G161="","","_"&amp;SUBSTITUTE(SUBSTITUTE(SUBSTITUTE(G161," ","-"),"/","-"),CHAR(39),"")),"")&amp;IF(I161="Duplicate","_Dub"&amp;IF(SUMPRODUCT(($B$2:B161=B161)*($D$2:D161=D161)*($E$2:E161=E161)*($F$2:F161=F161)*($G$2:G161=G161)*($I$2:I161="Duplicate"))&lt;=1,"",SUMPRODUCT(($B$2:B161=B161)*($D$2:D161=D161)*($E$2:E161=E161)*($F$2:F161=F161)*($G$2:G161=G161)*($I$2:I161="Duplicate"))-1),"")&amp;".jpeg")</f>
        <v/>
      </c>
      <c r="L161" s="6"/>
      <c r="M161" s="5" t="str">
        <f>IFERROR(VLOOKUP(E161,Specifications!$A$2:$D$9,2,FALSE),"")</f>
        <v/>
      </c>
      <c r="N161" s="5" t="str">
        <f>IFERROR(VLOOKUP(E161,Specifications!$A$2:$D$9,3,FALSE),"")</f>
        <v/>
      </c>
      <c r="O161" s="5" t="str">
        <f>IFERROR(VLOOKUP(E161,Specifications!$A$2:$D$9,4,FALSE),"")</f>
        <v/>
      </c>
      <c r="P161" s="8" t="str">
        <f t="shared" si="9"/>
        <v/>
      </c>
      <c r="Q161" s="9"/>
    </row>
    <row r="162" spans="1:17" ht="15">
      <c r="A162" s="5" t="str">
        <f t="shared" si="7"/>
        <v/>
      </c>
      <c r="B162" s="6"/>
      <c r="C162" s="5" t="str">
        <f>IFERROR(VLOOKUP(B162,Lists!$A$2:$B$25,2,FALSE),"")</f>
        <v/>
      </c>
      <c r="D162" s="7"/>
      <c r="E162" s="6"/>
      <c r="F162" s="6" t="str">
        <f t="shared" si="8"/>
        <v/>
      </c>
      <c r="G162" s="6"/>
      <c r="H162" s="6"/>
      <c r="I162" s="6"/>
      <c r="J162" s="7"/>
      <c r="K162" s="5" t="str" cm="1">
        <f t="array" ref="K162">IF(OR(A162="",B162="",D162="",E162=""),"",A162&amp;"_"&amp;SUBSTITUTE(B162," ","-")&amp;"_"&amp;D162&amp;"_"&amp;SUBSTITUTE(SUBSTITUTE(E162," ",""),"€","Euro")&amp;"_"&amp;IF(F162="","Unknown",F162)&amp;IF(F162="Commemorative",IF(G162="","","_"&amp;SUBSTITUTE(SUBSTITUTE(SUBSTITUTE(G162," ","-"),"/","-"),CHAR(39),"")),"")&amp;IF(I162="Duplicate","_Dub"&amp;IF(SUMPRODUCT(($B$2:B162=B162)*($D$2:D162=D162)*($E$2:E162=E162)*($F$2:F162=F162)*($G$2:G162=G162)*($I$2:I162="Duplicate"))&lt;=1,"",SUMPRODUCT(($B$2:B162=B162)*($D$2:D162=D162)*($E$2:E162=E162)*($F$2:F162=F162)*($G$2:G162=G162)*($I$2:I162="Duplicate"))-1),"")&amp;".jpeg")</f>
        <v/>
      </c>
      <c r="L162" s="6"/>
      <c r="M162" s="5" t="str">
        <f>IFERROR(VLOOKUP(E162,Specifications!$A$2:$D$9,2,FALSE),"")</f>
        <v/>
      </c>
      <c r="N162" s="5" t="str">
        <f>IFERROR(VLOOKUP(E162,Specifications!$A$2:$D$9,3,FALSE),"")</f>
        <v/>
      </c>
      <c r="O162" s="5" t="str">
        <f>IFERROR(VLOOKUP(E162,Specifications!$A$2:$D$9,4,FALSE),"")</f>
        <v/>
      </c>
      <c r="P162" s="8" t="str">
        <f t="shared" si="9"/>
        <v/>
      </c>
      <c r="Q162" s="9"/>
    </row>
    <row r="163" spans="1:17" ht="15">
      <c r="A163" s="5" t="str">
        <f t="shared" si="7"/>
        <v/>
      </c>
      <c r="B163" s="6"/>
      <c r="C163" s="5" t="str">
        <f>IFERROR(VLOOKUP(B163,Lists!$A$2:$B$25,2,FALSE),"")</f>
        <v/>
      </c>
      <c r="D163" s="7"/>
      <c r="E163" s="6"/>
      <c r="F163" s="6" t="str">
        <f t="shared" si="8"/>
        <v/>
      </c>
      <c r="G163" s="6"/>
      <c r="H163" s="6"/>
      <c r="I163" s="6"/>
      <c r="J163" s="7"/>
      <c r="K163" s="5" t="str" cm="1">
        <f t="array" ref="K163">IF(OR(A163="",B163="",D163="",E163=""),"",A163&amp;"_"&amp;SUBSTITUTE(B163," ","-")&amp;"_"&amp;D163&amp;"_"&amp;SUBSTITUTE(SUBSTITUTE(E163," ",""),"€","Euro")&amp;"_"&amp;IF(F163="","Unknown",F163)&amp;IF(F163="Commemorative",IF(G163="","","_"&amp;SUBSTITUTE(SUBSTITUTE(SUBSTITUTE(G163," ","-"),"/","-"),CHAR(39),"")),"")&amp;IF(I163="Duplicate","_Dub"&amp;IF(SUMPRODUCT(($B$2:B163=B163)*($D$2:D163=D163)*($E$2:E163=E163)*($F$2:F163=F163)*($G$2:G163=G163)*($I$2:I163="Duplicate"))&lt;=1,"",SUMPRODUCT(($B$2:B163=B163)*($D$2:D163=D163)*($E$2:E163=E163)*($F$2:F163=F163)*($G$2:G163=G163)*($I$2:I163="Duplicate"))-1),"")&amp;".jpeg")</f>
        <v/>
      </c>
      <c r="L163" s="6"/>
      <c r="M163" s="5" t="str">
        <f>IFERROR(VLOOKUP(E163,Specifications!$A$2:$D$9,2,FALSE),"")</f>
        <v/>
      </c>
      <c r="N163" s="5" t="str">
        <f>IFERROR(VLOOKUP(E163,Specifications!$A$2:$D$9,3,FALSE),"")</f>
        <v/>
      </c>
      <c r="O163" s="5" t="str">
        <f>IFERROR(VLOOKUP(E163,Specifications!$A$2:$D$9,4,FALSE),"")</f>
        <v/>
      </c>
      <c r="P163" s="8" t="str">
        <f t="shared" si="9"/>
        <v/>
      </c>
      <c r="Q163" s="9"/>
    </row>
    <row r="164" spans="1:17" ht="15">
      <c r="A164" s="5" t="str">
        <f t="shared" si="7"/>
        <v/>
      </c>
      <c r="B164" s="6"/>
      <c r="C164" s="5" t="str">
        <f>IFERROR(VLOOKUP(B164,Lists!$A$2:$B$25,2,FALSE),"")</f>
        <v/>
      </c>
      <c r="D164" s="7"/>
      <c r="E164" s="6"/>
      <c r="F164" s="6" t="str">
        <f t="shared" si="8"/>
        <v/>
      </c>
      <c r="G164" s="6"/>
      <c r="H164" s="6"/>
      <c r="I164" s="6"/>
      <c r="J164" s="7"/>
      <c r="K164" s="5" t="str" cm="1">
        <f t="array" ref="K164">IF(OR(A164="",B164="",D164="",E164=""),"",A164&amp;"_"&amp;SUBSTITUTE(B164," ","-")&amp;"_"&amp;D164&amp;"_"&amp;SUBSTITUTE(SUBSTITUTE(E164," ",""),"€","Euro")&amp;"_"&amp;IF(F164="","Unknown",F164)&amp;IF(F164="Commemorative",IF(G164="","","_"&amp;SUBSTITUTE(SUBSTITUTE(SUBSTITUTE(G164," ","-"),"/","-"),CHAR(39),"")),"")&amp;IF(I164="Duplicate","_Dub"&amp;IF(SUMPRODUCT(($B$2:B164=B164)*($D$2:D164=D164)*($E$2:E164=E164)*($F$2:F164=F164)*($G$2:G164=G164)*($I$2:I164="Duplicate"))&lt;=1,"",SUMPRODUCT(($B$2:B164=B164)*($D$2:D164=D164)*($E$2:E164=E164)*($F$2:F164=F164)*($G$2:G164=G164)*($I$2:I164="Duplicate"))-1),"")&amp;".jpeg")</f>
        <v/>
      </c>
      <c r="L164" s="6"/>
      <c r="M164" s="5" t="str">
        <f>IFERROR(VLOOKUP(E164,Specifications!$A$2:$D$9,2,FALSE),"")</f>
        <v/>
      </c>
      <c r="N164" s="5" t="str">
        <f>IFERROR(VLOOKUP(E164,Specifications!$A$2:$D$9,3,FALSE),"")</f>
        <v/>
      </c>
      <c r="O164" s="5" t="str">
        <f>IFERROR(VLOOKUP(E164,Specifications!$A$2:$D$9,4,FALSE),"")</f>
        <v/>
      </c>
      <c r="P164" s="8" t="str">
        <f t="shared" si="9"/>
        <v/>
      </c>
      <c r="Q164" s="9"/>
    </row>
    <row r="165" spans="1:17" ht="15">
      <c r="A165" s="5" t="str">
        <f t="shared" si="7"/>
        <v/>
      </c>
      <c r="B165" s="6"/>
      <c r="C165" s="5" t="str">
        <f>IFERROR(VLOOKUP(B165,Lists!$A$2:$B$25,2,FALSE),"")</f>
        <v/>
      </c>
      <c r="D165" s="7"/>
      <c r="E165" s="6"/>
      <c r="F165" s="6" t="str">
        <f t="shared" si="8"/>
        <v/>
      </c>
      <c r="G165" s="6"/>
      <c r="H165" s="6"/>
      <c r="I165" s="6"/>
      <c r="J165" s="7"/>
      <c r="K165" s="5" t="str" cm="1">
        <f t="array" ref="K165">IF(OR(A165="",B165="",D165="",E165=""),"",A165&amp;"_"&amp;SUBSTITUTE(B165," ","-")&amp;"_"&amp;D165&amp;"_"&amp;SUBSTITUTE(SUBSTITUTE(E165," ",""),"€","Euro")&amp;"_"&amp;IF(F165="","Unknown",F165)&amp;IF(F165="Commemorative",IF(G165="","","_"&amp;SUBSTITUTE(SUBSTITUTE(SUBSTITUTE(G165," ","-"),"/","-"),CHAR(39),"")),"")&amp;IF(I165="Duplicate","_Dub"&amp;IF(SUMPRODUCT(($B$2:B165=B165)*($D$2:D165=D165)*($E$2:E165=E165)*($F$2:F165=F165)*($G$2:G165=G165)*($I$2:I165="Duplicate"))&lt;=1,"",SUMPRODUCT(($B$2:B165=B165)*($D$2:D165=D165)*($E$2:E165=E165)*($F$2:F165=F165)*($G$2:G165=G165)*($I$2:I165="Duplicate"))-1),"")&amp;".jpeg")</f>
        <v/>
      </c>
      <c r="L165" s="6"/>
      <c r="M165" s="5" t="str">
        <f>IFERROR(VLOOKUP(E165,Specifications!$A$2:$D$9,2,FALSE),"")</f>
        <v/>
      </c>
      <c r="N165" s="5" t="str">
        <f>IFERROR(VLOOKUP(E165,Specifications!$A$2:$D$9,3,FALSE),"")</f>
        <v/>
      </c>
      <c r="O165" s="5" t="str">
        <f>IFERROR(VLOOKUP(E165,Specifications!$A$2:$D$9,4,FALSE),"")</f>
        <v/>
      </c>
      <c r="P165" s="8" t="str">
        <f t="shared" si="9"/>
        <v/>
      </c>
      <c r="Q165" s="9"/>
    </row>
    <row r="166" spans="1:17" ht="15">
      <c r="A166" s="5" t="str">
        <f t="shared" si="7"/>
        <v/>
      </c>
      <c r="B166" s="6"/>
      <c r="C166" s="5" t="str">
        <f>IFERROR(VLOOKUP(B166,Lists!$A$2:$B$25,2,FALSE),"")</f>
        <v/>
      </c>
      <c r="D166" s="7"/>
      <c r="E166" s="6"/>
      <c r="F166" s="6" t="str">
        <f t="shared" si="8"/>
        <v/>
      </c>
      <c r="G166" s="6"/>
      <c r="H166" s="6"/>
      <c r="I166" s="6"/>
      <c r="J166" s="7"/>
      <c r="K166" s="5" t="str" cm="1">
        <f t="array" ref="K166">IF(OR(A166="",B166="",D166="",E166=""),"",A166&amp;"_"&amp;SUBSTITUTE(B166," ","-")&amp;"_"&amp;D166&amp;"_"&amp;SUBSTITUTE(SUBSTITUTE(E166," ",""),"€","Euro")&amp;"_"&amp;IF(F166="","Unknown",F166)&amp;IF(F166="Commemorative",IF(G166="","","_"&amp;SUBSTITUTE(SUBSTITUTE(SUBSTITUTE(G166," ","-"),"/","-"),CHAR(39),"")),"")&amp;IF(I166="Duplicate","_Dub"&amp;IF(SUMPRODUCT(($B$2:B166=B166)*($D$2:D166=D166)*($E$2:E166=E166)*($F$2:F166=F166)*($G$2:G166=G166)*($I$2:I166="Duplicate"))&lt;=1,"",SUMPRODUCT(($B$2:B166=B166)*($D$2:D166=D166)*($E$2:E166=E166)*($F$2:F166=F166)*($G$2:G166=G166)*($I$2:I166="Duplicate"))-1),"")&amp;".jpeg")</f>
        <v/>
      </c>
      <c r="L166" s="6"/>
      <c r="M166" s="5" t="str">
        <f>IFERROR(VLOOKUP(E166,Specifications!$A$2:$D$9,2,FALSE),"")</f>
        <v/>
      </c>
      <c r="N166" s="5" t="str">
        <f>IFERROR(VLOOKUP(E166,Specifications!$A$2:$D$9,3,FALSE),"")</f>
        <v/>
      </c>
      <c r="O166" s="5" t="str">
        <f>IFERROR(VLOOKUP(E166,Specifications!$A$2:$D$9,4,FALSE),"")</f>
        <v/>
      </c>
      <c r="P166" s="8" t="str">
        <f t="shared" si="9"/>
        <v/>
      </c>
      <c r="Q166" s="9"/>
    </row>
    <row r="167" spans="1:17" ht="15">
      <c r="A167" s="5" t="str">
        <f t="shared" si="7"/>
        <v/>
      </c>
      <c r="B167" s="6"/>
      <c r="C167" s="5" t="str">
        <f>IFERROR(VLOOKUP(B167,Lists!$A$2:$B$25,2,FALSE),"")</f>
        <v/>
      </c>
      <c r="D167" s="7"/>
      <c r="E167" s="6"/>
      <c r="F167" s="6" t="str">
        <f t="shared" si="8"/>
        <v/>
      </c>
      <c r="G167" s="6"/>
      <c r="H167" s="6"/>
      <c r="I167" s="6"/>
      <c r="J167" s="7"/>
      <c r="K167" s="5" t="str" cm="1">
        <f t="array" ref="K167">IF(OR(A167="",B167="",D167="",E167=""),"",A167&amp;"_"&amp;SUBSTITUTE(B167," ","-")&amp;"_"&amp;D167&amp;"_"&amp;SUBSTITUTE(SUBSTITUTE(E167," ",""),"€","Euro")&amp;"_"&amp;IF(F167="","Unknown",F167)&amp;IF(F167="Commemorative",IF(G167="","","_"&amp;SUBSTITUTE(SUBSTITUTE(SUBSTITUTE(G167," ","-"),"/","-"),CHAR(39),"")),"")&amp;IF(I167="Duplicate","_Dub"&amp;IF(SUMPRODUCT(($B$2:B167=B167)*($D$2:D167=D167)*($E$2:E167=E167)*($F$2:F167=F167)*($G$2:G167=G167)*($I$2:I167="Duplicate"))&lt;=1,"",SUMPRODUCT(($B$2:B167=B167)*($D$2:D167=D167)*($E$2:E167=E167)*($F$2:F167=F167)*($G$2:G167=G167)*($I$2:I167="Duplicate"))-1),"")&amp;".jpeg")</f>
        <v/>
      </c>
      <c r="L167" s="6"/>
      <c r="M167" s="5" t="str">
        <f>IFERROR(VLOOKUP(E167,Specifications!$A$2:$D$9,2,FALSE),"")</f>
        <v/>
      </c>
      <c r="N167" s="5" t="str">
        <f>IFERROR(VLOOKUP(E167,Specifications!$A$2:$D$9,3,FALSE),"")</f>
        <v/>
      </c>
      <c r="O167" s="5" t="str">
        <f>IFERROR(VLOOKUP(E167,Specifications!$A$2:$D$9,4,FALSE),"")</f>
        <v/>
      </c>
      <c r="P167" s="8" t="str">
        <f t="shared" si="9"/>
        <v/>
      </c>
      <c r="Q167" s="9"/>
    </row>
    <row r="168" spans="1:17" ht="15">
      <c r="A168" s="5" t="str">
        <f t="shared" si="7"/>
        <v/>
      </c>
      <c r="B168" s="6"/>
      <c r="C168" s="5" t="str">
        <f>IFERROR(VLOOKUP(B168,Lists!$A$2:$B$25,2,FALSE),"")</f>
        <v/>
      </c>
      <c r="D168" s="7"/>
      <c r="E168" s="6"/>
      <c r="F168" s="6" t="str">
        <f t="shared" si="8"/>
        <v/>
      </c>
      <c r="G168" s="6"/>
      <c r="H168" s="6"/>
      <c r="I168" s="6"/>
      <c r="J168" s="7"/>
      <c r="K168" s="5" t="str" cm="1">
        <f t="array" ref="K168">IF(OR(A168="",B168="",D168="",E168=""),"",A168&amp;"_"&amp;SUBSTITUTE(B168," ","-")&amp;"_"&amp;D168&amp;"_"&amp;SUBSTITUTE(SUBSTITUTE(E168," ",""),"€","Euro")&amp;"_"&amp;IF(F168="","Unknown",F168)&amp;IF(F168="Commemorative",IF(G168="","","_"&amp;SUBSTITUTE(SUBSTITUTE(SUBSTITUTE(G168," ","-"),"/","-"),CHAR(39),"")),"")&amp;IF(I168="Duplicate","_Dub"&amp;IF(SUMPRODUCT(($B$2:B168=B168)*($D$2:D168=D168)*($E$2:E168=E168)*($F$2:F168=F168)*($G$2:G168=G168)*($I$2:I168="Duplicate"))&lt;=1,"",SUMPRODUCT(($B$2:B168=B168)*($D$2:D168=D168)*($E$2:E168=E168)*($F$2:F168=F168)*($G$2:G168=G168)*($I$2:I168="Duplicate"))-1),"")&amp;".jpeg")</f>
        <v/>
      </c>
      <c r="L168" s="6"/>
      <c r="M168" s="5" t="str">
        <f>IFERROR(VLOOKUP(E168,Specifications!$A$2:$D$9,2,FALSE),"")</f>
        <v/>
      </c>
      <c r="N168" s="5" t="str">
        <f>IFERROR(VLOOKUP(E168,Specifications!$A$2:$D$9,3,FALSE),"")</f>
        <v/>
      </c>
      <c r="O168" s="5" t="str">
        <f>IFERROR(VLOOKUP(E168,Specifications!$A$2:$D$9,4,FALSE),"")</f>
        <v/>
      </c>
      <c r="P168" s="8" t="str">
        <f t="shared" si="9"/>
        <v/>
      </c>
      <c r="Q168" s="9"/>
    </row>
    <row r="169" spans="1:17" ht="15">
      <c r="A169" s="5" t="str">
        <f t="shared" si="7"/>
        <v/>
      </c>
      <c r="B169" s="6"/>
      <c r="C169" s="5" t="str">
        <f>IFERROR(VLOOKUP(B169,Lists!$A$2:$B$25,2,FALSE),"")</f>
        <v/>
      </c>
      <c r="D169" s="7"/>
      <c r="E169" s="6"/>
      <c r="F169" s="6" t="str">
        <f t="shared" si="8"/>
        <v/>
      </c>
      <c r="G169" s="6"/>
      <c r="H169" s="6"/>
      <c r="I169" s="6"/>
      <c r="J169" s="7"/>
      <c r="K169" s="5" t="str" cm="1">
        <f t="array" ref="K169">IF(OR(A169="",B169="",D169="",E169=""),"",A169&amp;"_"&amp;SUBSTITUTE(B169," ","-")&amp;"_"&amp;D169&amp;"_"&amp;SUBSTITUTE(SUBSTITUTE(E169," ",""),"€","Euro")&amp;"_"&amp;IF(F169="","Unknown",F169)&amp;IF(F169="Commemorative",IF(G169="","","_"&amp;SUBSTITUTE(SUBSTITUTE(SUBSTITUTE(G169," ","-"),"/","-"),CHAR(39),"")),"")&amp;IF(I169="Duplicate","_Dub"&amp;IF(SUMPRODUCT(($B$2:B169=B169)*($D$2:D169=D169)*($E$2:E169=E169)*($F$2:F169=F169)*($G$2:G169=G169)*($I$2:I169="Duplicate"))&lt;=1,"",SUMPRODUCT(($B$2:B169=B169)*($D$2:D169=D169)*($E$2:E169=E169)*($F$2:F169=F169)*($G$2:G169=G169)*($I$2:I169="Duplicate"))-1),"")&amp;".jpeg")</f>
        <v/>
      </c>
      <c r="L169" s="6"/>
      <c r="M169" s="5" t="str">
        <f>IFERROR(VLOOKUP(E169,Specifications!$A$2:$D$9,2,FALSE),"")</f>
        <v/>
      </c>
      <c r="N169" s="5" t="str">
        <f>IFERROR(VLOOKUP(E169,Specifications!$A$2:$D$9,3,FALSE),"")</f>
        <v/>
      </c>
      <c r="O169" s="5" t="str">
        <f>IFERROR(VLOOKUP(E169,Specifications!$A$2:$D$9,4,FALSE),"")</f>
        <v/>
      </c>
      <c r="P169" s="8" t="str">
        <f t="shared" si="9"/>
        <v/>
      </c>
      <c r="Q169" s="9"/>
    </row>
    <row r="170" spans="1:17" ht="15">
      <c r="A170" s="5" t="str">
        <f t="shared" si="7"/>
        <v/>
      </c>
      <c r="B170" s="6"/>
      <c r="C170" s="5" t="str">
        <f>IFERROR(VLOOKUP(B170,Lists!$A$2:$B$25,2,FALSE),"")</f>
        <v/>
      </c>
      <c r="D170" s="7"/>
      <c r="E170" s="6"/>
      <c r="F170" s="6" t="str">
        <f t="shared" si="8"/>
        <v/>
      </c>
      <c r="G170" s="6"/>
      <c r="H170" s="6"/>
      <c r="I170" s="6"/>
      <c r="J170" s="7"/>
      <c r="K170" s="5" t="str" cm="1">
        <f t="array" ref="K170">IF(OR(A170="",B170="",D170="",E170=""),"",A170&amp;"_"&amp;SUBSTITUTE(B170," ","-")&amp;"_"&amp;D170&amp;"_"&amp;SUBSTITUTE(SUBSTITUTE(E170," ",""),"€","Euro")&amp;"_"&amp;IF(F170="","Unknown",F170)&amp;IF(F170="Commemorative",IF(G170="","","_"&amp;SUBSTITUTE(SUBSTITUTE(SUBSTITUTE(G170," ","-"),"/","-"),CHAR(39),"")),"")&amp;IF(I170="Duplicate","_Dub"&amp;IF(SUMPRODUCT(($B$2:B170=B170)*($D$2:D170=D170)*($E$2:E170=E170)*($F$2:F170=F170)*($G$2:G170=G170)*($I$2:I170="Duplicate"))&lt;=1,"",SUMPRODUCT(($B$2:B170=B170)*($D$2:D170=D170)*($E$2:E170=E170)*($F$2:F170=F170)*($G$2:G170=G170)*($I$2:I170="Duplicate"))-1),"")&amp;".jpeg")</f>
        <v/>
      </c>
      <c r="L170" s="6"/>
      <c r="M170" s="5" t="str">
        <f>IFERROR(VLOOKUP(E170,Specifications!$A$2:$D$9,2,FALSE),"")</f>
        <v/>
      </c>
      <c r="N170" s="5" t="str">
        <f>IFERROR(VLOOKUP(E170,Specifications!$A$2:$D$9,3,FALSE),"")</f>
        <v/>
      </c>
      <c r="O170" s="5" t="str">
        <f>IFERROR(VLOOKUP(E170,Specifications!$A$2:$D$9,4,FALSE),"")</f>
        <v/>
      </c>
      <c r="P170" s="8" t="str">
        <f t="shared" si="9"/>
        <v/>
      </c>
      <c r="Q170" s="9"/>
    </row>
    <row r="171" spans="1:17" ht="15">
      <c r="A171" s="5" t="str">
        <f t="shared" si="7"/>
        <v/>
      </c>
      <c r="B171" s="6"/>
      <c r="C171" s="5" t="str">
        <f>IFERROR(VLOOKUP(B171,Lists!$A$2:$B$25,2,FALSE),"")</f>
        <v/>
      </c>
      <c r="D171" s="7"/>
      <c r="E171" s="6"/>
      <c r="F171" s="6" t="str">
        <f t="shared" si="8"/>
        <v/>
      </c>
      <c r="G171" s="6"/>
      <c r="H171" s="6"/>
      <c r="I171" s="6"/>
      <c r="J171" s="7"/>
      <c r="K171" s="5" t="str" cm="1">
        <f t="array" ref="K171">IF(OR(A171="",B171="",D171="",E171=""),"",A171&amp;"_"&amp;SUBSTITUTE(B171," ","-")&amp;"_"&amp;D171&amp;"_"&amp;SUBSTITUTE(SUBSTITUTE(E171," ",""),"€","Euro")&amp;"_"&amp;IF(F171="","Unknown",F171)&amp;IF(F171="Commemorative",IF(G171="","","_"&amp;SUBSTITUTE(SUBSTITUTE(SUBSTITUTE(G171," ","-"),"/","-"),CHAR(39),"")),"")&amp;IF(I171="Duplicate","_Dub"&amp;IF(SUMPRODUCT(($B$2:B171=B171)*($D$2:D171=D171)*($E$2:E171=E171)*($F$2:F171=F171)*($G$2:G171=G171)*($I$2:I171="Duplicate"))&lt;=1,"",SUMPRODUCT(($B$2:B171=B171)*($D$2:D171=D171)*($E$2:E171=E171)*($F$2:F171=F171)*($G$2:G171=G171)*($I$2:I171="Duplicate"))-1),"")&amp;".jpeg")</f>
        <v/>
      </c>
      <c r="L171" s="6"/>
      <c r="M171" s="5" t="str">
        <f>IFERROR(VLOOKUP(E171,Specifications!$A$2:$D$9,2,FALSE),"")</f>
        <v/>
      </c>
      <c r="N171" s="5" t="str">
        <f>IFERROR(VLOOKUP(E171,Specifications!$A$2:$D$9,3,FALSE),"")</f>
        <v/>
      </c>
      <c r="O171" s="5" t="str">
        <f>IFERROR(VLOOKUP(E171,Specifications!$A$2:$D$9,4,FALSE),"")</f>
        <v/>
      </c>
      <c r="P171" s="8" t="str">
        <f t="shared" si="9"/>
        <v/>
      </c>
      <c r="Q171" s="9"/>
    </row>
    <row r="172" spans="1:17" ht="15">
      <c r="A172" s="5" t="str">
        <f t="shared" si="7"/>
        <v/>
      </c>
      <c r="B172" s="6"/>
      <c r="C172" s="5" t="str">
        <f>IFERROR(VLOOKUP(B172,Lists!$A$2:$B$25,2,FALSE),"")</f>
        <v/>
      </c>
      <c r="D172" s="7"/>
      <c r="E172" s="6"/>
      <c r="F172" s="6" t="str">
        <f t="shared" si="8"/>
        <v/>
      </c>
      <c r="G172" s="6"/>
      <c r="H172" s="6"/>
      <c r="I172" s="6"/>
      <c r="J172" s="7"/>
      <c r="K172" s="5" t="str" cm="1">
        <f t="array" ref="K172">IF(OR(A172="",B172="",D172="",E172=""),"",A172&amp;"_"&amp;SUBSTITUTE(B172," ","-")&amp;"_"&amp;D172&amp;"_"&amp;SUBSTITUTE(SUBSTITUTE(E172," ",""),"€","Euro")&amp;"_"&amp;IF(F172="","Unknown",F172)&amp;IF(F172="Commemorative",IF(G172="","","_"&amp;SUBSTITUTE(SUBSTITUTE(SUBSTITUTE(G172," ","-"),"/","-"),CHAR(39),"")),"")&amp;IF(I172="Duplicate","_Dub"&amp;IF(SUMPRODUCT(($B$2:B172=B172)*($D$2:D172=D172)*($E$2:E172=E172)*($F$2:F172=F172)*($G$2:G172=G172)*($I$2:I172="Duplicate"))&lt;=1,"",SUMPRODUCT(($B$2:B172=B172)*($D$2:D172=D172)*($E$2:E172=E172)*($F$2:F172=F172)*($G$2:G172=G172)*($I$2:I172="Duplicate"))-1),"")&amp;".jpeg")</f>
        <v/>
      </c>
      <c r="L172" s="6"/>
      <c r="M172" s="5" t="str">
        <f>IFERROR(VLOOKUP(E172,Specifications!$A$2:$D$9,2,FALSE),"")</f>
        <v/>
      </c>
      <c r="N172" s="5" t="str">
        <f>IFERROR(VLOOKUP(E172,Specifications!$A$2:$D$9,3,FALSE),"")</f>
        <v/>
      </c>
      <c r="O172" s="5" t="str">
        <f>IFERROR(VLOOKUP(E172,Specifications!$A$2:$D$9,4,FALSE),"")</f>
        <v/>
      </c>
      <c r="P172" s="8" t="str">
        <f t="shared" si="9"/>
        <v/>
      </c>
      <c r="Q172" s="9"/>
    </row>
    <row r="173" spans="1:17" ht="15">
      <c r="A173" s="5" t="str">
        <f t="shared" si="7"/>
        <v/>
      </c>
      <c r="B173" s="6"/>
      <c r="C173" s="5" t="str">
        <f>IFERROR(VLOOKUP(B173,Lists!$A$2:$B$25,2,FALSE),"")</f>
        <v/>
      </c>
      <c r="D173" s="7"/>
      <c r="E173" s="6"/>
      <c r="F173" s="6" t="str">
        <f t="shared" si="8"/>
        <v/>
      </c>
      <c r="G173" s="6"/>
      <c r="H173" s="6"/>
      <c r="I173" s="6"/>
      <c r="J173" s="7"/>
      <c r="K173" s="5" t="str" cm="1">
        <f t="array" ref="K173">IF(OR(A173="",B173="",D173="",E173=""),"",A173&amp;"_"&amp;SUBSTITUTE(B173," ","-")&amp;"_"&amp;D173&amp;"_"&amp;SUBSTITUTE(SUBSTITUTE(E173," ",""),"€","Euro")&amp;"_"&amp;IF(F173="","Unknown",F173)&amp;IF(F173="Commemorative",IF(G173="","","_"&amp;SUBSTITUTE(SUBSTITUTE(SUBSTITUTE(G173," ","-"),"/","-"),CHAR(39),"")),"")&amp;IF(I173="Duplicate","_Dub"&amp;IF(SUMPRODUCT(($B$2:B173=B173)*($D$2:D173=D173)*($E$2:E173=E173)*($F$2:F173=F173)*($G$2:G173=G173)*($I$2:I173="Duplicate"))&lt;=1,"",SUMPRODUCT(($B$2:B173=B173)*($D$2:D173=D173)*($E$2:E173=E173)*($F$2:F173=F173)*($G$2:G173=G173)*($I$2:I173="Duplicate"))-1),"")&amp;".jpeg")</f>
        <v/>
      </c>
      <c r="L173" s="6"/>
      <c r="M173" s="5" t="str">
        <f>IFERROR(VLOOKUP(E173,Specifications!$A$2:$D$9,2,FALSE),"")</f>
        <v/>
      </c>
      <c r="N173" s="5" t="str">
        <f>IFERROR(VLOOKUP(E173,Specifications!$A$2:$D$9,3,FALSE),"")</f>
        <v/>
      </c>
      <c r="O173" s="5" t="str">
        <f>IFERROR(VLOOKUP(E173,Specifications!$A$2:$D$9,4,FALSE),"")</f>
        <v/>
      </c>
      <c r="P173" s="8" t="str">
        <f t="shared" si="9"/>
        <v/>
      </c>
      <c r="Q173" s="9"/>
    </row>
    <row r="174" spans="1:17" ht="15">
      <c r="A174" s="5" t="str">
        <f t="shared" si="7"/>
        <v/>
      </c>
      <c r="B174" s="6"/>
      <c r="C174" s="5" t="str">
        <f>IFERROR(VLOOKUP(B174,Lists!$A$2:$B$25,2,FALSE),"")</f>
        <v/>
      </c>
      <c r="D174" s="7"/>
      <c r="E174" s="6"/>
      <c r="F174" s="6" t="str">
        <f t="shared" si="8"/>
        <v/>
      </c>
      <c r="G174" s="6"/>
      <c r="H174" s="6"/>
      <c r="I174" s="6"/>
      <c r="J174" s="7"/>
      <c r="K174" s="5" t="str" cm="1">
        <f t="array" ref="K174">IF(OR(A174="",B174="",D174="",E174=""),"",A174&amp;"_"&amp;SUBSTITUTE(B174," ","-")&amp;"_"&amp;D174&amp;"_"&amp;SUBSTITUTE(SUBSTITUTE(E174," ",""),"€","Euro")&amp;"_"&amp;IF(F174="","Unknown",F174)&amp;IF(F174="Commemorative",IF(G174="","","_"&amp;SUBSTITUTE(SUBSTITUTE(SUBSTITUTE(G174," ","-"),"/","-"),CHAR(39),"")),"")&amp;IF(I174="Duplicate","_Dub"&amp;IF(SUMPRODUCT(($B$2:B174=B174)*($D$2:D174=D174)*($E$2:E174=E174)*($F$2:F174=F174)*($G$2:G174=G174)*($I$2:I174="Duplicate"))&lt;=1,"",SUMPRODUCT(($B$2:B174=B174)*($D$2:D174=D174)*($E$2:E174=E174)*($F$2:F174=F174)*($G$2:G174=G174)*($I$2:I174="Duplicate"))-1),"")&amp;".jpeg")</f>
        <v/>
      </c>
      <c r="L174" s="6"/>
      <c r="M174" s="5" t="str">
        <f>IFERROR(VLOOKUP(E174,Specifications!$A$2:$D$9,2,FALSE),"")</f>
        <v/>
      </c>
      <c r="N174" s="5" t="str">
        <f>IFERROR(VLOOKUP(E174,Specifications!$A$2:$D$9,3,FALSE),"")</f>
        <v/>
      </c>
      <c r="O174" s="5" t="str">
        <f>IFERROR(VLOOKUP(E174,Specifications!$A$2:$D$9,4,FALSE),"")</f>
        <v/>
      </c>
      <c r="P174" s="8" t="str">
        <f t="shared" si="9"/>
        <v/>
      </c>
      <c r="Q174" s="9"/>
    </row>
    <row r="175" spans="1:17" ht="15">
      <c r="A175" s="5" t="str">
        <f t="shared" si="7"/>
        <v/>
      </c>
      <c r="B175" s="6"/>
      <c r="C175" s="5" t="str">
        <f>IFERROR(VLOOKUP(B175,Lists!$A$2:$B$25,2,FALSE),"")</f>
        <v/>
      </c>
      <c r="D175" s="7"/>
      <c r="E175" s="6"/>
      <c r="F175" s="6" t="str">
        <f t="shared" si="8"/>
        <v/>
      </c>
      <c r="G175" s="6"/>
      <c r="H175" s="6"/>
      <c r="I175" s="6"/>
      <c r="J175" s="7"/>
      <c r="K175" s="5" t="str" cm="1">
        <f t="array" ref="K175">IF(OR(A175="",B175="",D175="",E175=""),"",A175&amp;"_"&amp;SUBSTITUTE(B175," ","-")&amp;"_"&amp;D175&amp;"_"&amp;SUBSTITUTE(SUBSTITUTE(E175," ",""),"€","Euro")&amp;"_"&amp;IF(F175="","Unknown",F175)&amp;IF(F175="Commemorative",IF(G175="","","_"&amp;SUBSTITUTE(SUBSTITUTE(SUBSTITUTE(G175," ","-"),"/","-"),CHAR(39),"")),"")&amp;IF(I175="Duplicate","_Dub"&amp;IF(SUMPRODUCT(($B$2:B175=B175)*($D$2:D175=D175)*($E$2:E175=E175)*($F$2:F175=F175)*($G$2:G175=G175)*($I$2:I175="Duplicate"))&lt;=1,"",SUMPRODUCT(($B$2:B175=B175)*($D$2:D175=D175)*($E$2:E175=E175)*($F$2:F175=F175)*($G$2:G175=G175)*($I$2:I175="Duplicate"))-1),"")&amp;".jpeg")</f>
        <v/>
      </c>
      <c r="L175" s="6"/>
      <c r="M175" s="5" t="str">
        <f>IFERROR(VLOOKUP(E175,Specifications!$A$2:$D$9,2,FALSE),"")</f>
        <v/>
      </c>
      <c r="N175" s="5" t="str">
        <f>IFERROR(VLOOKUP(E175,Specifications!$A$2:$D$9,3,FALSE),"")</f>
        <v/>
      </c>
      <c r="O175" s="5" t="str">
        <f>IFERROR(VLOOKUP(E175,Specifications!$A$2:$D$9,4,FALSE),"")</f>
        <v/>
      </c>
      <c r="P175" s="8" t="str">
        <f t="shared" si="9"/>
        <v/>
      </c>
      <c r="Q175" s="9"/>
    </row>
    <row r="176" spans="1:17" ht="15">
      <c r="A176" s="5" t="str">
        <f t="shared" si="7"/>
        <v/>
      </c>
      <c r="B176" s="6"/>
      <c r="C176" s="5" t="str">
        <f>IFERROR(VLOOKUP(B176,Lists!$A$2:$B$25,2,FALSE),"")</f>
        <v/>
      </c>
      <c r="D176" s="7"/>
      <c r="E176" s="6"/>
      <c r="F176" s="6" t="str">
        <f t="shared" si="8"/>
        <v/>
      </c>
      <c r="G176" s="6"/>
      <c r="H176" s="6"/>
      <c r="I176" s="6"/>
      <c r="J176" s="7"/>
      <c r="K176" s="5" t="str" cm="1">
        <f t="array" ref="K176">IF(OR(A176="",B176="",D176="",E176=""),"",A176&amp;"_"&amp;SUBSTITUTE(B176," ","-")&amp;"_"&amp;D176&amp;"_"&amp;SUBSTITUTE(SUBSTITUTE(E176," ",""),"€","Euro")&amp;"_"&amp;IF(F176="","Unknown",F176)&amp;IF(F176="Commemorative",IF(G176="","","_"&amp;SUBSTITUTE(SUBSTITUTE(SUBSTITUTE(G176," ","-"),"/","-"),CHAR(39),"")),"")&amp;IF(I176="Duplicate","_Dub"&amp;IF(SUMPRODUCT(($B$2:B176=B176)*($D$2:D176=D176)*($E$2:E176=E176)*($F$2:F176=F176)*($G$2:G176=G176)*($I$2:I176="Duplicate"))&lt;=1,"",SUMPRODUCT(($B$2:B176=B176)*($D$2:D176=D176)*($E$2:E176=E176)*($F$2:F176=F176)*($G$2:G176=G176)*($I$2:I176="Duplicate"))-1),"")&amp;".jpeg")</f>
        <v/>
      </c>
      <c r="L176" s="6"/>
      <c r="M176" s="5" t="str">
        <f>IFERROR(VLOOKUP(E176,Specifications!$A$2:$D$9,2,FALSE),"")</f>
        <v/>
      </c>
      <c r="N176" s="5" t="str">
        <f>IFERROR(VLOOKUP(E176,Specifications!$A$2:$D$9,3,FALSE),"")</f>
        <v/>
      </c>
      <c r="O176" s="5" t="str">
        <f>IFERROR(VLOOKUP(E176,Specifications!$A$2:$D$9,4,FALSE),"")</f>
        <v/>
      </c>
      <c r="P176" s="8" t="str">
        <f t="shared" si="9"/>
        <v/>
      </c>
      <c r="Q176" s="9"/>
    </row>
    <row r="177" spans="1:17" ht="15">
      <c r="A177" s="5" t="str">
        <f t="shared" si="7"/>
        <v/>
      </c>
      <c r="B177" s="6"/>
      <c r="C177" s="5" t="str">
        <f>IFERROR(VLOOKUP(B177,Lists!$A$2:$B$25,2,FALSE),"")</f>
        <v/>
      </c>
      <c r="D177" s="7"/>
      <c r="E177" s="6"/>
      <c r="F177" s="6" t="str">
        <f t="shared" si="8"/>
        <v/>
      </c>
      <c r="G177" s="6"/>
      <c r="H177" s="6"/>
      <c r="I177" s="6"/>
      <c r="J177" s="7"/>
      <c r="K177" s="5" t="str" cm="1">
        <f t="array" ref="K177">IF(OR(A177="",B177="",D177="",E177=""),"",A177&amp;"_"&amp;SUBSTITUTE(B177," ","-")&amp;"_"&amp;D177&amp;"_"&amp;SUBSTITUTE(SUBSTITUTE(E177," ",""),"€","Euro")&amp;"_"&amp;IF(F177="","Unknown",F177)&amp;IF(F177="Commemorative",IF(G177="","","_"&amp;SUBSTITUTE(SUBSTITUTE(SUBSTITUTE(G177," ","-"),"/","-"),CHAR(39),"")),"")&amp;IF(I177="Duplicate","_Dub"&amp;IF(SUMPRODUCT(($B$2:B177=B177)*($D$2:D177=D177)*($E$2:E177=E177)*($F$2:F177=F177)*($G$2:G177=G177)*($I$2:I177="Duplicate"))&lt;=1,"",SUMPRODUCT(($B$2:B177=B177)*($D$2:D177=D177)*($E$2:E177=E177)*($F$2:F177=F177)*($G$2:G177=G177)*($I$2:I177="Duplicate"))-1),"")&amp;".jpeg")</f>
        <v/>
      </c>
      <c r="L177" s="6"/>
      <c r="M177" s="5" t="str">
        <f>IFERROR(VLOOKUP(E177,Specifications!$A$2:$D$9,2,FALSE),"")</f>
        <v/>
      </c>
      <c r="N177" s="5" t="str">
        <f>IFERROR(VLOOKUP(E177,Specifications!$A$2:$D$9,3,FALSE),"")</f>
        <v/>
      </c>
      <c r="O177" s="5" t="str">
        <f>IFERROR(VLOOKUP(E177,Specifications!$A$2:$D$9,4,FALSE),"")</f>
        <v/>
      </c>
      <c r="P177" s="8" t="str">
        <f t="shared" si="9"/>
        <v/>
      </c>
      <c r="Q177" s="9"/>
    </row>
    <row r="178" spans="1:17" ht="15">
      <c r="A178" s="5" t="str">
        <f t="shared" si="7"/>
        <v/>
      </c>
      <c r="B178" s="6"/>
      <c r="C178" s="5" t="str">
        <f>IFERROR(VLOOKUP(B178,Lists!$A$2:$B$25,2,FALSE),"")</f>
        <v/>
      </c>
      <c r="D178" s="7"/>
      <c r="E178" s="6"/>
      <c r="F178" s="6" t="str">
        <f t="shared" si="8"/>
        <v/>
      </c>
      <c r="G178" s="6"/>
      <c r="H178" s="6"/>
      <c r="I178" s="6"/>
      <c r="J178" s="7"/>
      <c r="K178" s="5" t="str" cm="1">
        <f t="array" ref="K178">IF(OR(A178="",B178="",D178="",E178=""),"",A178&amp;"_"&amp;SUBSTITUTE(B178," ","-")&amp;"_"&amp;D178&amp;"_"&amp;SUBSTITUTE(SUBSTITUTE(E178," ",""),"€","Euro")&amp;"_"&amp;IF(F178="","Unknown",F178)&amp;IF(F178="Commemorative",IF(G178="","","_"&amp;SUBSTITUTE(SUBSTITUTE(SUBSTITUTE(G178," ","-"),"/","-"),CHAR(39),"")),"")&amp;IF(I178="Duplicate","_Dub"&amp;IF(SUMPRODUCT(($B$2:B178=B178)*($D$2:D178=D178)*($E$2:E178=E178)*($F$2:F178=F178)*($G$2:G178=G178)*($I$2:I178="Duplicate"))&lt;=1,"",SUMPRODUCT(($B$2:B178=B178)*($D$2:D178=D178)*($E$2:E178=E178)*($F$2:F178=F178)*($G$2:G178=G178)*($I$2:I178="Duplicate"))-1),"")&amp;".jpeg")</f>
        <v/>
      </c>
      <c r="L178" s="6"/>
      <c r="M178" s="5" t="str">
        <f>IFERROR(VLOOKUP(E178,Specifications!$A$2:$D$9,2,FALSE),"")</f>
        <v/>
      </c>
      <c r="N178" s="5" t="str">
        <f>IFERROR(VLOOKUP(E178,Specifications!$A$2:$D$9,3,FALSE),"")</f>
        <v/>
      </c>
      <c r="O178" s="5" t="str">
        <f>IFERROR(VLOOKUP(E178,Specifications!$A$2:$D$9,4,FALSE),"")</f>
        <v/>
      </c>
      <c r="P178" s="8" t="str">
        <f t="shared" si="9"/>
        <v/>
      </c>
      <c r="Q178" s="9"/>
    </row>
    <row r="179" spans="1:17" ht="15">
      <c r="A179" s="5" t="str">
        <f t="shared" si="7"/>
        <v/>
      </c>
      <c r="B179" s="6"/>
      <c r="C179" s="5" t="str">
        <f>IFERROR(VLOOKUP(B179,Lists!$A$2:$B$25,2,FALSE),"")</f>
        <v/>
      </c>
      <c r="D179" s="7"/>
      <c r="E179" s="6"/>
      <c r="F179" s="6" t="str">
        <f t="shared" si="8"/>
        <v/>
      </c>
      <c r="G179" s="6"/>
      <c r="H179" s="6"/>
      <c r="I179" s="6"/>
      <c r="J179" s="7"/>
      <c r="K179" s="5" t="str" cm="1">
        <f t="array" ref="K179">IF(OR(A179="",B179="",D179="",E179=""),"",A179&amp;"_"&amp;SUBSTITUTE(B179," ","-")&amp;"_"&amp;D179&amp;"_"&amp;SUBSTITUTE(SUBSTITUTE(E179," ",""),"€","Euro")&amp;"_"&amp;IF(F179="","Unknown",F179)&amp;IF(F179="Commemorative",IF(G179="","","_"&amp;SUBSTITUTE(SUBSTITUTE(SUBSTITUTE(G179," ","-"),"/","-"),CHAR(39),"")),"")&amp;IF(I179="Duplicate","_Dub"&amp;IF(SUMPRODUCT(($B$2:B179=B179)*($D$2:D179=D179)*($E$2:E179=E179)*($F$2:F179=F179)*($G$2:G179=G179)*($I$2:I179="Duplicate"))&lt;=1,"",SUMPRODUCT(($B$2:B179=B179)*($D$2:D179=D179)*($E$2:E179=E179)*($F$2:F179=F179)*($G$2:G179=G179)*($I$2:I179="Duplicate"))-1),"")&amp;".jpeg")</f>
        <v/>
      </c>
      <c r="L179" s="6"/>
      <c r="M179" s="5" t="str">
        <f>IFERROR(VLOOKUP(E179,Specifications!$A$2:$D$9,2,FALSE),"")</f>
        <v/>
      </c>
      <c r="N179" s="5" t="str">
        <f>IFERROR(VLOOKUP(E179,Specifications!$A$2:$D$9,3,FALSE),"")</f>
        <v/>
      </c>
      <c r="O179" s="5" t="str">
        <f>IFERROR(VLOOKUP(E179,Specifications!$A$2:$D$9,4,FALSE),"")</f>
        <v/>
      </c>
      <c r="P179" s="8" t="str">
        <f t="shared" si="9"/>
        <v/>
      </c>
      <c r="Q179" s="9"/>
    </row>
    <row r="180" spans="1:17" ht="15">
      <c r="A180" s="5" t="str">
        <f t="shared" si="7"/>
        <v/>
      </c>
      <c r="B180" s="6"/>
      <c r="C180" s="5" t="str">
        <f>IFERROR(VLOOKUP(B180,Lists!$A$2:$B$25,2,FALSE),"")</f>
        <v/>
      </c>
      <c r="D180" s="7"/>
      <c r="E180" s="6"/>
      <c r="F180" s="6" t="str">
        <f t="shared" si="8"/>
        <v/>
      </c>
      <c r="G180" s="6"/>
      <c r="H180" s="6"/>
      <c r="I180" s="6"/>
      <c r="J180" s="7"/>
      <c r="K180" s="5" t="str" cm="1">
        <f t="array" ref="K180">IF(OR(A180="",B180="",D180="",E180=""),"",A180&amp;"_"&amp;SUBSTITUTE(B180," ","-")&amp;"_"&amp;D180&amp;"_"&amp;SUBSTITUTE(SUBSTITUTE(E180," ",""),"€","Euro")&amp;"_"&amp;IF(F180="","Unknown",F180)&amp;IF(F180="Commemorative",IF(G180="","","_"&amp;SUBSTITUTE(SUBSTITUTE(SUBSTITUTE(G180," ","-"),"/","-"),CHAR(39),"")),"")&amp;IF(I180="Duplicate","_Dub"&amp;IF(SUMPRODUCT(($B$2:B180=B180)*($D$2:D180=D180)*($E$2:E180=E180)*($F$2:F180=F180)*($G$2:G180=G180)*($I$2:I180="Duplicate"))&lt;=1,"",SUMPRODUCT(($B$2:B180=B180)*($D$2:D180=D180)*($E$2:E180=E180)*($F$2:F180=F180)*($G$2:G180=G180)*($I$2:I180="Duplicate"))-1),"")&amp;".jpeg")</f>
        <v/>
      </c>
      <c r="L180" s="6"/>
      <c r="M180" s="5" t="str">
        <f>IFERROR(VLOOKUP(E180,Specifications!$A$2:$D$9,2,FALSE),"")</f>
        <v/>
      </c>
      <c r="N180" s="5" t="str">
        <f>IFERROR(VLOOKUP(E180,Specifications!$A$2:$D$9,3,FALSE),"")</f>
        <v/>
      </c>
      <c r="O180" s="5" t="str">
        <f>IFERROR(VLOOKUP(E180,Specifications!$A$2:$D$9,4,FALSE),"")</f>
        <v/>
      </c>
      <c r="P180" s="8" t="str">
        <f t="shared" si="9"/>
        <v/>
      </c>
      <c r="Q180" s="9"/>
    </row>
    <row r="181" spans="1:17" ht="15">
      <c r="A181" s="5" t="str">
        <f t="shared" si="7"/>
        <v/>
      </c>
      <c r="B181" s="6"/>
      <c r="C181" s="5" t="str">
        <f>IFERROR(VLOOKUP(B181,Lists!$A$2:$B$25,2,FALSE),"")</f>
        <v/>
      </c>
      <c r="D181" s="7"/>
      <c r="E181" s="6"/>
      <c r="F181" s="6" t="str">
        <f t="shared" si="8"/>
        <v/>
      </c>
      <c r="G181" s="6"/>
      <c r="H181" s="6"/>
      <c r="I181" s="6"/>
      <c r="J181" s="7"/>
      <c r="K181" s="5" t="str" cm="1">
        <f t="array" ref="K181">IF(OR(A181="",B181="",D181="",E181=""),"",A181&amp;"_"&amp;SUBSTITUTE(B181," ","-")&amp;"_"&amp;D181&amp;"_"&amp;SUBSTITUTE(SUBSTITUTE(E181," ",""),"€","Euro")&amp;"_"&amp;IF(F181="","Unknown",F181)&amp;IF(F181="Commemorative",IF(G181="","","_"&amp;SUBSTITUTE(SUBSTITUTE(SUBSTITUTE(G181," ","-"),"/","-"),CHAR(39),"")),"")&amp;IF(I181="Duplicate","_Dub"&amp;IF(SUMPRODUCT(($B$2:B181=B181)*($D$2:D181=D181)*($E$2:E181=E181)*($F$2:F181=F181)*($G$2:G181=G181)*($I$2:I181="Duplicate"))&lt;=1,"",SUMPRODUCT(($B$2:B181=B181)*($D$2:D181=D181)*($E$2:E181=E181)*($F$2:F181=F181)*($G$2:G181=G181)*($I$2:I181="Duplicate"))-1),"")&amp;".jpeg")</f>
        <v/>
      </c>
      <c r="L181" s="6"/>
      <c r="M181" s="5" t="str">
        <f>IFERROR(VLOOKUP(E181,Specifications!$A$2:$D$9,2,FALSE),"")</f>
        <v/>
      </c>
      <c r="N181" s="5" t="str">
        <f>IFERROR(VLOOKUP(E181,Specifications!$A$2:$D$9,3,FALSE),"")</f>
        <v/>
      </c>
      <c r="O181" s="5" t="str">
        <f>IFERROR(VLOOKUP(E181,Specifications!$A$2:$D$9,4,FALSE),"")</f>
        <v/>
      </c>
      <c r="P181" s="8" t="str">
        <f t="shared" si="9"/>
        <v/>
      </c>
      <c r="Q181" s="9"/>
    </row>
    <row r="182" spans="1:17" ht="15">
      <c r="A182" s="5" t="str">
        <f t="shared" si="7"/>
        <v/>
      </c>
      <c r="B182" s="6"/>
      <c r="C182" s="5" t="str">
        <f>IFERROR(VLOOKUP(B182,Lists!$A$2:$B$25,2,FALSE),"")</f>
        <v/>
      </c>
      <c r="D182" s="7"/>
      <c r="E182" s="6"/>
      <c r="F182" s="6" t="str">
        <f t="shared" si="8"/>
        <v/>
      </c>
      <c r="G182" s="6"/>
      <c r="H182" s="6"/>
      <c r="I182" s="6"/>
      <c r="J182" s="7"/>
      <c r="K182" s="5" t="str" cm="1">
        <f t="array" ref="K182">IF(OR(A182="",B182="",D182="",E182=""),"",A182&amp;"_"&amp;SUBSTITUTE(B182," ","-")&amp;"_"&amp;D182&amp;"_"&amp;SUBSTITUTE(SUBSTITUTE(E182," ",""),"€","Euro")&amp;"_"&amp;IF(F182="","Unknown",F182)&amp;IF(F182="Commemorative",IF(G182="","","_"&amp;SUBSTITUTE(SUBSTITUTE(SUBSTITUTE(G182," ","-"),"/","-"),CHAR(39),"")),"")&amp;IF(I182="Duplicate","_Dub"&amp;IF(SUMPRODUCT(($B$2:B182=B182)*($D$2:D182=D182)*($E$2:E182=E182)*($F$2:F182=F182)*($G$2:G182=G182)*($I$2:I182="Duplicate"))&lt;=1,"",SUMPRODUCT(($B$2:B182=B182)*($D$2:D182=D182)*($E$2:E182=E182)*($F$2:F182=F182)*($G$2:G182=G182)*($I$2:I182="Duplicate"))-1),"")&amp;".jpeg")</f>
        <v/>
      </c>
      <c r="L182" s="6"/>
      <c r="M182" s="5" t="str">
        <f>IFERROR(VLOOKUP(E182,Specifications!$A$2:$D$9,2,FALSE),"")</f>
        <v/>
      </c>
      <c r="N182" s="5" t="str">
        <f>IFERROR(VLOOKUP(E182,Specifications!$A$2:$D$9,3,FALSE),"")</f>
        <v/>
      </c>
      <c r="O182" s="5" t="str">
        <f>IFERROR(VLOOKUP(E182,Specifications!$A$2:$D$9,4,FALSE),"")</f>
        <v/>
      </c>
      <c r="P182" s="8" t="str">
        <f t="shared" si="9"/>
        <v/>
      </c>
      <c r="Q182" s="9"/>
    </row>
    <row r="183" spans="1:17" ht="15">
      <c r="A183" s="5" t="str">
        <f t="shared" si="7"/>
        <v/>
      </c>
      <c r="B183" s="6"/>
      <c r="C183" s="5" t="str">
        <f>IFERROR(VLOOKUP(B183,Lists!$A$2:$B$25,2,FALSE),"")</f>
        <v/>
      </c>
      <c r="D183" s="7"/>
      <c r="E183" s="6"/>
      <c r="F183" s="6" t="str">
        <f t="shared" si="8"/>
        <v/>
      </c>
      <c r="G183" s="6"/>
      <c r="H183" s="6"/>
      <c r="I183" s="6"/>
      <c r="J183" s="7"/>
      <c r="K183" s="5" t="str" cm="1">
        <f t="array" ref="K183">IF(OR(A183="",B183="",D183="",E183=""),"",A183&amp;"_"&amp;SUBSTITUTE(B183," ","-")&amp;"_"&amp;D183&amp;"_"&amp;SUBSTITUTE(SUBSTITUTE(E183," ",""),"€","Euro")&amp;"_"&amp;IF(F183="","Unknown",F183)&amp;IF(F183="Commemorative",IF(G183="","","_"&amp;SUBSTITUTE(SUBSTITUTE(SUBSTITUTE(G183," ","-"),"/","-"),CHAR(39),"")),"")&amp;IF(I183="Duplicate","_Dub"&amp;IF(SUMPRODUCT(($B$2:B183=B183)*($D$2:D183=D183)*($E$2:E183=E183)*($F$2:F183=F183)*($G$2:G183=G183)*($I$2:I183="Duplicate"))&lt;=1,"",SUMPRODUCT(($B$2:B183=B183)*($D$2:D183=D183)*($E$2:E183=E183)*($F$2:F183=F183)*($G$2:G183=G183)*($I$2:I183="Duplicate"))-1),"")&amp;".jpeg")</f>
        <v/>
      </c>
      <c r="L183" s="6"/>
      <c r="M183" s="5" t="str">
        <f>IFERROR(VLOOKUP(E183,Specifications!$A$2:$D$9,2,FALSE),"")</f>
        <v/>
      </c>
      <c r="N183" s="5" t="str">
        <f>IFERROR(VLOOKUP(E183,Specifications!$A$2:$D$9,3,FALSE),"")</f>
        <v/>
      </c>
      <c r="O183" s="5" t="str">
        <f>IFERROR(VLOOKUP(E183,Specifications!$A$2:$D$9,4,FALSE),"")</f>
        <v/>
      </c>
      <c r="P183" s="8" t="str">
        <f t="shared" si="9"/>
        <v/>
      </c>
      <c r="Q183" s="9"/>
    </row>
    <row r="184" spans="1:17" ht="15">
      <c r="A184" s="5" t="str">
        <f t="shared" si="7"/>
        <v/>
      </c>
      <c r="B184" s="6"/>
      <c r="C184" s="5" t="str">
        <f>IFERROR(VLOOKUP(B184,Lists!$A$2:$B$25,2,FALSE),"")</f>
        <v/>
      </c>
      <c r="D184" s="7"/>
      <c r="E184" s="6"/>
      <c r="F184" s="6" t="str">
        <f t="shared" si="8"/>
        <v/>
      </c>
      <c r="G184" s="6"/>
      <c r="H184" s="6"/>
      <c r="I184" s="6"/>
      <c r="J184" s="7"/>
      <c r="K184" s="5" t="str" cm="1">
        <f t="array" ref="K184">IF(OR(A184="",B184="",D184="",E184=""),"",A184&amp;"_"&amp;SUBSTITUTE(B184," ","-")&amp;"_"&amp;D184&amp;"_"&amp;SUBSTITUTE(SUBSTITUTE(E184," ",""),"€","Euro")&amp;"_"&amp;IF(F184="","Unknown",F184)&amp;IF(F184="Commemorative",IF(G184="","","_"&amp;SUBSTITUTE(SUBSTITUTE(SUBSTITUTE(G184," ","-"),"/","-"),CHAR(39),"")),"")&amp;IF(I184="Duplicate","_Dub"&amp;IF(SUMPRODUCT(($B$2:B184=B184)*($D$2:D184=D184)*($E$2:E184=E184)*($F$2:F184=F184)*($G$2:G184=G184)*($I$2:I184="Duplicate"))&lt;=1,"",SUMPRODUCT(($B$2:B184=B184)*($D$2:D184=D184)*($E$2:E184=E184)*($F$2:F184=F184)*($G$2:G184=G184)*($I$2:I184="Duplicate"))-1),"")&amp;".jpeg")</f>
        <v/>
      </c>
      <c r="L184" s="6"/>
      <c r="M184" s="5" t="str">
        <f>IFERROR(VLOOKUP(E184,Specifications!$A$2:$D$9,2,FALSE),"")</f>
        <v/>
      </c>
      <c r="N184" s="5" t="str">
        <f>IFERROR(VLOOKUP(E184,Specifications!$A$2:$D$9,3,FALSE),"")</f>
        <v/>
      </c>
      <c r="O184" s="5" t="str">
        <f>IFERROR(VLOOKUP(E184,Specifications!$A$2:$D$9,4,FALSE),"")</f>
        <v/>
      </c>
      <c r="P184" s="8" t="str">
        <f t="shared" si="9"/>
        <v/>
      </c>
      <c r="Q184" s="9"/>
    </row>
    <row r="185" spans="1:17" ht="15">
      <c r="A185" s="5" t="str">
        <f t="shared" si="7"/>
        <v/>
      </c>
      <c r="B185" s="6"/>
      <c r="C185" s="5" t="str">
        <f>IFERROR(VLOOKUP(B185,Lists!$A$2:$B$25,2,FALSE),"")</f>
        <v/>
      </c>
      <c r="D185" s="7"/>
      <c r="E185" s="6"/>
      <c r="F185" s="6" t="str">
        <f t="shared" si="8"/>
        <v/>
      </c>
      <c r="G185" s="6"/>
      <c r="H185" s="6"/>
      <c r="I185" s="6"/>
      <c r="J185" s="7"/>
      <c r="K185" s="5" t="str" cm="1">
        <f t="array" ref="K185">IF(OR(A185="",B185="",D185="",E185=""),"",A185&amp;"_"&amp;SUBSTITUTE(B185," ","-")&amp;"_"&amp;D185&amp;"_"&amp;SUBSTITUTE(SUBSTITUTE(E185," ",""),"€","Euro")&amp;"_"&amp;IF(F185="","Unknown",F185)&amp;IF(F185="Commemorative",IF(G185="","","_"&amp;SUBSTITUTE(SUBSTITUTE(SUBSTITUTE(G185," ","-"),"/","-"),CHAR(39),"")),"")&amp;IF(I185="Duplicate","_Dub"&amp;IF(SUMPRODUCT(($B$2:B185=B185)*($D$2:D185=D185)*($E$2:E185=E185)*($F$2:F185=F185)*($G$2:G185=G185)*($I$2:I185="Duplicate"))&lt;=1,"",SUMPRODUCT(($B$2:B185=B185)*($D$2:D185=D185)*($E$2:E185=E185)*($F$2:F185=F185)*($G$2:G185=G185)*($I$2:I185="Duplicate"))-1),"")&amp;".jpeg")</f>
        <v/>
      </c>
      <c r="L185" s="6"/>
      <c r="M185" s="5" t="str">
        <f>IFERROR(VLOOKUP(E185,Specifications!$A$2:$D$9,2,FALSE),"")</f>
        <v/>
      </c>
      <c r="N185" s="5" t="str">
        <f>IFERROR(VLOOKUP(E185,Specifications!$A$2:$D$9,3,FALSE),"")</f>
        <v/>
      </c>
      <c r="O185" s="5" t="str">
        <f>IFERROR(VLOOKUP(E185,Specifications!$A$2:$D$9,4,FALSE),"")</f>
        <v/>
      </c>
      <c r="P185" s="8" t="str">
        <f t="shared" si="9"/>
        <v/>
      </c>
      <c r="Q185" s="9"/>
    </row>
    <row r="186" spans="1:17" ht="15">
      <c r="A186" s="5" t="str">
        <f t="shared" si="7"/>
        <v/>
      </c>
      <c r="B186" s="6"/>
      <c r="C186" s="5" t="str">
        <f>IFERROR(VLOOKUP(B186,Lists!$A$2:$B$25,2,FALSE),"")</f>
        <v/>
      </c>
      <c r="D186" s="7"/>
      <c r="E186" s="6"/>
      <c r="F186" s="6" t="str">
        <f t="shared" si="8"/>
        <v/>
      </c>
      <c r="G186" s="6"/>
      <c r="H186" s="6"/>
      <c r="I186" s="6"/>
      <c r="J186" s="7"/>
      <c r="K186" s="5" t="str" cm="1">
        <f t="array" ref="K186">IF(OR(A186="",B186="",D186="",E186=""),"",A186&amp;"_"&amp;SUBSTITUTE(B186," ","-")&amp;"_"&amp;D186&amp;"_"&amp;SUBSTITUTE(SUBSTITUTE(E186," ",""),"€","Euro")&amp;"_"&amp;IF(F186="","Unknown",F186)&amp;IF(F186="Commemorative",IF(G186="","","_"&amp;SUBSTITUTE(SUBSTITUTE(SUBSTITUTE(G186," ","-"),"/","-"),CHAR(39),"")),"")&amp;IF(I186="Duplicate","_Dub"&amp;IF(SUMPRODUCT(($B$2:B186=B186)*($D$2:D186=D186)*($E$2:E186=E186)*($F$2:F186=F186)*($G$2:G186=G186)*($I$2:I186="Duplicate"))&lt;=1,"",SUMPRODUCT(($B$2:B186=B186)*($D$2:D186=D186)*($E$2:E186=E186)*($F$2:F186=F186)*($G$2:G186=G186)*($I$2:I186="Duplicate"))-1),"")&amp;".jpeg")</f>
        <v/>
      </c>
      <c r="L186" s="6"/>
      <c r="M186" s="5" t="str">
        <f>IFERROR(VLOOKUP(E186,Specifications!$A$2:$D$9,2,FALSE),"")</f>
        <v/>
      </c>
      <c r="N186" s="5" t="str">
        <f>IFERROR(VLOOKUP(E186,Specifications!$A$2:$D$9,3,FALSE),"")</f>
        <v/>
      </c>
      <c r="O186" s="5" t="str">
        <f>IFERROR(VLOOKUP(E186,Specifications!$A$2:$D$9,4,FALSE),"")</f>
        <v/>
      </c>
      <c r="P186" s="8" t="str">
        <f t="shared" si="9"/>
        <v/>
      </c>
      <c r="Q186" s="9"/>
    </row>
    <row r="187" spans="1:17" ht="15">
      <c r="A187" s="5" t="str">
        <f t="shared" si="7"/>
        <v/>
      </c>
      <c r="B187" s="6"/>
      <c r="C187" s="5" t="str">
        <f>IFERROR(VLOOKUP(B187,Lists!$A$2:$B$25,2,FALSE),"")</f>
        <v/>
      </c>
      <c r="D187" s="7"/>
      <c r="E187" s="6"/>
      <c r="F187" s="6" t="str">
        <f t="shared" si="8"/>
        <v/>
      </c>
      <c r="G187" s="6"/>
      <c r="H187" s="6"/>
      <c r="I187" s="6"/>
      <c r="J187" s="7"/>
      <c r="K187" s="5" t="str" cm="1">
        <f t="array" ref="K187">IF(OR(A187="",B187="",D187="",E187=""),"",A187&amp;"_"&amp;SUBSTITUTE(B187," ","-")&amp;"_"&amp;D187&amp;"_"&amp;SUBSTITUTE(SUBSTITUTE(E187," ",""),"€","Euro")&amp;"_"&amp;IF(F187="","Unknown",F187)&amp;IF(F187="Commemorative",IF(G187="","","_"&amp;SUBSTITUTE(SUBSTITUTE(SUBSTITUTE(G187," ","-"),"/","-"),CHAR(39),"")),"")&amp;IF(I187="Duplicate","_Dub"&amp;IF(SUMPRODUCT(($B$2:B187=B187)*($D$2:D187=D187)*($E$2:E187=E187)*($F$2:F187=F187)*($G$2:G187=G187)*($I$2:I187="Duplicate"))&lt;=1,"",SUMPRODUCT(($B$2:B187=B187)*($D$2:D187=D187)*($E$2:E187=E187)*($F$2:F187=F187)*($G$2:G187=G187)*($I$2:I187="Duplicate"))-1),"")&amp;".jpeg")</f>
        <v/>
      </c>
      <c r="L187" s="6"/>
      <c r="M187" s="5" t="str">
        <f>IFERROR(VLOOKUP(E187,Specifications!$A$2:$D$9,2,FALSE),"")</f>
        <v/>
      </c>
      <c r="N187" s="5" t="str">
        <f>IFERROR(VLOOKUP(E187,Specifications!$A$2:$D$9,3,FALSE),"")</f>
        <v/>
      </c>
      <c r="O187" s="5" t="str">
        <f>IFERROR(VLOOKUP(E187,Specifications!$A$2:$D$9,4,FALSE),"")</f>
        <v/>
      </c>
      <c r="P187" s="8" t="str">
        <f t="shared" si="9"/>
        <v/>
      </c>
      <c r="Q187" s="9"/>
    </row>
    <row r="188" spans="1:17" ht="15">
      <c r="A188" s="5" t="str">
        <f t="shared" si="7"/>
        <v/>
      </c>
      <c r="B188" s="6"/>
      <c r="C188" s="5" t="str">
        <f>IFERROR(VLOOKUP(B188,Lists!$A$2:$B$25,2,FALSE),"")</f>
        <v/>
      </c>
      <c r="D188" s="7"/>
      <c r="E188" s="6"/>
      <c r="F188" s="6" t="str">
        <f t="shared" si="8"/>
        <v/>
      </c>
      <c r="G188" s="6"/>
      <c r="H188" s="6"/>
      <c r="I188" s="6"/>
      <c r="J188" s="7"/>
      <c r="K188" s="5" t="str" cm="1">
        <f t="array" ref="K188">IF(OR(A188="",B188="",D188="",E188=""),"",A188&amp;"_"&amp;SUBSTITUTE(B188," ","-")&amp;"_"&amp;D188&amp;"_"&amp;SUBSTITUTE(SUBSTITUTE(E188," ",""),"€","Euro")&amp;"_"&amp;IF(F188="","Unknown",F188)&amp;IF(F188="Commemorative",IF(G188="","","_"&amp;SUBSTITUTE(SUBSTITUTE(SUBSTITUTE(G188," ","-"),"/","-"),CHAR(39),"")),"")&amp;IF(I188="Duplicate","_Dub"&amp;IF(SUMPRODUCT(($B$2:B188=B188)*($D$2:D188=D188)*($E$2:E188=E188)*($F$2:F188=F188)*($G$2:G188=G188)*($I$2:I188="Duplicate"))&lt;=1,"",SUMPRODUCT(($B$2:B188=B188)*($D$2:D188=D188)*($E$2:E188=E188)*($F$2:F188=F188)*($G$2:G188=G188)*($I$2:I188="Duplicate"))-1),"")&amp;".jpeg")</f>
        <v/>
      </c>
      <c r="L188" s="6"/>
      <c r="M188" s="5" t="str">
        <f>IFERROR(VLOOKUP(E188,Specifications!$A$2:$D$9,2,FALSE),"")</f>
        <v/>
      </c>
      <c r="N188" s="5" t="str">
        <f>IFERROR(VLOOKUP(E188,Specifications!$A$2:$D$9,3,FALSE),"")</f>
        <v/>
      </c>
      <c r="O188" s="5" t="str">
        <f>IFERROR(VLOOKUP(E188,Specifications!$A$2:$D$9,4,FALSE),"")</f>
        <v/>
      </c>
      <c r="P188" s="8" t="str">
        <f t="shared" si="9"/>
        <v/>
      </c>
      <c r="Q188" s="9"/>
    </row>
    <row r="189" spans="1:17" ht="15">
      <c r="A189" s="5" t="str">
        <f t="shared" si="7"/>
        <v/>
      </c>
      <c r="B189" s="6"/>
      <c r="C189" s="5" t="str">
        <f>IFERROR(VLOOKUP(B189,Lists!$A$2:$B$25,2,FALSE),"")</f>
        <v/>
      </c>
      <c r="D189" s="7"/>
      <c r="E189" s="6"/>
      <c r="F189" s="6" t="str">
        <f t="shared" si="8"/>
        <v/>
      </c>
      <c r="G189" s="6"/>
      <c r="H189" s="6"/>
      <c r="I189" s="6"/>
      <c r="J189" s="7"/>
      <c r="K189" s="5" t="str" cm="1">
        <f t="array" ref="K189">IF(OR(A189="",B189="",D189="",E189=""),"",A189&amp;"_"&amp;SUBSTITUTE(B189," ","-")&amp;"_"&amp;D189&amp;"_"&amp;SUBSTITUTE(SUBSTITUTE(E189," ",""),"€","Euro")&amp;"_"&amp;IF(F189="","Unknown",F189)&amp;IF(F189="Commemorative",IF(G189="","","_"&amp;SUBSTITUTE(SUBSTITUTE(SUBSTITUTE(G189," ","-"),"/","-"),CHAR(39),"")),"")&amp;IF(I189="Duplicate","_Dub"&amp;IF(SUMPRODUCT(($B$2:B189=B189)*($D$2:D189=D189)*($E$2:E189=E189)*($F$2:F189=F189)*($G$2:G189=G189)*($I$2:I189="Duplicate"))&lt;=1,"",SUMPRODUCT(($B$2:B189=B189)*($D$2:D189=D189)*($E$2:E189=E189)*($F$2:F189=F189)*($G$2:G189=G189)*($I$2:I189="Duplicate"))-1),"")&amp;".jpeg")</f>
        <v/>
      </c>
      <c r="L189" s="6"/>
      <c r="M189" s="5" t="str">
        <f>IFERROR(VLOOKUP(E189,Specifications!$A$2:$D$9,2,FALSE),"")</f>
        <v/>
      </c>
      <c r="N189" s="5" t="str">
        <f>IFERROR(VLOOKUP(E189,Specifications!$A$2:$D$9,3,FALSE),"")</f>
        <v/>
      </c>
      <c r="O189" s="5" t="str">
        <f>IFERROR(VLOOKUP(E189,Specifications!$A$2:$D$9,4,FALSE),"")</f>
        <v/>
      </c>
      <c r="P189" s="8" t="str">
        <f t="shared" si="9"/>
        <v/>
      </c>
      <c r="Q189" s="9"/>
    </row>
    <row r="190" spans="1:17" ht="15">
      <c r="A190" s="5" t="str">
        <f t="shared" si="7"/>
        <v/>
      </c>
      <c r="B190" s="6"/>
      <c r="C190" s="5" t="str">
        <f>IFERROR(VLOOKUP(B190,Lists!$A$2:$B$25,2,FALSE),"")</f>
        <v/>
      </c>
      <c r="D190" s="7"/>
      <c r="E190" s="6"/>
      <c r="F190" s="6" t="str">
        <f t="shared" si="8"/>
        <v/>
      </c>
      <c r="G190" s="6"/>
      <c r="H190" s="6"/>
      <c r="I190" s="6"/>
      <c r="J190" s="7"/>
      <c r="K190" s="5" t="str" cm="1">
        <f t="array" ref="K190">IF(OR(A190="",B190="",D190="",E190=""),"",A190&amp;"_"&amp;SUBSTITUTE(B190," ","-")&amp;"_"&amp;D190&amp;"_"&amp;SUBSTITUTE(SUBSTITUTE(E190," ",""),"€","Euro")&amp;"_"&amp;IF(F190="","Unknown",F190)&amp;IF(F190="Commemorative",IF(G190="","","_"&amp;SUBSTITUTE(SUBSTITUTE(SUBSTITUTE(G190," ","-"),"/","-"),CHAR(39),"")),"")&amp;IF(I190="Duplicate","_Dub"&amp;IF(SUMPRODUCT(($B$2:B190=B190)*($D$2:D190=D190)*($E$2:E190=E190)*($F$2:F190=F190)*($G$2:G190=G190)*($I$2:I190="Duplicate"))&lt;=1,"",SUMPRODUCT(($B$2:B190=B190)*($D$2:D190=D190)*($E$2:E190=E190)*($F$2:F190=F190)*($G$2:G190=G190)*($I$2:I190="Duplicate"))-1),"")&amp;".jpeg")</f>
        <v/>
      </c>
      <c r="L190" s="6"/>
      <c r="M190" s="5" t="str">
        <f>IFERROR(VLOOKUP(E190,Specifications!$A$2:$D$9,2,FALSE),"")</f>
        <v/>
      </c>
      <c r="N190" s="5" t="str">
        <f>IFERROR(VLOOKUP(E190,Specifications!$A$2:$D$9,3,FALSE),"")</f>
        <v/>
      </c>
      <c r="O190" s="5" t="str">
        <f>IFERROR(VLOOKUP(E190,Specifications!$A$2:$D$9,4,FALSE),"")</f>
        <v/>
      </c>
      <c r="P190" s="8" t="str">
        <f t="shared" si="9"/>
        <v/>
      </c>
      <c r="Q190" s="9"/>
    </row>
    <row r="191" spans="1:17" ht="15">
      <c r="A191" s="5" t="str">
        <f t="shared" si="7"/>
        <v/>
      </c>
      <c r="B191" s="6"/>
      <c r="C191" s="5" t="str">
        <f>IFERROR(VLOOKUP(B191,Lists!$A$2:$B$25,2,FALSE),"")</f>
        <v/>
      </c>
      <c r="D191" s="7"/>
      <c r="E191" s="6"/>
      <c r="F191" s="6" t="str">
        <f t="shared" si="8"/>
        <v/>
      </c>
      <c r="G191" s="6"/>
      <c r="H191" s="6"/>
      <c r="I191" s="6"/>
      <c r="J191" s="7"/>
      <c r="K191" s="5" t="str" cm="1">
        <f t="array" ref="K191">IF(OR(A191="",B191="",D191="",E191=""),"",A191&amp;"_"&amp;SUBSTITUTE(B191," ","-")&amp;"_"&amp;D191&amp;"_"&amp;SUBSTITUTE(SUBSTITUTE(E191," ",""),"€","Euro")&amp;"_"&amp;IF(F191="","Unknown",F191)&amp;IF(F191="Commemorative",IF(G191="","","_"&amp;SUBSTITUTE(SUBSTITUTE(SUBSTITUTE(G191," ","-"),"/","-"),CHAR(39),"")),"")&amp;IF(I191="Duplicate","_Dub"&amp;IF(SUMPRODUCT(($B$2:B191=B191)*($D$2:D191=D191)*($E$2:E191=E191)*($F$2:F191=F191)*($G$2:G191=G191)*($I$2:I191="Duplicate"))&lt;=1,"",SUMPRODUCT(($B$2:B191=B191)*($D$2:D191=D191)*($E$2:E191=E191)*($F$2:F191=F191)*($G$2:G191=G191)*($I$2:I191="Duplicate"))-1),"")&amp;".jpeg")</f>
        <v/>
      </c>
      <c r="L191" s="6"/>
      <c r="M191" s="5" t="str">
        <f>IFERROR(VLOOKUP(E191,Specifications!$A$2:$D$9,2,FALSE),"")</f>
        <v/>
      </c>
      <c r="N191" s="5" t="str">
        <f>IFERROR(VLOOKUP(E191,Specifications!$A$2:$D$9,3,FALSE),"")</f>
        <v/>
      </c>
      <c r="O191" s="5" t="str">
        <f>IFERROR(VLOOKUP(E191,Specifications!$A$2:$D$9,4,FALSE),"")</f>
        <v/>
      </c>
      <c r="P191" s="8" t="str">
        <f t="shared" si="9"/>
        <v/>
      </c>
      <c r="Q191" s="9"/>
    </row>
    <row r="192" spans="1:17" ht="15">
      <c r="A192" s="5" t="str">
        <f t="shared" si="7"/>
        <v/>
      </c>
      <c r="B192" s="6"/>
      <c r="C192" s="5" t="str">
        <f>IFERROR(VLOOKUP(B192,Lists!$A$2:$B$25,2,FALSE),"")</f>
        <v/>
      </c>
      <c r="D192" s="7"/>
      <c r="E192" s="6"/>
      <c r="F192" s="6" t="str">
        <f t="shared" si="8"/>
        <v/>
      </c>
      <c r="G192" s="6"/>
      <c r="H192" s="6"/>
      <c r="I192" s="6"/>
      <c r="J192" s="7"/>
      <c r="K192" s="5" t="str" cm="1">
        <f t="array" ref="K192">IF(OR(A192="",B192="",D192="",E192=""),"",A192&amp;"_"&amp;SUBSTITUTE(B192," ","-")&amp;"_"&amp;D192&amp;"_"&amp;SUBSTITUTE(SUBSTITUTE(E192," ",""),"€","Euro")&amp;"_"&amp;IF(F192="","Unknown",F192)&amp;IF(F192="Commemorative",IF(G192="","","_"&amp;SUBSTITUTE(SUBSTITUTE(SUBSTITUTE(G192," ","-"),"/","-"),CHAR(39),"")),"")&amp;IF(I192="Duplicate","_Dub"&amp;IF(SUMPRODUCT(($B$2:B192=B192)*($D$2:D192=D192)*($E$2:E192=E192)*($F$2:F192=F192)*($G$2:G192=G192)*($I$2:I192="Duplicate"))&lt;=1,"",SUMPRODUCT(($B$2:B192=B192)*($D$2:D192=D192)*($E$2:E192=E192)*($F$2:F192=F192)*($G$2:G192=G192)*($I$2:I192="Duplicate"))-1),"")&amp;".jpeg")</f>
        <v/>
      </c>
      <c r="L192" s="6"/>
      <c r="M192" s="5" t="str">
        <f>IFERROR(VLOOKUP(E192,Specifications!$A$2:$D$9,2,FALSE),"")</f>
        <v/>
      </c>
      <c r="N192" s="5" t="str">
        <f>IFERROR(VLOOKUP(E192,Specifications!$A$2:$D$9,3,FALSE),"")</f>
        <v/>
      </c>
      <c r="O192" s="5" t="str">
        <f>IFERROR(VLOOKUP(E192,Specifications!$A$2:$D$9,4,FALSE),"")</f>
        <v/>
      </c>
      <c r="P192" s="8" t="str">
        <f t="shared" si="9"/>
        <v/>
      </c>
      <c r="Q192" s="9"/>
    </row>
    <row r="193" spans="1:17" ht="15">
      <c r="A193" s="5" t="str">
        <f t="shared" si="7"/>
        <v/>
      </c>
      <c r="B193" s="6"/>
      <c r="C193" s="5" t="str">
        <f>IFERROR(VLOOKUP(B193,Lists!$A$2:$B$25,2,FALSE),"")</f>
        <v/>
      </c>
      <c r="D193" s="7"/>
      <c r="E193" s="6"/>
      <c r="F193" s="6" t="str">
        <f t="shared" si="8"/>
        <v/>
      </c>
      <c r="G193" s="6"/>
      <c r="H193" s="6"/>
      <c r="I193" s="6"/>
      <c r="J193" s="7"/>
      <c r="K193" s="5" t="str" cm="1">
        <f t="array" ref="K193">IF(OR(A193="",B193="",D193="",E193=""),"",A193&amp;"_"&amp;SUBSTITUTE(B193," ","-")&amp;"_"&amp;D193&amp;"_"&amp;SUBSTITUTE(SUBSTITUTE(E193," ",""),"€","Euro")&amp;"_"&amp;IF(F193="","Unknown",F193)&amp;IF(F193="Commemorative",IF(G193="","","_"&amp;SUBSTITUTE(SUBSTITUTE(SUBSTITUTE(G193," ","-"),"/","-"),CHAR(39),"")),"")&amp;IF(I193="Duplicate","_Dub"&amp;IF(SUMPRODUCT(($B$2:B193=B193)*($D$2:D193=D193)*($E$2:E193=E193)*($F$2:F193=F193)*($G$2:G193=G193)*($I$2:I193="Duplicate"))&lt;=1,"",SUMPRODUCT(($B$2:B193=B193)*($D$2:D193=D193)*($E$2:E193=E193)*($F$2:F193=F193)*($G$2:G193=G193)*($I$2:I193="Duplicate"))-1),"")&amp;".jpeg")</f>
        <v/>
      </c>
      <c r="L193" s="6"/>
      <c r="M193" s="5" t="str">
        <f>IFERROR(VLOOKUP(E193,Specifications!$A$2:$D$9,2,FALSE),"")</f>
        <v/>
      </c>
      <c r="N193" s="5" t="str">
        <f>IFERROR(VLOOKUP(E193,Specifications!$A$2:$D$9,3,FALSE),"")</f>
        <v/>
      </c>
      <c r="O193" s="5" t="str">
        <f>IFERROR(VLOOKUP(E193,Specifications!$A$2:$D$9,4,FALSE),"")</f>
        <v/>
      </c>
      <c r="P193" s="8" t="str">
        <f t="shared" si="9"/>
        <v/>
      </c>
      <c r="Q193" s="9"/>
    </row>
    <row r="194" spans="1:17" ht="15">
      <c r="A194" s="5" t="str">
        <f t="shared" ref="A194:A257" si="10">IF(B194="","",TEXT(ROW()-1,"000"))</f>
        <v/>
      </c>
      <c r="B194" s="6"/>
      <c r="C194" s="5" t="str">
        <f>IFERROR(VLOOKUP(B194,Lists!$A$2:$B$25,2,FALSE),"")</f>
        <v/>
      </c>
      <c r="D194" s="7"/>
      <c r="E194" s="6"/>
      <c r="F194" s="6" t="str">
        <f t="shared" ref="F194:F257" si="11">IF(E194="","",IF(E194="2 €","", "Regular"))</f>
        <v/>
      </c>
      <c r="G194" s="6"/>
      <c r="H194" s="6"/>
      <c r="I194" s="6"/>
      <c r="J194" s="7"/>
      <c r="K194" s="5" t="str" cm="1">
        <f t="array" ref="K194">IF(OR(A194="",B194="",D194="",E194=""),"",A194&amp;"_"&amp;SUBSTITUTE(B194," ","-")&amp;"_"&amp;D194&amp;"_"&amp;SUBSTITUTE(SUBSTITUTE(E194," ",""),"€","Euro")&amp;"_"&amp;IF(F194="","Unknown",F194)&amp;IF(F194="Commemorative",IF(G194="","","_"&amp;SUBSTITUTE(SUBSTITUTE(SUBSTITUTE(G194," ","-"),"/","-"),CHAR(39),"")),"")&amp;IF(I194="Duplicate","_Dub"&amp;IF(SUMPRODUCT(($B$2:B194=B194)*($D$2:D194=D194)*($E$2:E194=E194)*($F$2:F194=F194)*($G$2:G194=G194)*($I$2:I194="Duplicate"))&lt;=1,"",SUMPRODUCT(($B$2:B194=B194)*($D$2:D194=D194)*($E$2:E194=E194)*($F$2:F194=F194)*($G$2:G194=G194)*($I$2:I194="Duplicate"))-1),"")&amp;".jpeg")</f>
        <v/>
      </c>
      <c r="L194" s="6"/>
      <c r="M194" s="5" t="str">
        <f>IFERROR(VLOOKUP(E194,Specifications!$A$2:$D$9,2,FALSE),"")</f>
        <v/>
      </c>
      <c r="N194" s="5" t="str">
        <f>IFERROR(VLOOKUP(E194,Specifications!$A$2:$D$9,3,FALSE),"")</f>
        <v/>
      </c>
      <c r="O194" s="5" t="str">
        <f>IFERROR(VLOOKUP(E194,Specifications!$A$2:$D$9,4,FALSE),"")</f>
        <v/>
      </c>
      <c r="P194" s="8" t="str">
        <f t="shared" ref="P194:P257" si="12">IF(OR(B194="",E194="",F194=""),"",IF(F194="Regular","Regular "&amp;E194&amp;" circulation coin of "&amp;B194&amp;".",IF(F194="Commemorative",IF(G194="","",E194&amp;" commemorative coin of "&amp;B194&amp;" – "&amp;G194&amp;"."),"")))</f>
        <v/>
      </c>
      <c r="Q194" s="9"/>
    </row>
    <row r="195" spans="1:17" ht="15">
      <c r="A195" s="5" t="str">
        <f t="shared" si="10"/>
        <v/>
      </c>
      <c r="B195" s="6"/>
      <c r="C195" s="5" t="str">
        <f>IFERROR(VLOOKUP(B195,Lists!$A$2:$B$25,2,FALSE),"")</f>
        <v/>
      </c>
      <c r="D195" s="7"/>
      <c r="E195" s="6"/>
      <c r="F195" s="6" t="str">
        <f t="shared" si="11"/>
        <v/>
      </c>
      <c r="G195" s="6"/>
      <c r="H195" s="6"/>
      <c r="I195" s="6"/>
      <c r="J195" s="7"/>
      <c r="K195" s="5" t="str" cm="1">
        <f t="array" ref="K195">IF(OR(A195="",B195="",D195="",E195=""),"",A195&amp;"_"&amp;SUBSTITUTE(B195," ","-")&amp;"_"&amp;D195&amp;"_"&amp;SUBSTITUTE(SUBSTITUTE(E195," ",""),"€","Euro")&amp;"_"&amp;IF(F195="","Unknown",F195)&amp;IF(F195="Commemorative",IF(G195="","","_"&amp;SUBSTITUTE(SUBSTITUTE(SUBSTITUTE(G195," ","-"),"/","-"),CHAR(39),"")),"")&amp;IF(I195="Duplicate","_Dub"&amp;IF(SUMPRODUCT(($B$2:B195=B195)*($D$2:D195=D195)*($E$2:E195=E195)*($F$2:F195=F195)*($G$2:G195=G195)*($I$2:I195="Duplicate"))&lt;=1,"",SUMPRODUCT(($B$2:B195=B195)*($D$2:D195=D195)*($E$2:E195=E195)*($F$2:F195=F195)*($G$2:G195=G195)*($I$2:I195="Duplicate"))-1),"")&amp;".jpeg")</f>
        <v/>
      </c>
      <c r="L195" s="6"/>
      <c r="M195" s="5" t="str">
        <f>IFERROR(VLOOKUP(E195,Specifications!$A$2:$D$9,2,FALSE),"")</f>
        <v/>
      </c>
      <c r="N195" s="5" t="str">
        <f>IFERROR(VLOOKUP(E195,Specifications!$A$2:$D$9,3,FALSE),"")</f>
        <v/>
      </c>
      <c r="O195" s="5" t="str">
        <f>IFERROR(VLOOKUP(E195,Specifications!$A$2:$D$9,4,FALSE),"")</f>
        <v/>
      </c>
      <c r="P195" s="8" t="str">
        <f t="shared" si="12"/>
        <v/>
      </c>
      <c r="Q195" s="9"/>
    </row>
    <row r="196" spans="1:17" ht="15">
      <c r="A196" s="5" t="str">
        <f t="shared" si="10"/>
        <v/>
      </c>
      <c r="B196" s="6"/>
      <c r="C196" s="5" t="str">
        <f>IFERROR(VLOOKUP(B196,Lists!$A$2:$B$25,2,FALSE),"")</f>
        <v/>
      </c>
      <c r="D196" s="7"/>
      <c r="E196" s="6"/>
      <c r="F196" s="6" t="str">
        <f t="shared" si="11"/>
        <v/>
      </c>
      <c r="G196" s="6"/>
      <c r="H196" s="6"/>
      <c r="I196" s="6"/>
      <c r="J196" s="7"/>
      <c r="K196" s="5" t="str" cm="1">
        <f t="array" ref="K196">IF(OR(A196="",B196="",D196="",E196=""),"",A196&amp;"_"&amp;SUBSTITUTE(B196," ","-")&amp;"_"&amp;D196&amp;"_"&amp;SUBSTITUTE(SUBSTITUTE(E196," ",""),"€","Euro")&amp;"_"&amp;IF(F196="","Unknown",F196)&amp;IF(F196="Commemorative",IF(G196="","","_"&amp;SUBSTITUTE(SUBSTITUTE(SUBSTITUTE(G196," ","-"),"/","-"),CHAR(39),"")),"")&amp;IF(I196="Duplicate","_Dub"&amp;IF(SUMPRODUCT(($B$2:B196=B196)*($D$2:D196=D196)*($E$2:E196=E196)*($F$2:F196=F196)*($G$2:G196=G196)*($I$2:I196="Duplicate"))&lt;=1,"",SUMPRODUCT(($B$2:B196=B196)*($D$2:D196=D196)*($E$2:E196=E196)*($F$2:F196=F196)*($G$2:G196=G196)*($I$2:I196="Duplicate"))-1),"")&amp;".jpeg")</f>
        <v/>
      </c>
      <c r="L196" s="6"/>
      <c r="M196" s="5" t="str">
        <f>IFERROR(VLOOKUP(E196,Specifications!$A$2:$D$9,2,FALSE),"")</f>
        <v/>
      </c>
      <c r="N196" s="5" t="str">
        <f>IFERROR(VLOOKUP(E196,Specifications!$A$2:$D$9,3,FALSE),"")</f>
        <v/>
      </c>
      <c r="O196" s="5" t="str">
        <f>IFERROR(VLOOKUP(E196,Specifications!$A$2:$D$9,4,FALSE),"")</f>
        <v/>
      </c>
      <c r="P196" s="8" t="str">
        <f t="shared" si="12"/>
        <v/>
      </c>
      <c r="Q196" s="9"/>
    </row>
    <row r="197" spans="1:17" ht="15">
      <c r="A197" s="5" t="str">
        <f t="shared" si="10"/>
        <v/>
      </c>
      <c r="B197" s="6"/>
      <c r="C197" s="5" t="str">
        <f>IFERROR(VLOOKUP(B197,Lists!$A$2:$B$25,2,FALSE),"")</f>
        <v/>
      </c>
      <c r="D197" s="7"/>
      <c r="E197" s="6"/>
      <c r="F197" s="6" t="str">
        <f t="shared" si="11"/>
        <v/>
      </c>
      <c r="G197" s="6"/>
      <c r="H197" s="6"/>
      <c r="I197" s="6"/>
      <c r="J197" s="7"/>
      <c r="K197" s="5" t="str" cm="1">
        <f t="array" ref="K197">IF(OR(A197="",B197="",D197="",E197=""),"",A197&amp;"_"&amp;SUBSTITUTE(B197," ","-")&amp;"_"&amp;D197&amp;"_"&amp;SUBSTITUTE(SUBSTITUTE(E197," ",""),"€","Euro")&amp;"_"&amp;IF(F197="","Unknown",F197)&amp;IF(F197="Commemorative",IF(G197="","","_"&amp;SUBSTITUTE(SUBSTITUTE(SUBSTITUTE(G197," ","-"),"/","-"),CHAR(39),"")),"")&amp;IF(I197="Duplicate","_Dub"&amp;IF(SUMPRODUCT(($B$2:B197=B197)*($D$2:D197=D197)*($E$2:E197=E197)*($F$2:F197=F197)*($G$2:G197=G197)*($I$2:I197="Duplicate"))&lt;=1,"",SUMPRODUCT(($B$2:B197=B197)*($D$2:D197=D197)*($E$2:E197=E197)*($F$2:F197=F197)*($G$2:G197=G197)*($I$2:I197="Duplicate"))-1),"")&amp;".jpeg")</f>
        <v/>
      </c>
      <c r="L197" s="6"/>
      <c r="M197" s="5" t="str">
        <f>IFERROR(VLOOKUP(E197,Specifications!$A$2:$D$9,2,FALSE),"")</f>
        <v/>
      </c>
      <c r="N197" s="5" t="str">
        <f>IFERROR(VLOOKUP(E197,Specifications!$A$2:$D$9,3,FALSE),"")</f>
        <v/>
      </c>
      <c r="O197" s="5" t="str">
        <f>IFERROR(VLOOKUP(E197,Specifications!$A$2:$D$9,4,FALSE),"")</f>
        <v/>
      </c>
      <c r="P197" s="8" t="str">
        <f t="shared" si="12"/>
        <v/>
      </c>
      <c r="Q197" s="9"/>
    </row>
    <row r="198" spans="1:17" ht="15">
      <c r="A198" s="5" t="str">
        <f t="shared" si="10"/>
        <v/>
      </c>
      <c r="B198" s="6"/>
      <c r="C198" s="5" t="str">
        <f>IFERROR(VLOOKUP(B198,Lists!$A$2:$B$25,2,FALSE),"")</f>
        <v/>
      </c>
      <c r="D198" s="7"/>
      <c r="E198" s="6"/>
      <c r="F198" s="6" t="str">
        <f t="shared" si="11"/>
        <v/>
      </c>
      <c r="G198" s="6"/>
      <c r="H198" s="6"/>
      <c r="I198" s="6"/>
      <c r="J198" s="7"/>
      <c r="K198" s="5" t="str" cm="1">
        <f t="array" ref="K198">IF(OR(A198="",B198="",D198="",E198=""),"",A198&amp;"_"&amp;SUBSTITUTE(B198," ","-")&amp;"_"&amp;D198&amp;"_"&amp;SUBSTITUTE(SUBSTITUTE(E198," ",""),"€","Euro")&amp;"_"&amp;IF(F198="","Unknown",F198)&amp;IF(F198="Commemorative",IF(G198="","","_"&amp;SUBSTITUTE(SUBSTITUTE(SUBSTITUTE(G198," ","-"),"/","-"),CHAR(39),"")),"")&amp;IF(I198="Duplicate","_Dub"&amp;IF(SUMPRODUCT(($B$2:B198=B198)*($D$2:D198=D198)*($E$2:E198=E198)*($F$2:F198=F198)*($G$2:G198=G198)*($I$2:I198="Duplicate"))&lt;=1,"",SUMPRODUCT(($B$2:B198=B198)*($D$2:D198=D198)*($E$2:E198=E198)*($F$2:F198=F198)*($G$2:G198=G198)*($I$2:I198="Duplicate"))-1),"")&amp;".jpeg")</f>
        <v/>
      </c>
      <c r="L198" s="6"/>
      <c r="M198" s="5" t="str">
        <f>IFERROR(VLOOKUP(E198,Specifications!$A$2:$D$9,2,FALSE),"")</f>
        <v/>
      </c>
      <c r="N198" s="5" t="str">
        <f>IFERROR(VLOOKUP(E198,Specifications!$A$2:$D$9,3,FALSE),"")</f>
        <v/>
      </c>
      <c r="O198" s="5" t="str">
        <f>IFERROR(VLOOKUP(E198,Specifications!$A$2:$D$9,4,FALSE),"")</f>
        <v/>
      </c>
      <c r="P198" s="8" t="str">
        <f t="shared" si="12"/>
        <v/>
      </c>
      <c r="Q198" s="9"/>
    </row>
    <row r="199" spans="1:17" ht="15">
      <c r="A199" s="5" t="str">
        <f t="shared" si="10"/>
        <v/>
      </c>
      <c r="B199" s="6"/>
      <c r="C199" s="5" t="str">
        <f>IFERROR(VLOOKUP(B199,Lists!$A$2:$B$25,2,FALSE),"")</f>
        <v/>
      </c>
      <c r="D199" s="7"/>
      <c r="E199" s="6"/>
      <c r="F199" s="6" t="str">
        <f t="shared" si="11"/>
        <v/>
      </c>
      <c r="G199" s="6"/>
      <c r="H199" s="6"/>
      <c r="I199" s="6"/>
      <c r="J199" s="7"/>
      <c r="K199" s="5" t="str" cm="1">
        <f t="array" ref="K199">IF(OR(A199="",B199="",D199="",E199=""),"",A199&amp;"_"&amp;SUBSTITUTE(B199," ","-")&amp;"_"&amp;D199&amp;"_"&amp;SUBSTITUTE(SUBSTITUTE(E199," ",""),"€","Euro")&amp;"_"&amp;IF(F199="","Unknown",F199)&amp;IF(F199="Commemorative",IF(G199="","","_"&amp;SUBSTITUTE(SUBSTITUTE(SUBSTITUTE(G199," ","-"),"/","-"),CHAR(39),"")),"")&amp;IF(I199="Duplicate","_Dub"&amp;IF(SUMPRODUCT(($B$2:B199=B199)*($D$2:D199=D199)*($E$2:E199=E199)*($F$2:F199=F199)*($G$2:G199=G199)*($I$2:I199="Duplicate"))&lt;=1,"",SUMPRODUCT(($B$2:B199=B199)*($D$2:D199=D199)*($E$2:E199=E199)*($F$2:F199=F199)*($G$2:G199=G199)*($I$2:I199="Duplicate"))-1),"")&amp;".jpeg")</f>
        <v/>
      </c>
      <c r="L199" s="6"/>
      <c r="M199" s="5" t="str">
        <f>IFERROR(VLOOKUP(E199,Specifications!$A$2:$D$9,2,FALSE),"")</f>
        <v/>
      </c>
      <c r="N199" s="5" t="str">
        <f>IFERROR(VLOOKUP(E199,Specifications!$A$2:$D$9,3,FALSE),"")</f>
        <v/>
      </c>
      <c r="O199" s="5" t="str">
        <f>IFERROR(VLOOKUP(E199,Specifications!$A$2:$D$9,4,FALSE),"")</f>
        <v/>
      </c>
      <c r="P199" s="8" t="str">
        <f t="shared" si="12"/>
        <v/>
      </c>
      <c r="Q199" s="9"/>
    </row>
    <row r="200" spans="1:17" ht="15">
      <c r="A200" s="5" t="str">
        <f t="shared" si="10"/>
        <v/>
      </c>
      <c r="B200" s="6"/>
      <c r="C200" s="5" t="str">
        <f>IFERROR(VLOOKUP(B200,Lists!$A$2:$B$25,2,FALSE),"")</f>
        <v/>
      </c>
      <c r="D200" s="7"/>
      <c r="E200" s="6"/>
      <c r="F200" s="6" t="str">
        <f t="shared" si="11"/>
        <v/>
      </c>
      <c r="G200" s="6"/>
      <c r="H200" s="6"/>
      <c r="I200" s="6"/>
      <c r="J200" s="7"/>
      <c r="K200" s="5" t="str" cm="1">
        <f t="array" ref="K200">IF(OR(A200="",B200="",D200="",E200=""),"",A200&amp;"_"&amp;SUBSTITUTE(B200," ","-")&amp;"_"&amp;D200&amp;"_"&amp;SUBSTITUTE(SUBSTITUTE(E200," ",""),"€","Euro")&amp;"_"&amp;IF(F200="","Unknown",F200)&amp;IF(F200="Commemorative",IF(G200="","","_"&amp;SUBSTITUTE(SUBSTITUTE(SUBSTITUTE(G200," ","-"),"/","-"),CHAR(39),"")),"")&amp;IF(I200="Duplicate","_Dub"&amp;IF(SUMPRODUCT(($B$2:B200=B200)*($D$2:D200=D200)*($E$2:E200=E200)*($F$2:F200=F200)*($G$2:G200=G200)*($I$2:I200="Duplicate"))&lt;=1,"",SUMPRODUCT(($B$2:B200=B200)*($D$2:D200=D200)*($E$2:E200=E200)*($F$2:F200=F200)*($G$2:G200=G200)*($I$2:I200="Duplicate"))-1),"")&amp;".jpeg")</f>
        <v/>
      </c>
      <c r="L200" s="6"/>
      <c r="M200" s="5" t="str">
        <f>IFERROR(VLOOKUP(E200,Specifications!$A$2:$D$9,2,FALSE),"")</f>
        <v/>
      </c>
      <c r="N200" s="5" t="str">
        <f>IFERROR(VLOOKUP(E200,Specifications!$A$2:$D$9,3,FALSE),"")</f>
        <v/>
      </c>
      <c r="O200" s="5" t="str">
        <f>IFERROR(VLOOKUP(E200,Specifications!$A$2:$D$9,4,FALSE),"")</f>
        <v/>
      </c>
      <c r="P200" s="8" t="str">
        <f t="shared" si="12"/>
        <v/>
      </c>
      <c r="Q200" s="9"/>
    </row>
    <row r="201" spans="1:17" ht="15">
      <c r="A201" s="5" t="str">
        <f t="shared" si="10"/>
        <v/>
      </c>
      <c r="B201" s="6"/>
      <c r="C201" s="5" t="str">
        <f>IFERROR(VLOOKUP(B201,Lists!$A$2:$B$25,2,FALSE),"")</f>
        <v/>
      </c>
      <c r="D201" s="7"/>
      <c r="E201" s="6"/>
      <c r="F201" s="6" t="str">
        <f t="shared" si="11"/>
        <v/>
      </c>
      <c r="G201" s="6"/>
      <c r="H201" s="6"/>
      <c r="I201" s="6"/>
      <c r="J201" s="7"/>
      <c r="K201" s="5" t="str" cm="1">
        <f t="array" ref="K201">IF(OR(A201="",B201="",D201="",E201=""),"",A201&amp;"_"&amp;SUBSTITUTE(B201," ","-")&amp;"_"&amp;D201&amp;"_"&amp;SUBSTITUTE(SUBSTITUTE(E201," ",""),"€","Euro")&amp;"_"&amp;IF(F201="","Unknown",F201)&amp;IF(F201="Commemorative",IF(G201="","","_"&amp;SUBSTITUTE(SUBSTITUTE(SUBSTITUTE(G201," ","-"),"/","-"),CHAR(39),"")),"")&amp;IF(I201="Duplicate","_Dub"&amp;IF(SUMPRODUCT(($B$2:B201=B201)*($D$2:D201=D201)*($E$2:E201=E201)*($F$2:F201=F201)*($G$2:G201=G201)*($I$2:I201="Duplicate"))&lt;=1,"",SUMPRODUCT(($B$2:B201=B201)*($D$2:D201=D201)*($E$2:E201=E201)*($F$2:F201=F201)*($G$2:G201=G201)*($I$2:I201="Duplicate"))-1),"")&amp;".jpeg")</f>
        <v/>
      </c>
      <c r="L201" s="6"/>
      <c r="M201" s="5" t="str">
        <f>IFERROR(VLOOKUP(E201,Specifications!$A$2:$D$9,2,FALSE),"")</f>
        <v/>
      </c>
      <c r="N201" s="5" t="str">
        <f>IFERROR(VLOOKUP(E201,Specifications!$A$2:$D$9,3,FALSE),"")</f>
        <v/>
      </c>
      <c r="O201" s="5" t="str">
        <f>IFERROR(VLOOKUP(E201,Specifications!$A$2:$D$9,4,FALSE),"")</f>
        <v/>
      </c>
      <c r="P201" s="8" t="str">
        <f t="shared" si="12"/>
        <v/>
      </c>
      <c r="Q201" s="9"/>
    </row>
    <row r="202" spans="1:17" ht="15">
      <c r="A202" s="5" t="str">
        <f t="shared" si="10"/>
        <v/>
      </c>
      <c r="B202" s="6"/>
      <c r="C202" s="5" t="str">
        <f>IFERROR(VLOOKUP(B202,Lists!$A$2:$B$25,2,FALSE),"")</f>
        <v/>
      </c>
      <c r="D202" s="7"/>
      <c r="E202" s="6"/>
      <c r="F202" s="6" t="str">
        <f t="shared" si="11"/>
        <v/>
      </c>
      <c r="G202" s="6"/>
      <c r="H202" s="6"/>
      <c r="I202" s="6"/>
      <c r="J202" s="7"/>
      <c r="K202" s="5" t="str" cm="1">
        <f t="array" ref="K202">IF(OR(A202="",B202="",D202="",E202=""),"",A202&amp;"_"&amp;SUBSTITUTE(B202," ","-")&amp;"_"&amp;D202&amp;"_"&amp;SUBSTITUTE(SUBSTITUTE(E202," ",""),"€","Euro")&amp;"_"&amp;IF(F202="","Unknown",F202)&amp;IF(F202="Commemorative",IF(G202="","","_"&amp;SUBSTITUTE(SUBSTITUTE(SUBSTITUTE(G202," ","-"),"/","-"),CHAR(39),"")),"")&amp;IF(I202="Duplicate","_Dub"&amp;IF(SUMPRODUCT(($B$2:B202=B202)*($D$2:D202=D202)*($E$2:E202=E202)*($F$2:F202=F202)*($G$2:G202=G202)*($I$2:I202="Duplicate"))&lt;=1,"",SUMPRODUCT(($B$2:B202=B202)*($D$2:D202=D202)*($E$2:E202=E202)*($F$2:F202=F202)*($G$2:G202=G202)*($I$2:I202="Duplicate"))-1),"")&amp;".jpeg")</f>
        <v/>
      </c>
      <c r="L202" s="6"/>
      <c r="M202" s="5" t="str">
        <f>IFERROR(VLOOKUP(E202,Specifications!$A$2:$D$9,2,FALSE),"")</f>
        <v/>
      </c>
      <c r="N202" s="5" t="str">
        <f>IFERROR(VLOOKUP(E202,Specifications!$A$2:$D$9,3,FALSE),"")</f>
        <v/>
      </c>
      <c r="O202" s="5" t="str">
        <f>IFERROR(VLOOKUP(E202,Specifications!$A$2:$D$9,4,FALSE),"")</f>
        <v/>
      </c>
      <c r="P202" s="8" t="str">
        <f t="shared" si="12"/>
        <v/>
      </c>
      <c r="Q202" s="9"/>
    </row>
    <row r="203" spans="1:17" ht="15">
      <c r="A203" s="5" t="str">
        <f t="shared" si="10"/>
        <v/>
      </c>
      <c r="B203" s="6"/>
      <c r="C203" s="5" t="str">
        <f>IFERROR(VLOOKUP(B203,Lists!$A$2:$B$25,2,FALSE),"")</f>
        <v/>
      </c>
      <c r="D203" s="7"/>
      <c r="E203" s="6"/>
      <c r="F203" s="6" t="str">
        <f t="shared" si="11"/>
        <v/>
      </c>
      <c r="G203" s="6"/>
      <c r="H203" s="6"/>
      <c r="I203" s="6"/>
      <c r="J203" s="7"/>
      <c r="K203" s="5" t="str" cm="1">
        <f t="array" ref="K203">IF(OR(A203="",B203="",D203="",E203=""),"",A203&amp;"_"&amp;SUBSTITUTE(B203," ","-")&amp;"_"&amp;D203&amp;"_"&amp;SUBSTITUTE(SUBSTITUTE(E203," ",""),"€","Euro")&amp;"_"&amp;IF(F203="","Unknown",F203)&amp;IF(F203="Commemorative",IF(G203="","","_"&amp;SUBSTITUTE(SUBSTITUTE(SUBSTITUTE(G203," ","-"),"/","-"),CHAR(39),"")),"")&amp;IF(I203="Duplicate","_Dub"&amp;IF(SUMPRODUCT(($B$2:B203=B203)*($D$2:D203=D203)*($E$2:E203=E203)*($F$2:F203=F203)*($G$2:G203=G203)*($I$2:I203="Duplicate"))&lt;=1,"",SUMPRODUCT(($B$2:B203=B203)*($D$2:D203=D203)*($E$2:E203=E203)*($F$2:F203=F203)*($G$2:G203=G203)*($I$2:I203="Duplicate"))-1),"")&amp;".jpeg")</f>
        <v/>
      </c>
      <c r="L203" s="6"/>
      <c r="M203" s="5" t="str">
        <f>IFERROR(VLOOKUP(E203,Specifications!$A$2:$D$9,2,FALSE),"")</f>
        <v/>
      </c>
      <c r="N203" s="5" t="str">
        <f>IFERROR(VLOOKUP(E203,Specifications!$A$2:$D$9,3,FALSE),"")</f>
        <v/>
      </c>
      <c r="O203" s="5" t="str">
        <f>IFERROR(VLOOKUP(E203,Specifications!$A$2:$D$9,4,FALSE),"")</f>
        <v/>
      </c>
      <c r="P203" s="8" t="str">
        <f t="shared" si="12"/>
        <v/>
      </c>
      <c r="Q203" s="9"/>
    </row>
    <row r="204" spans="1:17" ht="15">
      <c r="A204" s="5" t="str">
        <f t="shared" si="10"/>
        <v/>
      </c>
      <c r="B204" s="6"/>
      <c r="C204" s="5" t="str">
        <f>IFERROR(VLOOKUP(B204,Lists!$A$2:$B$25,2,FALSE),"")</f>
        <v/>
      </c>
      <c r="D204" s="7"/>
      <c r="E204" s="6"/>
      <c r="F204" s="6" t="str">
        <f t="shared" si="11"/>
        <v/>
      </c>
      <c r="G204" s="6"/>
      <c r="H204" s="6"/>
      <c r="I204" s="6"/>
      <c r="J204" s="7"/>
      <c r="K204" s="5" t="str" cm="1">
        <f t="array" ref="K204">IF(OR(A204="",B204="",D204="",E204=""),"",A204&amp;"_"&amp;SUBSTITUTE(B204," ","-")&amp;"_"&amp;D204&amp;"_"&amp;SUBSTITUTE(SUBSTITUTE(E204," ",""),"€","Euro")&amp;"_"&amp;IF(F204="","Unknown",F204)&amp;IF(F204="Commemorative",IF(G204="","","_"&amp;SUBSTITUTE(SUBSTITUTE(SUBSTITUTE(G204," ","-"),"/","-"),CHAR(39),"")),"")&amp;IF(I204="Duplicate","_Dub"&amp;IF(SUMPRODUCT(($B$2:B204=B204)*($D$2:D204=D204)*($E$2:E204=E204)*($F$2:F204=F204)*($G$2:G204=G204)*($I$2:I204="Duplicate"))&lt;=1,"",SUMPRODUCT(($B$2:B204=B204)*($D$2:D204=D204)*($E$2:E204=E204)*($F$2:F204=F204)*($G$2:G204=G204)*($I$2:I204="Duplicate"))-1),"")&amp;".jpeg")</f>
        <v/>
      </c>
      <c r="L204" s="6"/>
      <c r="M204" s="5" t="str">
        <f>IFERROR(VLOOKUP(E204,Specifications!$A$2:$D$9,2,FALSE),"")</f>
        <v/>
      </c>
      <c r="N204" s="5" t="str">
        <f>IFERROR(VLOOKUP(E204,Specifications!$A$2:$D$9,3,FALSE),"")</f>
        <v/>
      </c>
      <c r="O204" s="5" t="str">
        <f>IFERROR(VLOOKUP(E204,Specifications!$A$2:$D$9,4,FALSE),"")</f>
        <v/>
      </c>
      <c r="P204" s="8" t="str">
        <f t="shared" si="12"/>
        <v/>
      </c>
      <c r="Q204" s="9"/>
    </row>
    <row r="205" spans="1:17" ht="15">
      <c r="A205" s="5" t="str">
        <f t="shared" si="10"/>
        <v/>
      </c>
      <c r="B205" s="6"/>
      <c r="C205" s="5" t="str">
        <f>IFERROR(VLOOKUP(B205,Lists!$A$2:$B$25,2,FALSE),"")</f>
        <v/>
      </c>
      <c r="D205" s="7"/>
      <c r="E205" s="6"/>
      <c r="F205" s="6" t="str">
        <f t="shared" si="11"/>
        <v/>
      </c>
      <c r="G205" s="6"/>
      <c r="H205" s="6"/>
      <c r="I205" s="6"/>
      <c r="J205" s="7"/>
      <c r="K205" s="5" t="str" cm="1">
        <f t="array" ref="K205">IF(OR(A205="",B205="",D205="",E205=""),"",A205&amp;"_"&amp;SUBSTITUTE(B205," ","-")&amp;"_"&amp;D205&amp;"_"&amp;SUBSTITUTE(SUBSTITUTE(E205," ",""),"€","Euro")&amp;"_"&amp;IF(F205="","Unknown",F205)&amp;IF(F205="Commemorative",IF(G205="","","_"&amp;SUBSTITUTE(SUBSTITUTE(SUBSTITUTE(G205," ","-"),"/","-"),CHAR(39),"")),"")&amp;IF(I205="Duplicate","_Dub"&amp;IF(SUMPRODUCT(($B$2:B205=B205)*($D$2:D205=D205)*($E$2:E205=E205)*($F$2:F205=F205)*($G$2:G205=G205)*($I$2:I205="Duplicate"))&lt;=1,"",SUMPRODUCT(($B$2:B205=B205)*($D$2:D205=D205)*($E$2:E205=E205)*($F$2:F205=F205)*($G$2:G205=G205)*($I$2:I205="Duplicate"))-1),"")&amp;".jpeg")</f>
        <v/>
      </c>
      <c r="L205" s="6"/>
      <c r="M205" s="5" t="str">
        <f>IFERROR(VLOOKUP(E205,Specifications!$A$2:$D$9,2,FALSE),"")</f>
        <v/>
      </c>
      <c r="N205" s="5" t="str">
        <f>IFERROR(VLOOKUP(E205,Specifications!$A$2:$D$9,3,FALSE),"")</f>
        <v/>
      </c>
      <c r="O205" s="5" t="str">
        <f>IFERROR(VLOOKUP(E205,Specifications!$A$2:$D$9,4,FALSE),"")</f>
        <v/>
      </c>
      <c r="P205" s="8" t="str">
        <f t="shared" si="12"/>
        <v/>
      </c>
      <c r="Q205" s="9"/>
    </row>
    <row r="206" spans="1:17" ht="15">
      <c r="A206" s="5" t="str">
        <f t="shared" si="10"/>
        <v/>
      </c>
      <c r="B206" s="6"/>
      <c r="C206" s="5" t="str">
        <f>IFERROR(VLOOKUP(B206,Lists!$A$2:$B$25,2,FALSE),"")</f>
        <v/>
      </c>
      <c r="D206" s="7"/>
      <c r="E206" s="6"/>
      <c r="F206" s="6" t="str">
        <f t="shared" si="11"/>
        <v/>
      </c>
      <c r="G206" s="6"/>
      <c r="H206" s="6"/>
      <c r="I206" s="6"/>
      <c r="J206" s="7"/>
      <c r="K206" s="5" t="str" cm="1">
        <f t="array" ref="K206">IF(OR(A206="",B206="",D206="",E206=""),"",A206&amp;"_"&amp;SUBSTITUTE(B206," ","-")&amp;"_"&amp;D206&amp;"_"&amp;SUBSTITUTE(SUBSTITUTE(E206," ",""),"€","Euro")&amp;"_"&amp;IF(F206="","Unknown",F206)&amp;IF(F206="Commemorative",IF(G206="","","_"&amp;SUBSTITUTE(SUBSTITUTE(SUBSTITUTE(G206," ","-"),"/","-"),CHAR(39),"")),"")&amp;IF(I206="Duplicate","_Dub"&amp;IF(SUMPRODUCT(($B$2:B206=B206)*($D$2:D206=D206)*($E$2:E206=E206)*($F$2:F206=F206)*($G$2:G206=G206)*($I$2:I206="Duplicate"))&lt;=1,"",SUMPRODUCT(($B$2:B206=B206)*($D$2:D206=D206)*($E$2:E206=E206)*($F$2:F206=F206)*($G$2:G206=G206)*($I$2:I206="Duplicate"))-1),"")&amp;".jpeg")</f>
        <v/>
      </c>
      <c r="L206" s="6"/>
      <c r="M206" s="5" t="str">
        <f>IFERROR(VLOOKUP(E206,Specifications!$A$2:$D$9,2,FALSE),"")</f>
        <v/>
      </c>
      <c r="N206" s="5" t="str">
        <f>IFERROR(VLOOKUP(E206,Specifications!$A$2:$D$9,3,FALSE),"")</f>
        <v/>
      </c>
      <c r="O206" s="5" t="str">
        <f>IFERROR(VLOOKUP(E206,Specifications!$A$2:$D$9,4,FALSE),"")</f>
        <v/>
      </c>
      <c r="P206" s="8" t="str">
        <f t="shared" si="12"/>
        <v/>
      </c>
      <c r="Q206" s="9"/>
    </row>
    <row r="207" spans="1:17" ht="15">
      <c r="A207" s="5" t="str">
        <f t="shared" si="10"/>
        <v/>
      </c>
      <c r="B207" s="6"/>
      <c r="C207" s="5" t="str">
        <f>IFERROR(VLOOKUP(B207,Lists!$A$2:$B$25,2,FALSE),"")</f>
        <v/>
      </c>
      <c r="D207" s="7"/>
      <c r="E207" s="6"/>
      <c r="F207" s="6" t="str">
        <f t="shared" si="11"/>
        <v/>
      </c>
      <c r="G207" s="6"/>
      <c r="H207" s="6"/>
      <c r="I207" s="6"/>
      <c r="J207" s="7"/>
      <c r="K207" s="5" t="str" cm="1">
        <f t="array" ref="K207">IF(OR(A207="",B207="",D207="",E207=""),"",A207&amp;"_"&amp;SUBSTITUTE(B207," ","-")&amp;"_"&amp;D207&amp;"_"&amp;SUBSTITUTE(SUBSTITUTE(E207," ",""),"€","Euro")&amp;"_"&amp;IF(F207="","Unknown",F207)&amp;IF(F207="Commemorative",IF(G207="","","_"&amp;SUBSTITUTE(SUBSTITUTE(SUBSTITUTE(G207," ","-"),"/","-"),CHAR(39),"")),"")&amp;IF(I207="Duplicate","_Dub"&amp;IF(SUMPRODUCT(($B$2:B207=B207)*($D$2:D207=D207)*($E$2:E207=E207)*($F$2:F207=F207)*($G$2:G207=G207)*($I$2:I207="Duplicate"))&lt;=1,"",SUMPRODUCT(($B$2:B207=B207)*($D$2:D207=D207)*($E$2:E207=E207)*($F$2:F207=F207)*($G$2:G207=G207)*($I$2:I207="Duplicate"))-1),"")&amp;".jpeg")</f>
        <v/>
      </c>
      <c r="L207" s="6"/>
      <c r="M207" s="5" t="str">
        <f>IFERROR(VLOOKUP(E207,Specifications!$A$2:$D$9,2,FALSE),"")</f>
        <v/>
      </c>
      <c r="N207" s="5" t="str">
        <f>IFERROR(VLOOKUP(E207,Specifications!$A$2:$D$9,3,FALSE),"")</f>
        <v/>
      </c>
      <c r="O207" s="5" t="str">
        <f>IFERROR(VLOOKUP(E207,Specifications!$A$2:$D$9,4,FALSE),"")</f>
        <v/>
      </c>
      <c r="P207" s="8" t="str">
        <f t="shared" si="12"/>
        <v/>
      </c>
      <c r="Q207" s="9"/>
    </row>
    <row r="208" spans="1:17" ht="15">
      <c r="A208" s="5" t="str">
        <f t="shared" si="10"/>
        <v/>
      </c>
      <c r="B208" s="6"/>
      <c r="C208" s="5" t="str">
        <f>IFERROR(VLOOKUP(B208,Lists!$A$2:$B$25,2,FALSE),"")</f>
        <v/>
      </c>
      <c r="D208" s="7"/>
      <c r="E208" s="6"/>
      <c r="F208" s="6" t="str">
        <f t="shared" si="11"/>
        <v/>
      </c>
      <c r="G208" s="6"/>
      <c r="H208" s="6"/>
      <c r="I208" s="6"/>
      <c r="J208" s="7"/>
      <c r="K208" s="5" t="str" cm="1">
        <f t="array" ref="K208">IF(OR(A208="",B208="",D208="",E208=""),"",A208&amp;"_"&amp;SUBSTITUTE(B208," ","-")&amp;"_"&amp;D208&amp;"_"&amp;SUBSTITUTE(SUBSTITUTE(E208," ",""),"€","Euro")&amp;"_"&amp;IF(F208="","Unknown",F208)&amp;IF(F208="Commemorative",IF(G208="","","_"&amp;SUBSTITUTE(SUBSTITUTE(SUBSTITUTE(G208," ","-"),"/","-"),CHAR(39),"")),"")&amp;IF(I208="Duplicate","_Dub"&amp;IF(SUMPRODUCT(($B$2:B208=B208)*($D$2:D208=D208)*($E$2:E208=E208)*($F$2:F208=F208)*($G$2:G208=G208)*($I$2:I208="Duplicate"))&lt;=1,"",SUMPRODUCT(($B$2:B208=B208)*($D$2:D208=D208)*($E$2:E208=E208)*($F$2:F208=F208)*($G$2:G208=G208)*($I$2:I208="Duplicate"))-1),"")&amp;".jpeg")</f>
        <v/>
      </c>
      <c r="L208" s="6"/>
      <c r="M208" s="5" t="str">
        <f>IFERROR(VLOOKUP(E208,Specifications!$A$2:$D$9,2,FALSE),"")</f>
        <v/>
      </c>
      <c r="N208" s="5" t="str">
        <f>IFERROR(VLOOKUP(E208,Specifications!$A$2:$D$9,3,FALSE),"")</f>
        <v/>
      </c>
      <c r="O208" s="5" t="str">
        <f>IFERROR(VLOOKUP(E208,Specifications!$A$2:$D$9,4,FALSE),"")</f>
        <v/>
      </c>
      <c r="P208" s="8" t="str">
        <f t="shared" si="12"/>
        <v/>
      </c>
      <c r="Q208" s="9"/>
    </row>
    <row r="209" spans="1:17" ht="15">
      <c r="A209" s="5" t="str">
        <f t="shared" si="10"/>
        <v/>
      </c>
      <c r="B209" s="6"/>
      <c r="C209" s="5" t="str">
        <f>IFERROR(VLOOKUP(B209,Lists!$A$2:$B$25,2,FALSE),"")</f>
        <v/>
      </c>
      <c r="D209" s="7"/>
      <c r="E209" s="6"/>
      <c r="F209" s="6" t="str">
        <f t="shared" si="11"/>
        <v/>
      </c>
      <c r="G209" s="6"/>
      <c r="H209" s="6"/>
      <c r="I209" s="6"/>
      <c r="J209" s="7"/>
      <c r="K209" s="5" t="str" cm="1">
        <f t="array" ref="K209">IF(OR(A209="",B209="",D209="",E209=""),"",A209&amp;"_"&amp;SUBSTITUTE(B209," ","-")&amp;"_"&amp;D209&amp;"_"&amp;SUBSTITUTE(SUBSTITUTE(E209," ",""),"€","Euro")&amp;"_"&amp;IF(F209="","Unknown",F209)&amp;IF(F209="Commemorative",IF(G209="","","_"&amp;SUBSTITUTE(SUBSTITUTE(SUBSTITUTE(G209," ","-"),"/","-"),CHAR(39),"")),"")&amp;IF(I209="Duplicate","_Dub"&amp;IF(SUMPRODUCT(($B$2:B209=B209)*($D$2:D209=D209)*($E$2:E209=E209)*($F$2:F209=F209)*($G$2:G209=G209)*($I$2:I209="Duplicate"))&lt;=1,"",SUMPRODUCT(($B$2:B209=B209)*($D$2:D209=D209)*($E$2:E209=E209)*($F$2:F209=F209)*($G$2:G209=G209)*($I$2:I209="Duplicate"))-1),"")&amp;".jpeg")</f>
        <v/>
      </c>
      <c r="L209" s="6"/>
      <c r="M209" s="5" t="str">
        <f>IFERROR(VLOOKUP(E209,Specifications!$A$2:$D$9,2,FALSE),"")</f>
        <v/>
      </c>
      <c r="N209" s="5" t="str">
        <f>IFERROR(VLOOKUP(E209,Specifications!$A$2:$D$9,3,FALSE),"")</f>
        <v/>
      </c>
      <c r="O209" s="5" t="str">
        <f>IFERROR(VLOOKUP(E209,Specifications!$A$2:$D$9,4,FALSE),"")</f>
        <v/>
      </c>
      <c r="P209" s="8" t="str">
        <f t="shared" si="12"/>
        <v/>
      </c>
      <c r="Q209" s="9"/>
    </row>
    <row r="210" spans="1:17" ht="15">
      <c r="A210" s="5" t="str">
        <f t="shared" si="10"/>
        <v/>
      </c>
      <c r="B210" s="6"/>
      <c r="C210" s="5" t="str">
        <f>IFERROR(VLOOKUP(B210,Lists!$A$2:$B$25,2,FALSE),"")</f>
        <v/>
      </c>
      <c r="D210" s="7"/>
      <c r="E210" s="6"/>
      <c r="F210" s="6" t="str">
        <f t="shared" si="11"/>
        <v/>
      </c>
      <c r="G210" s="6"/>
      <c r="H210" s="6"/>
      <c r="I210" s="6"/>
      <c r="J210" s="7"/>
      <c r="K210" s="5" t="str" cm="1">
        <f t="array" ref="K210">IF(OR(A210="",B210="",D210="",E210=""),"",A210&amp;"_"&amp;SUBSTITUTE(B210," ","-")&amp;"_"&amp;D210&amp;"_"&amp;SUBSTITUTE(SUBSTITUTE(E210," ",""),"€","Euro")&amp;"_"&amp;IF(F210="","Unknown",F210)&amp;IF(F210="Commemorative",IF(G210="","","_"&amp;SUBSTITUTE(SUBSTITUTE(SUBSTITUTE(G210," ","-"),"/","-"),CHAR(39),"")),"")&amp;IF(I210="Duplicate","_Dub"&amp;IF(SUMPRODUCT(($B$2:B210=B210)*($D$2:D210=D210)*($E$2:E210=E210)*($F$2:F210=F210)*($G$2:G210=G210)*($I$2:I210="Duplicate"))&lt;=1,"",SUMPRODUCT(($B$2:B210=B210)*($D$2:D210=D210)*($E$2:E210=E210)*($F$2:F210=F210)*($G$2:G210=G210)*($I$2:I210="Duplicate"))-1),"")&amp;".jpeg")</f>
        <v/>
      </c>
      <c r="L210" s="6"/>
      <c r="M210" s="5" t="str">
        <f>IFERROR(VLOOKUP(E210,Specifications!$A$2:$D$9,2,FALSE),"")</f>
        <v/>
      </c>
      <c r="N210" s="5" t="str">
        <f>IFERROR(VLOOKUP(E210,Specifications!$A$2:$D$9,3,FALSE),"")</f>
        <v/>
      </c>
      <c r="O210" s="5" t="str">
        <f>IFERROR(VLOOKUP(E210,Specifications!$A$2:$D$9,4,FALSE),"")</f>
        <v/>
      </c>
      <c r="P210" s="8" t="str">
        <f t="shared" si="12"/>
        <v/>
      </c>
      <c r="Q210" s="9"/>
    </row>
    <row r="211" spans="1:17" ht="15">
      <c r="A211" s="5" t="str">
        <f t="shared" si="10"/>
        <v/>
      </c>
      <c r="B211" s="6"/>
      <c r="C211" s="5" t="str">
        <f>IFERROR(VLOOKUP(B211,Lists!$A$2:$B$25,2,FALSE),"")</f>
        <v/>
      </c>
      <c r="D211" s="7"/>
      <c r="E211" s="6"/>
      <c r="F211" s="6" t="str">
        <f t="shared" si="11"/>
        <v/>
      </c>
      <c r="G211" s="6"/>
      <c r="H211" s="6"/>
      <c r="I211" s="6"/>
      <c r="J211" s="7"/>
      <c r="K211" s="5" t="str" cm="1">
        <f t="array" ref="K211">IF(OR(A211="",B211="",D211="",E211=""),"",A211&amp;"_"&amp;SUBSTITUTE(B211," ","-")&amp;"_"&amp;D211&amp;"_"&amp;SUBSTITUTE(SUBSTITUTE(E211," ",""),"€","Euro")&amp;"_"&amp;IF(F211="","Unknown",F211)&amp;IF(F211="Commemorative",IF(G211="","","_"&amp;SUBSTITUTE(SUBSTITUTE(SUBSTITUTE(G211," ","-"),"/","-"),CHAR(39),"")),"")&amp;IF(I211="Duplicate","_Dub"&amp;IF(SUMPRODUCT(($B$2:B211=B211)*($D$2:D211=D211)*($E$2:E211=E211)*($F$2:F211=F211)*($G$2:G211=G211)*($I$2:I211="Duplicate"))&lt;=1,"",SUMPRODUCT(($B$2:B211=B211)*($D$2:D211=D211)*($E$2:E211=E211)*($F$2:F211=F211)*($G$2:G211=G211)*($I$2:I211="Duplicate"))-1),"")&amp;".jpeg")</f>
        <v/>
      </c>
      <c r="L211" s="6"/>
      <c r="M211" s="5" t="str">
        <f>IFERROR(VLOOKUP(E211,Specifications!$A$2:$D$9,2,FALSE),"")</f>
        <v/>
      </c>
      <c r="N211" s="5" t="str">
        <f>IFERROR(VLOOKUP(E211,Specifications!$A$2:$D$9,3,FALSE),"")</f>
        <v/>
      </c>
      <c r="O211" s="5" t="str">
        <f>IFERROR(VLOOKUP(E211,Specifications!$A$2:$D$9,4,FALSE),"")</f>
        <v/>
      </c>
      <c r="P211" s="8" t="str">
        <f t="shared" si="12"/>
        <v/>
      </c>
      <c r="Q211" s="9"/>
    </row>
    <row r="212" spans="1:17" ht="15">
      <c r="A212" s="5" t="str">
        <f t="shared" si="10"/>
        <v/>
      </c>
      <c r="B212" s="6"/>
      <c r="C212" s="5" t="str">
        <f>IFERROR(VLOOKUP(B212,Lists!$A$2:$B$25,2,FALSE),"")</f>
        <v/>
      </c>
      <c r="D212" s="7"/>
      <c r="E212" s="6"/>
      <c r="F212" s="6" t="str">
        <f t="shared" si="11"/>
        <v/>
      </c>
      <c r="G212" s="6"/>
      <c r="H212" s="6"/>
      <c r="I212" s="6"/>
      <c r="J212" s="7"/>
      <c r="K212" s="5" t="str" cm="1">
        <f t="array" ref="K212">IF(OR(A212="",B212="",D212="",E212=""),"",A212&amp;"_"&amp;SUBSTITUTE(B212," ","-")&amp;"_"&amp;D212&amp;"_"&amp;SUBSTITUTE(SUBSTITUTE(E212," ",""),"€","Euro")&amp;"_"&amp;IF(F212="","Unknown",F212)&amp;IF(F212="Commemorative",IF(G212="","","_"&amp;SUBSTITUTE(SUBSTITUTE(SUBSTITUTE(G212," ","-"),"/","-"),CHAR(39),"")),"")&amp;IF(I212="Duplicate","_Dub"&amp;IF(SUMPRODUCT(($B$2:B212=B212)*($D$2:D212=D212)*($E$2:E212=E212)*($F$2:F212=F212)*($G$2:G212=G212)*($I$2:I212="Duplicate"))&lt;=1,"",SUMPRODUCT(($B$2:B212=B212)*($D$2:D212=D212)*($E$2:E212=E212)*($F$2:F212=F212)*($G$2:G212=G212)*($I$2:I212="Duplicate"))-1),"")&amp;".jpeg")</f>
        <v/>
      </c>
      <c r="L212" s="6"/>
      <c r="M212" s="5" t="str">
        <f>IFERROR(VLOOKUP(E212,Specifications!$A$2:$D$9,2,FALSE),"")</f>
        <v/>
      </c>
      <c r="N212" s="5" t="str">
        <f>IFERROR(VLOOKUP(E212,Specifications!$A$2:$D$9,3,FALSE),"")</f>
        <v/>
      </c>
      <c r="O212" s="5" t="str">
        <f>IFERROR(VLOOKUP(E212,Specifications!$A$2:$D$9,4,FALSE),"")</f>
        <v/>
      </c>
      <c r="P212" s="8" t="str">
        <f t="shared" si="12"/>
        <v/>
      </c>
      <c r="Q212" s="9"/>
    </row>
    <row r="213" spans="1:17" ht="15">
      <c r="A213" s="5" t="str">
        <f t="shared" si="10"/>
        <v/>
      </c>
      <c r="B213" s="6"/>
      <c r="C213" s="5" t="str">
        <f>IFERROR(VLOOKUP(B213,Lists!$A$2:$B$25,2,FALSE),"")</f>
        <v/>
      </c>
      <c r="D213" s="7"/>
      <c r="E213" s="6"/>
      <c r="F213" s="6" t="str">
        <f t="shared" si="11"/>
        <v/>
      </c>
      <c r="G213" s="6"/>
      <c r="H213" s="6"/>
      <c r="I213" s="6"/>
      <c r="J213" s="7"/>
      <c r="K213" s="5" t="str" cm="1">
        <f t="array" ref="K213">IF(OR(A213="",B213="",D213="",E213=""),"",A213&amp;"_"&amp;SUBSTITUTE(B213," ","-")&amp;"_"&amp;D213&amp;"_"&amp;SUBSTITUTE(SUBSTITUTE(E213," ",""),"€","Euro")&amp;"_"&amp;IF(F213="","Unknown",F213)&amp;IF(F213="Commemorative",IF(G213="","","_"&amp;SUBSTITUTE(SUBSTITUTE(SUBSTITUTE(G213," ","-"),"/","-"),CHAR(39),"")),"")&amp;IF(I213="Duplicate","_Dub"&amp;IF(SUMPRODUCT(($B$2:B213=B213)*($D$2:D213=D213)*($E$2:E213=E213)*($F$2:F213=F213)*($G$2:G213=G213)*($I$2:I213="Duplicate"))&lt;=1,"",SUMPRODUCT(($B$2:B213=B213)*($D$2:D213=D213)*($E$2:E213=E213)*($F$2:F213=F213)*($G$2:G213=G213)*($I$2:I213="Duplicate"))-1),"")&amp;".jpeg")</f>
        <v/>
      </c>
      <c r="L213" s="6"/>
      <c r="M213" s="5" t="str">
        <f>IFERROR(VLOOKUP(E213,Specifications!$A$2:$D$9,2,FALSE),"")</f>
        <v/>
      </c>
      <c r="N213" s="5" t="str">
        <f>IFERROR(VLOOKUP(E213,Specifications!$A$2:$D$9,3,FALSE),"")</f>
        <v/>
      </c>
      <c r="O213" s="5" t="str">
        <f>IFERROR(VLOOKUP(E213,Specifications!$A$2:$D$9,4,FALSE),"")</f>
        <v/>
      </c>
      <c r="P213" s="8" t="str">
        <f t="shared" si="12"/>
        <v/>
      </c>
      <c r="Q213" s="9"/>
    </row>
    <row r="214" spans="1:17" ht="15">
      <c r="A214" s="5" t="str">
        <f t="shared" si="10"/>
        <v/>
      </c>
      <c r="B214" s="6"/>
      <c r="C214" s="5" t="str">
        <f>IFERROR(VLOOKUP(B214,Lists!$A$2:$B$25,2,FALSE),"")</f>
        <v/>
      </c>
      <c r="D214" s="7"/>
      <c r="E214" s="6"/>
      <c r="F214" s="6" t="str">
        <f t="shared" si="11"/>
        <v/>
      </c>
      <c r="G214" s="6"/>
      <c r="H214" s="6"/>
      <c r="I214" s="6"/>
      <c r="J214" s="7"/>
      <c r="K214" s="5" t="str" cm="1">
        <f t="array" ref="K214">IF(OR(A214="",B214="",D214="",E214=""),"",A214&amp;"_"&amp;SUBSTITUTE(B214," ","-")&amp;"_"&amp;D214&amp;"_"&amp;SUBSTITUTE(SUBSTITUTE(E214," ",""),"€","Euro")&amp;"_"&amp;IF(F214="","Unknown",F214)&amp;IF(F214="Commemorative",IF(G214="","","_"&amp;SUBSTITUTE(SUBSTITUTE(SUBSTITUTE(G214," ","-"),"/","-"),CHAR(39),"")),"")&amp;IF(I214="Duplicate","_Dub"&amp;IF(SUMPRODUCT(($B$2:B214=B214)*($D$2:D214=D214)*($E$2:E214=E214)*($F$2:F214=F214)*($G$2:G214=G214)*($I$2:I214="Duplicate"))&lt;=1,"",SUMPRODUCT(($B$2:B214=B214)*($D$2:D214=D214)*($E$2:E214=E214)*($F$2:F214=F214)*($G$2:G214=G214)*($I$2:I214="Duplicate"))-1),"")&amp;".jpeg")</f>
        <v/>
      </c>
      <c r="L214" s="6"/>
      <c r="M214" s="5" t="str">
        <f>IFERROR(VLOOKUP(E214,Specifications!$A$2:$D$9,2,FALSE),"")</f>
        <v/>
      </c>
      <c r="N214" s="5" t="str">
        <f>IFERROR(VLOOKUP(E214,Specifications!$A$2:$D$9,3,FALSE),"")</f>
        <v/>
      </c>
      <c r="O214" s="5" t="str">
        <f>IFERROR(VLOOKUP(E214,Specifications!$A$2:$D$9,4,FALSE),"")</f>
        <v/>
      </c>
      <c r="P214" s="8" t="str">
        <f t="shared" si="12"/>
        <v/>
      </c>
      <c r="Q214" s="9"/>
    </row>
    <row r="215" spans="1:17" ht="15">
      <c r="A215" s="5" t="str">
        <f t="shared" si="10"/>
        <v/>
      </c>
      <c r="B215" s="6"/>
      <c r="C215" s="5" t="str">
        <f>IFERROR(VLOOKUP(B215,Lists!$A$2:$B$25,2,FALSE),"")</f>
        <v/>
      </c>
      <c r="D215" s="7"/>
      <c r="E215" s="6"/>
      <c r="F215" s="6" t="str">
        <f t="shared" si="11"/>
        <v/>
      </c>
      <c r="G215" s="6"/>
      <c r="H215" s="6"/>
      <c r="I215" s="6"/>
      <c r="J215" s="7"/>
      <c r="K215" s="5" t="str" cm="1">
        <f t="array" ref="K215">IF(OR(A215="",B215="",D215="",E215=""),"",A215&amp;"_"&amp;SUBSTITUTE(B215," ","-")&amp;"_"&amp;D215&amp;"_"&amp;SUBSTITUTE(SUBSTITUTE(E215," ",""),"€","Euro")&amp;"_"&amp;IF(F215="","Unknown",F215)&amp;IF(F215="Commemorative",IF(G215="","","_"&amp;SUBSTITUTE(SUBSTITUTE(SUBSTITUTE(G215," ","-"),"/","-"),CHAR(39),"")),"")&amp;IF(I215="Duplicate","_Dub"&amp;IF(SUMPRODUCT(($B$2:B215=B215)*($D$2:D215=D215)*($E$2:E215=E215)*($F$2:F215=F215)*($G$2:G215=G215)*($I$2:I215="Duplicate"))&lt;=1,"",SUMPRODUCT(($B$2:B215=B215)*($D$2:D215=D215)*($E$2:E215=E215)*($F$2:F215=F215)*($G$2:G215=G215)*($I$2:I215="Duplicate"))-1),"")&amp;".jpeg")</f>
        <v/>
      </c>
      <c r="L215" s="6"/>
      <c r="M215" s="5" t="str">
        <f>IFERROR(VLOOKUP(E215,Specifications!$A$2:$D$9,2,FALSE),"")</f>
        <v/>
      </c>
      <c r="N215" s="5" t="str">
        <f>IFERROR(VLOOKUP(E215,Specifications!$A$2:$D$9,3,FALSE),"")</f>
        <v/>
      </c>
      <c r="O215" s="5" t="str">
        <f>IFERROR(VLOOKUP(E215,Specifications!$A$2:$D$9,4,FALSE),"")</f>
        <v/>
      </c>
      <c r="P215" s="8" t="str">
        <f t="shared" si="12"/>
        <v/>
      </c>
      <c r="Q215" s="9"/>
    </row>
    <row r="216" spans="1:17" ht="15">
      <c r="A216" s="5" t="str">
        <f t="shared" si="10"/>
        <v/>
      </c>
      <c r="B216" s="6"/>
      <c r="C216" s="5" t="str">
        <f>IFERROR(VLOOKUP(B216,Lists!$A$2:$B$25,2,FALSE),"")</f>
        <v/>
      </c>
      <c r="D216" s="7"/>
      <c r="E216" s="6"/>
      <c r="F216" s="6" t="str">
        <f t="shared" si="11"/>
        <v/>
      </c>
      <c r="G216" s="6"/>
      <c r="H216" s="6"/>
      <c r="I216" s="6"/>
      <c r="J216" s="7"/>
      <c r="K216" s="5" t="str" cm="1">
        <f t="array" ref="K216">IF(OR(A216="",B216="",D216="",E216=""),"",A216&amp;"_"&amp;SUBSTITUTE(B216," ","-")&amp;"_"&amp;D216&amp;"_"&amp;SUBSTITUTE(SUBSTITUTE(E216," ",""),"€","Euro")&amp;"_"&amp;IF(F216="","Unknown",F216)&amp;IF(F216="Commemorative",IF(G216="","","_"&amp;SUBSTITUTE(SUBSTITUTE(SUBSTITUTE(G216," ","-"),"/","-"),CHAR(39),"")),"")&amp;IF(I216="Duplicate","_Dub"&amp;IF(SUMPRODUCT(($B$2:B216=B216)*($D$2:D216=D216)*($E$2:E216=E216)*($F$2:F216=F216)*($G$2:G216=G216)*($I$2:I216="Duplicate"))&lt;=1,"",SUMPRODUCT(($B$2:B216=B216)*($D$2:D216=D216)*($E$2:E216=E216)*($F$2:F216=F216)*($G$2:G216=G216)*($I$2:I216="Duplicate"))-1),"")&amp;".jpeg")</f>
        <v/>
      </c>
      <c r="L216" s="6"/>
      <c r="M216" s="5" t="str">
        <f>IFERROR(VLOOKUP(E216,Specifications!$A$2:$D$9,2,FALSE),"")</f>
        <v/>
      </c>
      <c r="N216" s="5" t="str">
        <f>IFERROR(VLOOKUP(E216,Specifications!$A$2:$D$9,3,FALSE),"")</f>
        <v/>
      </c>
      <c r="O216" s="5" t="str">
        <f>IFERROR(VLOOKUP(E216,Specifications!$A$2:$D$9,4,FALSE),"")</f>
        <v/>
      </c>
      <c r="P216" s="8" t="str">
        <f t="shared" si="12"/>
        <v/>
      </c>
      <c r="Q216" s="9"/>
    </row>
    <row r="217" spans="1:17" ht="15">
      <c r="A217" s="5" t="str">
        <f t="shared" si="10"/>
        <v/>
      </c>
      <c r="B217" s="6"/>
      <c r="C217" s="5" t="str">
        <f>IFERROR(VLOOKUP(B217,Lists!$A$2:$B$25,2,FALSE),"")</f>
        <v/>
      </c>
      <c r="D217" s="7"/>
      <c r="E217" s="6"/>
      <c r="F217" s="6" t="str">
        <f t="shared" si="11"/>
        <v/>
      </c>
      <c r="G217" s="6"/>
      <c r="H217" s="6"/>
      <c r="I217" s="6"/>
      <c r="J217" s="7"/>
      <c r="K217" s="5" t="str" cm="1">
        <f t="array" ref="K217">IF(OR(A217="",B217="",D217="",E217=""),"",A217&amp;"_"&amp;SUBSTITUTE(B217," ","-")&amp;"_"&amp;D217&amp;"_"&amp;SUBSTITUTE(SUBSTITUTE(E217," ",""),"€","Euro")&amp;"_"&amp;IF(F217="","Unknown",F217)&amp;IF(F217="Commemorative",IF(G217="","","_"&amp;SUBSTITUTE(SUBSTITUTE(SUBSTITUTE(G217," ","-"),"/","-"),CHAR(39),"")),"")&amp;IF(I217="Duplicate","_Dub"&amp;IF(SUMPRODUCT(($B$2:B217=B217)*($D$2:D217=D217)*($E$2:E217=E217)*($F$2:F217=F217)*($G$2:G217=G217)*($I$2:I217="Duplicate"))&lt;=1,"",SUMPRODUCT(($B$2:B217=B217)*($D$2:D217=D217)*($E$2:E217=E217)*($F$2:F217=F217)*($G$2:G217=G217)*($I$2:I217="Duplicate"))-1),"")&amp;".jpeg")</f>
        <v/>
      </c>
      <c r="L217" s="6"/>
      <c r="M217" s="5" t="str">
        <f>IFERROR(VLOOKUP(E217,Specifications!$A$2:$D$9,2,FALSE),"")</f>
        <v/>
      </c>
      <c r="N217" s="5" t="str">
        <f>IFERROR(VLOOKUP(E217,Specifications!$A$2:$D$9,3,FALSE),"")</f>
        <v/>
      </c>
      <c r="O217" s="5" t="str">
        <f>IFERROR(VLOOKUP(E217,Specifications!$A$2:$D$9,4,FALSE),"")</f>
        <v/>
      </c>
      <c r="P217" s="8" t="str">
        <f t="shared" si="12"/>
        <v/>
      </c>
      <c r="Q217" s="9"/>
    </row>
    <row r="218" spans="1:17" ht="15">
      <c r="A218" s="5" t="str">
        <f t="shared" si="10"/>
        <v/>
      </c>
      <c r="B218" s="6"/>
      <c r="C218" s="5" t="str">
        <f>IFERROR(VLOOKUP(B218,Lists!$A$2:$B$25,2,FALSE),"")</f>
        <v/>
      </c>
      <c r="D218" s="7"/>
      <c r="E218" s="6"/>
      <c r="F218" s="6" t="str">
        <f t="shared" si="11"/>
        <v/>
      </c>
      <c r="G218" s="6"/>
      <c r="H218" s="6"/>
      <c r="I218" s="6"/>
      <c r="J218" s="7"/>
      <c r="K218" s="5" t="str" cm="1">
        <f t="array" ref="K218">IF(OR(A218="",B218="",D218="",E218=""),"",A218&amp;"_"&amp;SUBSTITUTE(B218," ","-")&amp;"_"&amp;D218&amp;"_"&amp;SUBSTITUTE(SUBSTITUTE(E218," ",""),"€","Euro")&amp;"_"&amp;IF(F218="","Unknown",F218)&amp;IF(F218="Commemorative",IF(G218="","","_"&amp;SUBSTITUTE(SUBSTITUTE(SUBSTITUTE(G218," ","-"),"/","-"),CHAR(39),"")),"")&amp;IF(I218="Duplicate","_Dub"&amp;IF(SUMPRODUCT(($B$2:B218=B218)*($D$2:D218=D218)*($E$2:E218=E218)*($F$2:F218=F218)*($G$2:G218=G218)*($I$2:I218="Duplicate"))&lt;=1,"",SUMPRODUCT(($B$2:B218=B218)*($D$2:D218=D218)*($E$2:E218=E218)*($F$2:F218=F218)*($G$2:G218=G218)*($I$2:I218="Duplicate"))-1),"")&amp;".jpeg")</f>
        <v/>
      </c>
      <c r="L218" s="6"/>
      <c r="M218" s="5" t="str">
        <f>IFERROR(VLOOKUP(E218,Specifications!$A$2:$D$9,2,FALSE),"")</f>
        <v/>
      </c>
      <c r="N218" s="5" t="str">
        <f>IFERROR(VLOOKUP(E218,Specifications!$A$2:$D$9,3,FALSE),"")</f>
        <v/>
      </c>
      <c r="O218" s="5" t="str">
        <f>IFERROR(VLOOKUP(E218,Specifications!$A$2:$D$9,4,FALSE),"")</f>
        <v/>
      </c>
      <c r="P218" s="8" t="str">
        <f t="shared" si="12"/>
        <v/>
      </c>
      <c r="Q218" s="9"/>
    </row>
    <row r="219" spans="1:17" ht="15">
      <c r="A219" s="5" t="str">
        <f t="shared" si="10"/>
        <v/>
      </c>
      <c r="B219" s="6"/>
      <c r="C219" s="5" t="str">
        <f>IFERROR(VLOOKUP(B219,Lists!$A$2:$B$25,2,FALSE),"")</f>
        <v/>
      </c>
      <c r="D219" s="7"/>
      <c r="E219" s="6"/>
      <c r="F219" s="6" t="str">
        <f t="shared" si="11"/>
        <v/>
      </c>
      <c r="G219" s="6"/>
      <c r="H219" s="6"/>
      <c r="I219" s="6"/>
      <c r="J219" s="7"/>
      <c r="K219" s="5" t="str" cm="1">
        <f t="array" ref="K219">IF(OR(A219="",B219="",D219="",E219=""),"",A219&amp;"_"&amp;SUBSTITUTE(B219," ","-")&amp;"_"&amp;D219&amp;"_"&amp;SUBSTITUTE(SUBSTITUTE(E219," ",""),"€","Euro")&amp;"_"&amp;IF(F219="","Unknown",F219)&amp;IF(F219="Commemorative",IF(G219="","","_"&amp;SUBSTITUTE(SUBSTITUTE(SUBSTITUTE(G219," ","-"),"/","-"),CHAR(39),"")),"")&amp;IF(I219="Duplicate","_Dub"&amp;IF(SUMPRODUCT(($B$2:B219=B219)*($D$2:D219=D219)*($E$2:E219=E219)*($F$2:F219=F219)*($G$2:G219=G219)*($I$2:I219="Duplicate"))&lt;=1,"",SUMPRODUCT(($B$2:B219=B219)*($D$2:D219=D219)*($E$2:E219=E219)*($F$2:F219=F219)*($G$2:G219=G219)*($I$2:I219="Duplicate"))-1),"")&amp;".jpeg")</f>
        <v/>
      </c>
      <c r="L219" s="6"/>
      <c r="M219" s="5" t="str">
        <f>IFERROR(VLOOKUP(E219,Specifications!$A$2:$D$9,2,FALSE),"")</f>
        <v/>
      </c>
      <c r="N219" s="5" t="str">
        <f>IFERROR(VLOOKUP(E219,Specifications!$A$2:$D$9,3,FALSE),"")</f>
        <v/>
      </c>
      <c r="O219" s="5" t="str">
        <f>IFERROR(VLOOKUP(E219,Specifications!$A$2:$D$9,4,FALSE),"")</f>
        <v/>
      </c>
      <c r="P219" s="8" t="str">
        <f t="shared" si="12"/>
        <v/>
      </c>
      <c r="Q219" s="9"/>
    </row>
    <row r="220" spans="1:17" ht="15">
      <c r="A220" s="5" t="str">
        <f t="shared" si="10"/>
        <v/>
      </c>
      <c r="B220" s="6"/>
      <c r="C220" s="5" t="str">
        <f>IFERROR(VLOOKUP(B220,Lists!$A$2:$B$25,2,FALSE),"")</f>
        <v/>
      </c>
      <c r="D220" s="7"/>
      <c r="E220" s="6"/>
      <c r="F220" s="6" t="str">
        <f t="shared" si="11"/>
        <v/>
      </c>
      <c r="G220" s="6"/>
      <c r="H220" s="6"/>
      <c r="I220" s="6"/>
      <c r="J220" s="7"/>
      <c r="K220" s="5" t="str" cm="1">
        <f t="array" ref="K220">IF(OR(A220="",B220="",D220="",E220=""),"",A220&amp;"_"&amp;SUBSTITUTE(B220," ","-")&amp;"_"&amp;D220&amp;"_"&amp;SUBSTITUTE(SUBSTITUTE(E220," ",""),"€","Euro")&amp;"_"&amp;IF(F220="","Unknown",F220)&amp;IF(F220="Commemorative",IF(G220="","","_"&amp;SUBSTITUTE(SUBSTITUTE(SUBSTITUTE(G220," ","-"),"/","-"),CHAR(39),"")),"")&amp;IF(I220="Duplicate","_Dub"&amp;IF(SUMPRODUCT(($B$2:B220=B220)*($D$2:D220=D220)*($E$2:E220=E220)*($F$2:F220=F220)*($G$2:G220=G220)*($I$2:I220="Duplicate"))&lt;=1,"",SUMPRODUCT(($B$2:B220=B220)*($D$2:D220=D220)*($E$2:E220=E220)*($F$2:F220=F220)*($G$2:G220=G220)*($I$2:I220="Duplicate"))-1),"")&amp;".jpeg")</f>
        <v/>
      </c>
      <c r="L220" s="6"/>
      <c r="M220" s="5" t="str">
        <f>IFERROR(VLOOKUP(E220,Specifications!$A$2:$D$9,2,FALSE),"")</f>
        <v/>
      </c>
      <c r="N220" s="5" t="str">
        <f>IFERROR(VLOOKUP(E220,Specifications!$A$2:$D$9,3,FALSE),"")</f>
        <v/>
      </c>
      <c r="O220" s="5" t="str">
        <f>IFERROR(VLOOKUP(E220,Specifications!$A$2:$D$9,4,FALSE),"")</f>
        <v/>
      </c>
      <c r="P220" s="8" t="str">
        <f t="shared" si="12"/>
        <v/>
      </c>
      <c r="Q220" s="9"/>
    </row>
    <row r="221" spans="1:17" ht="15">
      <c r="A221" s="5" t="str">
        <f t="shared" si="10"/>
        <v/>
      </c>
      <c r="B221" s="6"/>
      <c r="C221" s="5" t="str">
        <f>IFERROR(VLOOKUP(B221,Lists!$A$2:$B$25,2,FALSE),"")</f>
        <v/>
      </c>
      <c r="D221" s="7"/>
      <c r="E221" s="6"/>
      <c r="F221" s="6" t="str">
        <f t="shared" si="11"/>
        <v/>
      </c>
      <c r="G221" s="6"/>
      <c r="H221" s="6"/>
      <c r="I221" s="6"/>
      <c r="J221" s="7"/>
      <c r="K221" s="5" t="str" cm="1">
        <f t="array" ref="K221">IF(OR(A221="",B221="",D221="",E221=""),"",A221&amp;"_"&amp;SUBSTITUTE(B221," ","-")&amp;"_"&amp;D221&amp;"_"&amp;SUBSTITUTE(SUBSTITUTE(E221," ",""),"€","Euro")&amp;"_"&amp;IF(F221="","Unknown",F221)&amp;IF(F221="Commemorative",IF(G221="","","_"&amp;SUBSTITUTE(SUBSTITUTE(SUBSTITUTE(G221," ","-"),"/","-"),CHAR(39),"")),"")&amp;IF(I221="Duplicate","_Dub"&amp;IF(SUMPRODUCT(($B$2:B221=B221)*($D$2:D221=D221)*($E$2:E221=E221)*($F$2:F221=F221)*($G$2:G221=G221)*($I$2:I221="Duplicate"))&lt;=1,"",SUMPRODUCT(($B$2:B221=B221)*($D$2:D221=D221)*($E$2:E221=E221)*($F$2:F221=F221)*($G$2:G221=G221)*($I$2:I221="Duplicate"))-1),"")&amp;".jpeg")</f>
        <v/>
      </c>
      <c r="L221" s="6"/>
      <c r="M221" s="5" t="str">
        <f>IFERROR(VLOOKUP(E221,Specifications!$A$2:$D$9,2,FALSE),"")</f>
        <v/>
      </c>
      <c r="N221" s="5" t="str">
        <f>IFERROR(VLOOKUP(E221,Specifications!$A$2:$D$9,3,FALSE),"")</f>
        <v/>
      </c>
      <c r="O221" s="5" t="str">
        <f>IFERROR(VLOOKUP(E221,Specifications!$A$2:$D$9,4,FALSE),"")</f>
        <v/>
      </c>
      <c r="P221" s="8" t="str">
        <f t="shared" si="12"/>
        <v/>
      </c>
      <c r="Q221" s="9"/>
    </row>
    <row r="222" spans="1:17" ht="15">
      <c r="A222" s="5" t="str">
        <f t="shared" si="10"/>
        <v/>
      </c>
      <c r="B222" s="6"/>
      <c r="C222" s="5" t="str">
        <f>IFERROR(VLOOKUP(B222,Lists!$A$2:$B$25,2,FALSE),"")</f>
        <v/>
      </c>
      <c r="D222" s="7"/>
      <c r="E222" s="6"/>
      <c r="F222" s="6" t="str">
        <f t="shared" si="11"/>
        <v/>
      </c>
      <c r="G222" s="6"/>
      <c r="H222" s="6"/>
      <c r="I222" s="6"/>
      <c r="J222" s="7"/>
      <c r="K222" s="5" t="str" cm="1">
        <f t="array" ref="K222">IF(OR(A222="",B222="",D222="",E222=""),"",A222&amp;"_"&amp;SUBSTITUTE(B222," ","-")&amp;"_"&amp;D222&amp;"_"&amp;SUBSTITUTE(SUBSTITUTE(E222," ",""),"€","Euro")&amp;"_"&amp;IF(F222="","Unknown",F222)&amp;IF(F222="Commemorative",IF(G222="","","_"&amp;SUBSTITUTE(SUBSTITUTE(SUBSTITUTE(G222," ","-"),"/","-"),CHAR(39),"")),"")&amp;IF(I222="Duplicate","_Dub"&amp;IF(SUMPRODUCT(($B$2:B222=B222)*($D$2:D222=D222)*($E$2:E222=E222)*($F$2:F222=F222)*($G$2:G222=G222)*($I$2:I222="Duplicate"))&lt;=1,"",SUMPRODUCT(($B$2:B222=B222)*($D$2:D222=D222)*($E$2:E222=E222)*($F$2:F222=F222)*($G$2:G222=G222)*($I$2:I222="Duplicate"))-1),"")&amp;".jpeg")</f>
        <v/>
      </c>
      <c r="L222" s="6"/>
      <c r="M222" s="5" t="str">
        <f>IFERROR(VLOOKUP(E222,Specifications!$A$2:$D$9,2,FALSE),"")</f>
        <v/>
      </c>
      <c r="N222" s="5" t="str">
        <f>IFERROR(VLOOKUP(E222,Specifications!$A$2:$D$9,3,FALSE),"")</f>
        <v/>
      </c>
      <c r="O222" s="5" t="str">
        <f>IFERROR(VLOOKUP(E222,Specifications!$A$2:$D$9,4,FALSE),"")</f>
        <v/>
      </c>
      <c r="P222" s="8" t="str">
        <f t="shared" si="12"/>
        <v/>
      </c>
      <c r="Q222" s="9"/>
    </row>
    <row r="223" spans="1:17" ht="15">
      <c r="A223" s="5" t="str">
        <f t="shared" si="10"/>
        <v/>
      </c>
      <c r="B223" s="6"/>
      <c r="C223" s="5" t="str">
        <f>IFERROR(VLOOKUP(B223,Lists!$A$2:$B$25,2,FALSE),"")</f>
        <v/>
      </c>
      <c r="D223" s="7"/>
      <c r="E223" s="6"/>
      <c r="F223" s="6" t="str">
        <f t="shared" si="11"/>
        <v/>
      </c>
      <c r="G223" s="6"/>
      <c r="H223" s="6"/>
      <c r="I223" s="6"/>
      <c r="J223" s="7"/>
      <c r="K223" s="5" t="str" cm="1">
        <f t="array" ref="K223">IF(OR(A223="",B223="",D223="",E223=""),"",A223&amp;"_"&amp;SUBSTITUTE(B223," ","-")&amp;"_"&amp;D223&amp;"_"&amp;SUBSTITUTE(SUBSTITUTE(E223," ",""),"€","Euro")&amp;"_"&amp;IF(F223="","Unknown",F223)&amp;IF(F223="Commemorative",IF(G223="","","_"&amp;SUBSTITUTE(SUBSTITUTE(SUBSTITUTE(G223," ","-"),"/","-"),CHAR(39),"")),"")&amp;IF(I223="Duplicate","_Dub"&amp;IF(SUMPRODUCT(($B$2:B223=B223)*($D$2:D223=D223)*($E$2:E223=E223)*($F$2:F223=F223)*($G$2:G223=G223)*($I$2:I223="Duplicate"))&lt;=1,"",SUMPRODUCT(($B$2:B223=B223)*($D$2:D223=D223)*($E$2:E223=E223)*($F$2:F223=F223)*($G$2:G223=G223)*($I$2:I223="Duplicate"))-1),"")&amp;".jpeg")</f>
        <v/>
      </c>
      <c r="L223" s="6"/>
      <c r="M223" s="5" t="str">
        <f>IFERROR(VLOOKUP(E223,Specifications!$A$2:$D$9,2,FALSE),"")</f>
        <v/>
      </c>
      <c r="N223" s="5" t="str">
        <f>IFERROR(VLOOKUP(E223,Specifications!$A$2:$D$9,3,FALSE),"")</f>
        <v/>
      </c>
      <c r="O223" s="5" t="str">
        <f>IFERROR(VLOOKUP(E223,Specifications!$A$2:$D$9,4,FALSE),"")</f>
        <v/>
      </c>
      <c r="P223" s="8" t="str">
        <f t="shared" si="12"/>
        <v/>
      </c>
      <c r="Q223" s="9"/>
    </row>
    <row r="224" spans="1:17" ht="15">
      <c r="A224" s="5" t="str">
        <f t="shared" si="10"/>
        <v/>
      </c>
      <c r="B224" s="6"/>
      <c r="C224" s="5" t="str">
        <f>IFERROR(VLOOKUP(B224,Lists!$A$2:$B$25,2,FALSE),"")</f>
        <v/>
      </c>
      <c r="D224" s="7"/>
      <c r="E224" s="6"/>
      <c r="F224" s="6" t="str">
        <f t="shared" si="11"/>
        <v/>
      </c>
      <c r="G224" s="6"/>
      <c r="H224" s="6"/>
      <c r="I224" s="6"/>
      <c r="J224" s="7"/>
      <c r="K224" s="5" t="str" cm="1">
        <f t="array" ref="K224">IF(OR(A224="",B224="",D224="",E224=""),"",A224&amp;"_"&amp;SUBSTITUTE(B224," ","-")&amp;"_"&amp;D224&amp;"_"&amp;SUBSTITUTE(SUBSTITUTE(E224," ",""),"€","Euro")&amp;"_"&amp;IF(F224="","Unknown",F224)&amp;IF(F224="Commemorative",IF(G224="","","_"&amp;SUBSTITUTE(SUBSTITUTE(SUBSTITUTE(G224," ","-"),"/","-"),CHAR(39),"")),"")&amp;IF(I224="Duplicate","_Dub"&amp;IF(SUMPRODUCT(($B$2:B224=B224)*($D$2:D224=D224)*($E$2:E224=E224)*($F$2:F224=F224)*($G$2:G224=G224)*($I$2:I224="Duplicate"))&lt;=1,"",SUMPRODUCT(($B$2:B224=B224)*($D$2:D224=D224)*($E$2:E224=E224)*($F$2:F224=F224)*($G$2:G224=G224)*($I$2:I224="Duplicate"))-1),"")&amp;".jpeg")</f>
        <v/>
      </c>
      <c r="L224" s="6"/>
      <c r="M224" s="5" t="str">
        <f>IFERROR(VLOOKUP(E224,Specifications!$A$2:$D$9,2,FALSE),"")</f>
        <v/>
      </c>
      <c r="N224" s="5" t="str">
        <f>IFERROR(VLOOKUP(E224,Specifications!$A$2:$D$9,3,FALSE),"")</f>
        <v/>
      </c>
      <c r="O224" s="5" t="str">
        <f>IFERROR(VLOOKUP(E224,Specifications!$A$2:$D$9,4,FALSE),"")</f>
        <v/>
      </c>
      <c r="P224" s="8" t="str">
        <f t="shared" si="12"/>
        <v/>
      </c>
      <c r="Q224" s="9"/>
    </row>
    <row r="225" spans="1:17" ht="15">
      <c r="A225" s="5" t="str">
        <f t="shared" si="10"/>
        <v/>
      </c>
      <c r="B225" s="6"/>
      <c r="C225" s="5" t="str">
        <f>IFERROR(VLOOKUP(B225,Lists!$A$2:$B$25,2,FALSE),"")</f>
        <v/>
      </c>
      <c r="D225" s="7"/>
      <c r="E225" s="6"/>
      <c r="F225" s="6" t="str">
        <f t="shared" si="11"/>
        <v/>
      </c>
      <c r="G225" s="6"/>
      <c r="H225" s="6"/>
      <c r="I225" s="6"/>
      <c r="J225" s="7"/>
      <c r="K225" s="5" t="str" cm="1">
        <f t="array" ref="K225">IF(OR(A225="",B225="",D225="",E225=""),"",A225&amp;"_"&amp;SUBSTITUTE(B225," ","-")&amp;"_"&amp;D225&amp;"_"&amp;SUBSTITUTE(SUBSTITUTE(E225," ",""),"€","Euro")&amp;"_"&amp;IF(F225="","Unknown",F225)&amp;IF(F225="Commemorative",IF(G225="","","_"&amp;SUBSTITUTE(SUBSTITUTE(SUBSTITUTE(G225," ","-"),"/","-"),CHAR(39),"")),"")&amp;IF(I225="Duplicate","_Dub"&amp;IF(SUMPRODUCT(($B$2:B225=B225)*($D$2:D225=D225)*($E$2:E225=E225)*($F$2:F225=F225)*($G$2:G225=G225)*($I$2:I225="Duplicate"))&lt;=1,"",SUMPRODUCT(($B$2:B225=B225)*($D$2:D225=D225)*($E$2:E225=E225)*($F$2:F225=F225)*($G$2:G225=G225)*($I$2:I225="Duplicate"))-1),"")&amp;".jpeg")</f>
        <v/>
      </c>
      <c r="L225" s="6"/>
      <c r="M225" s="5" t="str">
        <f>IFERROR(VLOOKUP(E225,Specifications!$A$2:$D$9,2,FALSE),"")</f>
        <v/>
      </c>
      <c r="N225" s="5" t="str">
        <f>IFERROR(VLOOKUP(E225,Specifications!$A$2:$D$9,3,FALSE),"")</f>
        <v/>
      </c>
      <c r="O225" s="5" t="str">
        <f>IFERROR(VLOOKUP(E225,Specifications!$A$2:$D$9,4,FALSE),"")</f>
        <v/>
      </c>
      <c r="P225" s="8" t="str">
        <f t="shared" si="12"/>
        <v/>
      </c>
      <c r="Q225" s="9"/>
    </row>
    <row r="226" spans="1:17" ht="15">
      <c r="A226" s="5" t="str">
        <f t="shared" si="10"/>
        <v/>
      </c>
      <c r="B226" s="6"/>
      <c r="C226" s="5" t="str">
        <f>IFERROR(VLOOKUP(B226,Lists!$A$2:$B$25,2,FALSE),"")</f>
        <v/>
      </c>
      <c r="D226" s="7"/>
      <c r="E226" s="6"/>
      <c r="F226" s="6" t="str">
        <f t="shared" si="11"/>
        <v/>
      </c>
      <c r="G226" s="6"/>
      <c r="H226" s="6"/>
      <c r="I226" s="6"/>
      <c r="J226" s="7"/>
      <c r="K226" s="5" t="str" cm="1">
        <f t="array" ref="K226">IF(OR(A226="",B226="",D226="",E226=""),"",A226&amp;"_"&amp;SUBSTITUTE(B226," ","-")&amp;"_"&amp;D226&amp;"_"&amp;SUBSTITUTE(SUBSTITUTE(E226," ",""),"€","Euro")&amp;"_"&amp;IF(F226="","Unknown",F226)&amp;IF(F226="Commemorative",IF(G226="","","_"&amp;SUBSTITUTE(SUBSTITUTE(SUBSTITUTE(G226," ","-"),"/","-"),CHAR(39),"")),"")&amp;IF(I226="Duplicate","_Dub"&amp;IF(SUMPRODUCT(($B$2:B226=B226)*($D$2:D226=D226)*($E$2:E226=E226)*($F$2:F226=F226)*($G$2:G226=G226)*($I$2:I226="Duplicate"))&lt;=1,"",SUMPRODUCT(($B$2:B226=B226)*($D$2:D226=D226)*($E$2:E226=E226)*($F$2:F226=F226)*($G$2:G226=G226)*($I$2:I226="Duplicate"))-1),"")&amp;".jpeg")</f>
        <v/>
      </c>
      <c r="L226" s="6"/>
      <c r="M226" s="5" t="str">
        <f>IFERROR(VLOOKUP(E226,Specifications!$A$2:$D$9,2,FALSE),"")</f>
        <v/>
      </c>
      <c r="N226" s="5" t="str">
        <f>IFERROR(VLOOKUP(E226,Specifications!$A$2:$D$9,3,FALSE),"")</f>
        <v/>
      </c>
      <c r="O226" s="5" t="str">
        <f>IFERROR(VLOOKUP(E226,Specifications!$A$2:$D$9,4,FALSE),"")</f>
        <v/>
      </c>
      <c r="P226" s="8" t="str">
        <f t="shared" si="12"/>
        <v/>
      </c>
      <c r="Q226" s="9"/>
    </row>
    <row r="227" spans="1:17" ht="15">
      <c r="A227" s="5" t="str">
        <f t="shared" si="10"/>
        <v/>
      </c>
      <c r="B227" s="6"/>
      <c r="C227" s="5" t="str">
        <f>IFERROR(VLOOKUP(B227,Lists!$A$2:$B$25,2,FALSE),"")</f>
        <v/>
      </c>
      <c r="D227" s="7"/>
      <c r="E227" s="6"/>
      <c r="F227" s="6" t="str">
        <f t="shared" si="11"/>
        <v/>
      </c>
      <c r="G227" s="6"/>
      <c r="H227" s="6"/>
      <c r="I227" s="6"/>
      <c r="J227" s="7"/>
      <c r="K227" s="5" t="str" cm="1">
        <f t="array" ref="K227">IF(OR(A227="",B227="",D227="",E227=""),"",A227&amp;"_"&amp;SUBSTITUTE(B227," ","-")&amp;"_"&amp;D227&amp;"_"&amp;SUBSTITUTE(SUBSTITUTE(E227," ",""),"€","Euro")&amp;"_"&amp;IF(F227="","Unknown",F227)&amp;IF(F227="Commemorative",IF(G227="","","_"&amp;SUBSTITUTE(SUBSTITUTE(SUBSTITUTE(G227," ","-"),"/","-"),CHAR(39),"")),"")&amp;IF(I227="Duplicate","_Dub"&amp;IF(SUMPRODUCT(($B$2:B227=B227)*($D$2:D227=D227)*($E$2:E227=E227)*($F$2:F227=F227)*($G$2:G227=G227)*($I$2:I227="Duplicate"))&lt;=1,"",SUMPRODUCT(($B$2:B227=B227)*($D$2:D227=D227)*($E$2:E227=E227)*($F$2:F227=F227)*($G$2:G227=G227)*($I$2:I227="Duplicate"))-1),"")&amp;".jpeg")</f>
        <v/>
      </c>
      <c r="L227" s="6"/>
      <c r="M227" s="5" t="str">
        <f>IFERROR(VLOOKUP(E227,Specifications!$A$2:$D$9,2,FALSE),"")</f>
        <v/>
      </c>
      <c r="N227" s="5" t="str">
        <f>IFERROR(VLOOKUP(E227,Specifications!$A$2:$D$9,3,FALSE),"")</f>
        <v/>
      </c>
      <c r="O227" s="5" t="str">
        <f>IFERROR(VLOOKUP(E227,Specifications!$A$2:$D$9,4,FALSE),"")</f>
        <v/>
      </c>
      <c r="P227" s="8" t="str">
        <f t="shared" si="12"/>
        <v/>
      </c>
      <c r="Q227" s="9"/>
    </row>
    <row r="228" spans="1:17" ht="15">
      <c r="A228" s="5" t="str">
        <f t="shared" si="10"/>
        <v/>
      </c>
      <c r="B228" s="6"/>
      <c r="C228" s="5" t="str">
        <f>IFERROR(VLOOKUP(B228,Lists!$A$2:$B$25,2,FALSE),"")</f>
        <v/>
      </c>
      <c r="D228" s="7"/>
      <c r="E228" s="6"/>
      <c r="F228" s="6" t="str">
        <f t="shared" si="11"/>
        <v/>
      </c>
      <c r="G228" s="6"/>
      <c r="H228" s="6"/>
      <c r="I228" s="6"/>
      <c r="J228" s="7"/>
      <c r="K228" s="5" t="str" cm="1">
        <f t="array" ref="K228">IF(OR(A228="",B228="",D228="",E228=""),"",A228&amp;"_"&amp;SUBSTITUTE(B228," ","-")&amp;"_"&amp;D228&amp;"_"&amp;SUBSTITUTE(SUBSTITUTE(E228," ",""),"€","Euro")&amp;"_"&amp;IF(F228="","Unknown",F228)&amp;IF(F228="Commemorative",IF(G228="","","_"&amp;SUBSTITUTE(SUBSTITUTE(SUBSTITUTE(G228," ","-"),"/","-"),CHAR(39),"")),"")&amp;IF(I228="Duplicate","_Dub"&amp;IF(SUMPRODUCT(($B$2:B228=B228)*($D$2:D228=D228)*($E$2:E228=E228)*($F$2:F228=F228)*($G$2:G228=G228)*($I$2:I228="Duplicate"))&lt;=1,"",SUMPRODUCT(($B$2:B228=B228)*($D$2:D228=D228)*($E$2:E228=E228)*($F$2:F228=F228)*($G$2:G228=G228)*($I$2:I228="Duplicate"))-1),"")&amp;".jpeg")</f>
        <v/>
      </c>
      <c r="L228" s="6"/>
      <c r="M228" s="5" t="str">
        <f>IFERROR(VLOOKUP(E228,Specifications!$A$2:$D$9,2,FALSE),"")</f>
        <v/>
      </c>
      <c r="N228" s="5" t="str">
        <f>IFERROR(VLOOKUP(E228,Specifications!$A$2:$D$9,3,FALSE),"")</f>
        <v/>
      </c>
      <c r="O228" s="5" t="str">
        <f>IFERROR(VLOOKUP(E228,Specifications!$A$2:$D$9,4,FALSE),"")</f>
        <v/>
      </c>
      <c r="P228" s="8" t="str">
        <f t="shared" si="12"/>
        <v/>
      </c>
      <c r="Q228" s="9"/>
    </row>
    <row r="229" spans="1:17" ht="15">
      <c r="A229" s="5" t="str">
        <f t="shared" si="10"/>
        <v/>
      </c>
      <c r="B229" s="6"/>
      <c r="C229" s="5" t="str">
        <f>IFERROR(VLOOKUP(B229,Lists!$A$2:$B$25,2,FALSE),"")</f>
        <v/>
      </c>
      <c r="D229" s="7"/>
      <c r="E229" s="6"/>
      <c r="F229" s="6" t="str">
        <f t="shared" si="11"/>
        <v/>
      </c>
      <c r="G229" s="6"/>
      <c r="H229" s="6"/>
      <c r="I229" s="6"/>
      <c r="J229" s="7"/>
      <c r="K229" s="5" t="str" cm="1">
        <f t="array" ref="K229">IF(OR(A229="",B229="",D229="",E229=""),"",A229&amp;"_"&amp;SUBSTITUTE(B229," ","-")&amp;"_"&amp;D229&amp;"_"&amp;SUBSTITUTE(SUBSTITUTE(E229," ",""),"€","Euro")&amp;"_"&amp;IF(F229="","Unknown",F229)&amp;IF(F229="Commemorative",IF(G229="","","_"&amp;SUBSTITUTE(SUBSTITUTE(SUBSTITUTE(G229," ","-"),"/","-"),CHAR(39),"")),"")&amp;IF(I229="Duplicate","_Dub"&amp;IF(SUMPRODUCT(($B$2:B229=B229)*($D$2:D229=D229)*($E$2:E229=E229)*($F$2:F229=F229)*($G$2:G229=G229)*($I$2:I229="Duplicate"))&lt;=1,"",SUMPRODUCT(($B$2:B229=B229)*($D$2:D229=D229)*($E$2:E229=E229)*($F$2:F229=F229)*($G$2:G229=G229)*($I$2:I229="Duplicate"))-1),"")&amp;".jpeg")</f>
        <v/>
      </c>
      <c r="L229" s="6"/>
      <c r="M229" s="5" t="str">
        <f>IFERROR(VLOOKUP(E229,Specifications!$A$2:$D$9,2,FALSE),"")</f>
        <v/>
      </c>
      <c r="N229" s="5" t="str">
        <f>IFERROR(VLOOKUP(E229,Specifications!$A$2:$D$9,3,FALSE),"")</f>
        <v/>
      </c>
      <c r="O229" s="5" t="str">
        <f>IFERROR(VLOOKUP(E229,Specifications!$A$2:$D$9,4,FALSE),"")</f>
        <v/>
      </c>
      <c r="P229" s="8" t="str">
        <f t="shared" si="12"/>
        <v/>
      </c>
      <c r="Q229" s="9"/>
    </row>
    <row r="230" spans="1:17" ht="15">
      <c r="A230" s="5" t="str">
        <f t="shared" si="10"/>
        <v/>
      </c>
      <c r="B230" s="6"/>
      <c r="C230" s="5" t="str">
        <f>IFERROR(VLOOKUP(B230,Lists!$A$2:$B$25,2,FALSE),"")</f>
        <v/>
      </c>
      <c r="D230" s="7"/>
      <c r="E230" s="6"/>
      <c r="F230" s="6" t="str">
        <f t="shared" si="11"/>
        <v/>
      </c>
      <c r="G230" s="6"/>
      <c r="H230" s="6"/>
      <c r="I230" s="6"/>
      <c r="J230" s="7"/>
      <c r="K230" s="5" t="str" cm="1">
        <f t="array" ref="K230">IF(OR(A230="",B230="",D230="",E230=""),"",A230&amp;"_"&amp;SUBSTITUTE(B230," ","-")&amp;"_"&amp;D230&amp;"_"&amp;SUBSTITUTE(SUBSTITUTE(E230," ",""),"€","Euro")&amp;"_"&amp;IF(F230="","Unknown",F230)&amp;IF(F230="Commemorative",IF(G230="","","_"&amp;SUBSTITUTE(SUBSTITUTE(SUBSTITUTE(G230," ","-"),"/","-"),CHAR(39),"")),"")&amp;IF(I230="Duplicate","_Dub"&amp;IF(SUMPRODUCT(($B$2:B230=B230)*($D$2:D230=D230)*($E$2:E230=E230)*($F$2:F230=F230)*($G$2:G230=G230)*($I$2:I230="Duplicate"))&lt;=1,"",SUMPRODUCT(($B$2:B230=B230)*($D$2:D230=D230)*($E$2:E230=E230)*($F$2:F230=F230)*($G$2:G230=G230)*($I$2:I230="Duplicate"))-1),"")&amp;".jpeg")</f>
        <v/>
      </c>
      <c r="L230" s="6"/>
      <c r="M230" s="5" t="str">
        <f>IFERROR(VLOOKUP(E230,Specifications!$A$2:$D$9,2,FALSE),"")</f>
        <v/>
      </c>
      <c r="N230" s="5" t="str">
        <f>IFERROR(VLOOKUP(E230,Specifications!$A$2:$D$9,3,FALSE),"")</f>
        <v/>
      </c>
      <c r="O230" s="5" t="str">
        <f>IFERROR(VLOOKUP(E230,Specifications!$A$2:$D$9,4,FALSE),"")</f>
        <v/>
      </c>
      <c r="P230" s="8" t="str">
        <f t="shared" si="12"/>
        <v/>
      </c>
      <c r="Q230" s="9"/>
    </row>
    <row r="231" spans="1:17" ht="15">
      <c r="A231" s="5" t="str">
        <f t="shared" si="10"/>
        <v/>
      </c>
      <c r="B231" s="6"/>
      <c r="C231" s="5" t="str">
        <f>IFERROR(VLOOKUP(B231,Lists!$A$2:$B$25,2,FALSE),"")</f>
        <v/>
      </c>
      <c r="D231" s="7"/>
      <c r="E231" s="6"/>
      <c r="F231" s="6" t="str">
        <f t="shared" si="11"/>
        <v/>
      </c>
      <c r="G231" s="6"/>
      <c r="H231" s="6"/>
      <c r="I231" s="6"/>
      <c r="J231" s="7"/>
      <c r="K231" s="5" t="str" cm="1">
        <f t="array" ref="K231">IF(OR(A231="",B231="",D231="",E231=""),"",A231&amp;"_"&amp;SUBSTITUTE(B231," ","-")&amp;"_"&amp;D231&amp;"_"&amp;SUBSTITUTE(SUBSTITUTE(E231," ",""),"€","Euro")&amp;"_"&amp;IF(F231="","Unknown",F231)&amp;IF(F231="Commemorative",IF(G231="","","_"&amp;SUBSTITUTE(SUBSTITUTE(SUBSTITUTE(G231," ","-"),"/","-"),CHAR(39),"")),"")&amp;IF(I231="Duplicate","_Dub"&amp;IF(SUMPRODUCT(($B$2:B231=B231)*($D$2:D231=D231)*($E$2:E231=E231)*($F$2:F231=F231)*($G$2:G231=G231)*($I$2:I231="Duplicate"))&lt;=1,"",SUMPRODUCT(($B$2:B231=B231)*($D$2:D231=D231)*($E$2:E231=E231)*($F$2:F231=F231)*($G$2:G231=G231)*($I$2:I231="Duplicate"))-1),"")&amp;".jpeg")</f>
        <v/>
      </c>
      <c r="L231" s="6"/>
      <c r="M231" s="5" t="str">
        <f>IFERROR(VLOOKUP(E231,Specifications!$A$2:$D$9,2,FALSE),"")</f>
        <v/>
      </c>
      <c r="N231" s="5" t="str">
        <f>IFERROR(VLOOKUP(E231,Specifications!$A$2:$D$9,3,FALSE),"")</f>
        <v/>
      </c>
      <c r="O231" s="5" t="str">
        <f>IFERROR(VLOOKUP(E231,Specifications!$A$2:$D$9,4,FALSE),"")</f>
        <v/>
      </c>
      <c r="P231" s="8" t="str">
        <f t="shared" si="12"/>
        <v/>
      </c>
      <c r="Q231" s="9"/>
    </row>
    <row r="232" spans="1:17" ht="15">
      <c r="A232" s="5" t="str">
        <f t="shared" si="10"/>
        <v/>
      </c>
      <c r="B232" s="6"/>
      <c r="C232" s="5" t="str">
        <f>IFERROR(VLOOKUP(B232,Lists!$A$2:$B$25,2,FALSE),"")</f>
        <v/>
      </c>
      <c r="D232" s="7"/>
      <c r="E232" s="6"/>
      <c r="F232" s="6" t="str">
        <f t="shared" si="11"/>
        <v/>
      </c>
      <c r="G232" s="6"/>
      <c r="H232" s="6"/>
      <c r="I232" s="6"/>
      <c r="J232" s="7"/>
      <c r="K232" s="5" t="str" cm="1">
        <f t="array" ref="K232">IF(OR(A232="",B232="",D232="",E232=""),"",A232&amp;"_"&amp;SUBSTITUTE(B232," ","-")&amp;"_"&amp;D232&amp;"_"&amp;SUBSTITUTE(SUBSTITUTE(E232," ",""),"€","Euro")&amp;"_"&amp;IF(F232="","Unknown",F232)&amp;IF(F232="Commemorative",IF(G232="","","_"&amp;SUBSTITUTE(SUBSTITUTE(SUBSTITUTE(G232," ","-"),"/","-"),CHAR(39),"")),"")&amp;IF(I232="Duplicate","_Dub"&amp;IF(SUMPRODUCT(($B$2:B232=B232)*($D$2:D232=D232)*($E$2:E232=E232)*($F$2:F232=F232)*($G$2:G232=G232)*($I$2:I232="Duplicate"))&lt;=1,"",SUMPRODUCT(($B$2:B232=B232)*($D$2:D232=D232)*($E$2:E232=E232)*($F$2:F232=F232)*($G$2:G232=G232)*($I$2:I232="Duplicate"))-1),"")&amp;".jpeg")</f>
        <v/>
      </c>
      <c r="L232" s="6"/>
      <c r="M232" s="5" t="str">
        <f>IFERROR(VLOOKUP(E232,Specifications!$A$2:$D$9,2,FALSE),"")</f>
        <v/>
      </c>
      <c r="N232" s="5" t="str">
        <f>IFERROR(VLOOKUP(E232,Specifications!$A$2:$D$9,3,FALSE),"")</f>
        <v/>
      </c>
      <c r="O232" s="5" t="str">
        <f>IFERROR(VLOOKUP(E232,Specifications!$A$2:$D$9,4,FALSE),"")</f>
        <v/>
      </c>
      <c r="P232" s="8" t="str">
        <f t="shared" si="12"/>
        <v/>
      </c>
      <c r="Q232" s="9"/>
    </row>
    <row r="233" spans="1:17" ht="15">
      <c r="A233" s="5" t="str">
        <f t="shared" si="10"/>
        <v/>
      </c>
      <c r="B233" s="6"/>
      <c r="C233" s="5" t="str">
        <f>IFERROR(VLOOKUP(B233,Lists!$A$2:$B$25,2,FALSE),"")</f>
        <v/>
      </c>
      <c r="D233" s="7"/>
      <c r="E233" s="6"/>
      <c r="F233" s="6" t="str">
        <f t="shared" si="11"/>
        <v/>
      </c>
      <c r="G233" s="6"/>
      <c r="H233" s="6"/>
      <c r="I233" s="6"/>
      <c r="J233" s="7"/>
      <c r="K233" s="5" t="str" cm="1">
        <f t="array" ref="K233">IF(OR(A233="",B233="",D233="",E233=""),"",A233&amp;"_"&amp;SUBSTITUTE(B233," ","-")&amp;"_"&amp;D233&amp;"_"&amp;SUBSTITUTE(SUBSTITUTE(E233," ",""),"€","Euro")&amp;"_"&amp;IF(F233="","Unknown",F233)&amp;IF(F233="Commemorative",IF(G233="","","_"&amp;SUBSTITUTE(SUBSTITUTE(SUBSTITUTE(G233," ","-"),"/","-"),CHAR(39),"")),"")&amp;IF(I233="Duplicate","_Dub"&amp;IF(SUMPRODUCT(($B$2:B233=B233)*($D$2:D233=D233)*($E$2:E233=E233)*($F$2:F233=F233)*($G$2:G233=G233)*($I$2:I233="Duplicate"))&lt;=1,"",SUMPRODUCT(($B$2:B233=B233)*($D$2:D233=D233)*($E$2:E233=E233)*($F$2:F233=F233)*($G$2:G233=G233)*($I$2:I233="Duplicate"))-1),"")&amp;".jpeg")</f>
        <v/>
      </c>
      <c r="L233" s="6"/>
      <c r="M233" s="5" t="str">
        <f>IFERROR(VLOOKUP(E233,Specifications!$A$2:$D$9,2,FALSE),"")</f>
        <v/>
      </c>
      <c r="N233" s="5" t="str">
        <f>IFERROR(VLOOKUP(E233,Specifications!$A$2:$D$9,3,FALSE),"")</f>
        <v/>
      </c>
      <c r="O233" s="5" t="str">
        <f>IFERROR(VLOOKUP(E233,Specifications!$A$2:$D$9,4,FALSE),"")</f>
        <v/>
      </c>
      <c r="P233" s="8" t="str">
        <f t="shared" si="12"/>
        <v/>
      </c>
      <c r="Q233" s="9"/>
    </row>
    <row r="234" spans="1:17" ht="15">
      <c r="A234" s="5" t="str">
        <f t="shared" si="10"/>
        <v/>
      </c>
      <c r="B234" s="6"/>
      <c r="C234" s="5" t="str">
        <f>IFERROR(VLOOKUP(B234,Lists!$A$2:$B$25,2,FALSE),"")</f>
        <v/>
      </c>
      <c r="D234" s="7"/>
      <c r="E234" s="6"/>
      <c r="F234" s="6" t="str">
        <f t="shared" si="11"/>
        <v/>
      </c>
      <c r="G234" s="6"/>
      <c r="H234" s="6"/>
      <c r="I234" s="6"/>
      <c r="J234" s="7"/>
      <c r="K234" s="5" t="str" cm="1">
        <f t="array" ref="K234">IF(OR(A234="",B234="",D234="",E234=""),"",A234&amp;"_"&amp;SUBSTITUTE(B234," ","-")&amp;"_"&amp;D234&amp;"_"&amp;SUBSTITUTE(SUBSTITUTE(E234," ",""),"€","Euro")&amp;"_"&amp;IF(F234="","Unknown",F234)&amp;IF(F234="Commemorative",IF(G234="","","_"&amp;SUBSTITUTE(SUBSTITUTE(SUBSTITUTE(G234," ","-"),"/","-"),CHAR(39),"")),"")&amp;IF(I234="Duplicate","_Dub"&amp;IF(SUMPRODUCT(($B$2:B234=B234)*($D$2:D234=D234)*($E$2:E234=E234)*($F$2:F234=F234)*($G$2:G234=G234)*($I$2:I234="Duplicate"))&lt;=1,"",SUMPRODUCT(($B$2:B234=B234)*($D$2:D234=D234)*($E$2:E234=E234)*($F$2:F234=F234)*($G$2:G234=G234)*($I$2:I234="Duplicate"))-1),"")&amp;".jpeg")</f>
        <v/>
      </c>
      <c r="L234" s="6"/>
      <c r="M234" s="5" t="str">
        <f>IFERROR(VLOOKUP(E234,Specifications!$A$2:$D$9,2,FALSE),"")</f>
        <v/>
      </c>
      <c r="N234" s="5" t="str">
        <f>IFERROR(VLOOKUP(E234,Specifications!$A$2:$D$9,3,FALSE),"")</f>
        <v/>
      </c>
      <c r="O234" s="5" t="str">
        <f>IFERROR(VLOOKUP(E234,Specifications!$A$2:$D$9,4,FALSE),"")</f>
        <v/>
      </c>
      <c r="P234" s="8" t="str">
        <f t="shared" si="12"/>
        <v/>
      </c>
      <c r="Q234" s="9"/>
    </row>
    <row r="235" spans="1:17" ht="15">
      <c r="A235" s="5" t="str">
        <f t="shared" si="10"/>
        <v/>
      </c>
      <c r="B235" s="6"/>
      <c r="C235" s="5" t="str">
        <f>IFERROR(VLOOKUP(B235,Lists!$A$2:$B$25,2,FALSE),"")</f>
        <v/>
      </c>
      <c r="D235" s="7"/>
      <c r="E235" s="6"/>
      <c r="F235" s="6" t="str">
        <f t="shared" si="11"/>
        <v/>
      </c>
      <c r="G235" s="6"/>
      <c r="H235" s="6"/>
      <c r="I235" s="6"/>
      <c r="J235" s="7"/>
      <c r="K235" s="5" t="str" cm="1">
        <f t="array" ref="K235">IF(OR(A235="",B235="",D235="",E235=""),"",A235&amp;"_"&amp;SUBSTITUTE(B235," ","-")&amp;"_"&amp;D235&amp;"_"&amp;SUBSTITUTE(SUBSTITUTE(E235," ",""),"€","Euro")&amp;"_"&amp;IF(F235="","Unknown",F235)&amp;IF(F235="Commemorative",IF(G235="","","_"&amp;SUBSTITUTE(SUBSTITUTE(SUBSTITUTE(G235," ","-"),"/","-"),CHAR(39),"")),"")&amp;IF(I235="Duplicate","_Dub"&amp;IF(SUMPRODUCT(($B$2:B235=B235)*($D$2:D235=D235)*($E$2:E235=E235)*($F$2:F235=F235)*($G$2:G235=G235)*($I$2:I235="Duplicate"))&lt;=1,"",SUMPRODUCT(($B$2:B235=B235)*($D$2:D235=D235)*($E$2:E235=E235)*($F$2:F235=F235)*($G$2:G235=G235)*($I$2:I235="Duplicate"))-1),"")&amp;".jpeg")</f>
        <v/>
      </c>
      <c r="L235" s="6"/>
      <c r="M235" s="5" t="str">
        <f>IFERROR(VLOOKUP(E235,Specifications!$A$2:$D$9,2,FALSE),"")</f>
        <v/>
      </c>
      <c r="N235" s="5" t="str">
        <f>IFERROR(VLOOKUP(E235,Specifications!$A$2:$D$9,3,FALSE),"")</f>
        <v/>
      </c>
      <c r="O235" s="5" t="str">
        <f>IFERROR(VLOOKUP(E235,Specifications!$A$2:$D$9,4,FALSE),"")</f>
        <v/>
      </c>
      <c r="P235" s="8" t="str">
        <f t="shared" si="12"/>
        <v/>
      </c>
      <c r="Q235" s="9"/>
    </row>
    <row r="236" spans="1:17" ht="15">
      <c r="A236" s="5" t="str">
        <f t="shared" si="10"/>
        <v/>
      </c>
      <c r="B236" s="6"/>
      <c r="C236" s="5" t="str">
        <f>IFERROR(VLOOKUP(B236,Lists!$A$2:$B$25,2,FALSE),"")</f>
        <v/>
      </c>
      <c r="D236" s="7"/>
      <c r="E236" s="6"/>
      <c r="F236" s="6" t="str">
        <f t="shared" si="11"/>
        <v/>
      </c>
      <c r="G236" s="6"/>
      <c r="H236" s="6"/>
      <c r="I236" s="6"/>
      <c r="J236" s="7"/>
      <c r="K236" s="5" t="str" cm="1">
        <f t="array" ref="K236">IF(OR(A236="",B236="",D236="",E236=""),"",A236&amp;"_"&amp;SUBSTITUTE(B236," ","-")&amp;"_"&amp;D236&amp;"_"&amp;SUBSTITUTE(SUBSTITUTE(E236," ",""),"€","Euro")&amp;"_"&amp;IF(F236="","Unknown",F236)&amp;IF(F236="Commemorative",IF(G236="","","_"&amp;SUBSTITUTE(SUBSTITUTE(SUBSTITUTE(G236," ","-"),"/","-"),CHAR(39),"")),"")&amp;IF(I236="Duplicate","_Dub"&amp;IF(SUMPRODUCT(($B$2:B236=B236)*($D$2:D236=D236)*($E$2:E236=E236)*($F$2:F236=F236)*($G$2:G236=G236)*($I$2:I236="Duplicate"))&lt;=1,"",SUMPRODUCT(($B$2:B236=B236)*($D$2:D236=D236)*($E$2:E236=E236)*($F$2:F236=F236)*($G$2:G236=G236)*($I$2:I236="Duplicate"))-1),"")&amp;".jpeg")</f>
        <v/>
      </c>
      <c r="L236" s="6"/>
      <c r="M236" s="5" t="str">
        <f>IFERROR(VLOOKUP(E236,Specifications!$A$2:$D$9,2,FALSE),"")</f>
        <v/>
      </c>
      <c r="N236" s="5" t="str">
        <f>IFERROR(VLOOKUP(E236,Specifications!$A$2:$D$9,3,FALSE),"")</f>
        <v/>
      </c>
      <c r="O236" s="5" t="str">
        <f>IFERROR(VLOOKUP(E236,Specifications!$A$2:$D$9,4,FALSE),"")</f>
        <v/>
      </c>
      <c r="P236" s="8" t="str">
        <f t="shared" si="12"/>
        <v/>
      </c>
      <c r="Q236" s="9"/>
    </row>
    <row r="237" spans="1:17" ht="15">
      <c r="A237" s="5" t="str">
        <f t="shared" si="10"/>
        <v/>
      </c>
      <c r="B237" s="6"/>
      <c r="C237" s="5" t="str">
        <f>IFERROR(VLOOKUP(B237,Lists!$A$2:$B$25,2,FALSE),"")</f>
        <v/>
      </c>
      <c r="D237" s="7"/>
      <c r="E237" s="6"/>
      <c r="F237" s="6" t="str">
        <f t="shared" si="11"/>
        <v/>
      </c>
      <c r="G237" s="6"/>
      <c r="H237" s="6"/>
      <c r="I237" s="6"/>
      <c r="J237" s="7"/>
      <c r="K237" s="5" t="str" cm="1">
        <f t="array" ref="K237">IF(OR(A237="",B237="",D237="",E237=""),"",A237&amp;"_"&amp;SUBSTITUTE(B237," ","-")&amp;"_"&amp;D237&amp;"_"&amp;SUBSTITUTE(SUBSTITUTE(E237," ",""),"€","Euro")&amp;"_"&amp;IF(F237="","Unknown",F237)&amp;IF(F237="Commemorative",IF(G237="","","_"&amp;SUBSTITUTE(SUBSTITUTE(SUBSTITUTE(G237," ","-"),"/","-"),CHAR(39),"")),"")&amp;IF(I237="Duplicate","_Dub"&amp;IF(SUMPRODUCT(($B$2:B237=B237)*($D$2:D237=D237)*($E$2:E237=E237)*($F$2:F237=F237)*($G$2:G237=G237)*($I$2:I237="Duplicate"))&lt;=1,"",SUMPRODUCT(($B$2:B237=B237)*($D$2:D237=D237)*($E$2:E237=E237)*($F$2:F237=F237)*($G$2:G237=G237)*($I$2:I237="Duplicate"))-1),"")&amp;".jpeg")</f>
        <v/>
      </c>
      <c r="L237" s="6"/>
      <c r="M237" s="5" t="str">
        <f>IFERROR(VLOOKUP(E237,Specifications!$A$2:$D$9,2,FALSE),"")</f>
        <v/>
      </c>
      <c r="N237" s="5" t="str">
        <f>IFERROR(VLOOKUP(E237,Specifications!$A$2:$D$9,3,FALSE),"")</f>
        <v/>
      </c>
      <c r="O237" s="5" t="str">
        <f>IFERROR(VLOOKUP(E237,Specifications!$A$2:$D$9,4,FALSE),"")</f>
        <v/>
      </c>
      <c r="P237" s="8" t="str">
        <f t="shared" si="12"/>
        <v/>
      </c>
      <c r="Q237" s="9"/>
    </row>
    <row r="238" spans="1:17" ht="15">
      <c r="A238" s="5" t="str">
        <f t="shared" si="10"/>
        <v/>
      </c>
      <c r="B238" s="6"/>
      <c r="C238" s="5" t="str">
        <f>IFERROR(VLOOKUP(B238,Lists!$A$2:$B$25,2,FALSE),"")</f>
        <v/>
      </c>
      <c r="D238" s="7"/>
      <c r="E238" s="6"/>
      <c r="F238" s="6" t="str">
        <f t="shared" si="11"/>
        <v/>
      </c>
      <c r="G238" s="6"/>
      <c r="H238" s="6"/>
      <c r="I238" s="6"/>
      <c r="J238" s="7"/>
      <c r="K238" s="5" t="str" cm="1">
        <f t="array" ref="K238">IF(OR(A238="",B238="",D238="",E238=""),"",A238&amp;"_"&amp;SUBSTITUTE(B238," ","-")&amp;"_"&amp;D238&amp;"_"&amp;SUBSTITUTE(SUBSTITUTE(E238," ",""),"€","Euro")&amp;"_"&amp;IF(F238="","Unknown",F238)&amp;IF(F238="Commemorative",IF(G238="","","_"&amp;SUBSTITUTE(SUBSTITUTE(SUBSTITUTE(G238," ","-"),"/","-"),CHAR(39),"")),"")&amp;IF(I238="Duplicate","_Dub"&amp;IF(SUMPRODUCT(($B$2:B238=B238)*($D$2:D238=D238)*($E$2:E238=E238)*($F$2:F238=F238)*($G$2:G238=G238)*($I$2:I238="Duplicate"))&lt;=1,"",SUMPRODUCT(($B$2:B238=B238)*($D$2:D238=D238)*($E$2:E238=E238)*($F$2:F238=F238)*($G$2:G238=G238)*($I$2:I238="Duplicate"))-1),"")&amp;".jpeg")</f>
        <v/>
      </c>
      <c r="L238" s="6"/>
      <c r="M238" s="5" t="str">
        <f>IFERROR(VLOOKUP(E238,Specifications!$A$2:$D$9,2,FALSE),"")</f>
        <v/>
      </c>
      <c r="N238" s="5" t="str">
        <f>IFERROR(VLOOKUP(E238,Specifications!$A$2:$D$9,3,FALSE),"")</f>
        <v/>
      </c>
      <c r="O238" s="5" t="str">
        <f>IFERROR(VLOOKUP(E238,Specifications!$A$2:$D$9,4,FALSE),"")</f>
        <v/>
      </c>
      <c r="P238" s="8" t="str">
        <f t="shared" si="12"/>
        <v/>
      </c>
      <c r="Q238" s="9"/>
    </row>
    <row r="239" spans="1:17" ht="15">
      <c r="A239" s="5" t="str">
        <f t="shared" si="10"/>
        <v/>
      </c>
      <c r="B239" s="6"/>
      <c r="C239" s="5" t="str">
        <f>IFERROR(VLOOKUP(B239,Lists!$A$2:$B$25,2,FALSE),"")</f>
        <v/>
      </c>
      <c r="D239" s="7"/>
      <c r="E239" s="6"/>
      <c r="F239" s="6" t="str">
        <f t="shared" si="11"/>
        <v/>
      </c>
      <c r="G239" s="6"/>
      <c r="H239" s="6"/>
      <c r="I239" s="6"/>
      <c r="J239" s="7"/>
      <c r="K239" s="5" t="str" cm="1">
        <f t="array" ref="K239">IF(OR(A239="",B239="",D239="",E239=""),"",A239&amp;"_"&amp;SUBSTITUTE(B239," ","-")&amp;"_"&amp;D239&amp;"_"&amp;SUBSTITUTE(SUBSTITUTE(E239," ",""),"€","Euro")&amp;"_"&amp;IF(F239="","Unknown",F239)&amp;IF(F239="Commemorative",IF(G239="","","_"&amp;SUBSTITUTE(SUBSTITUTE(SUBSTITUTE(G239," ","-"),"/","-"),CHAR(39),"")),"")&amp;IF(I239="Duplicate","_Dub"&amp;IF(SUMPRODUCT(($B$2:B239=B239)*($D$2:D239=D239)*($E$2:E239=E239)*($F$2:F239=F239)*($G$2:G239=G239)*($I$2:I239="Duplicate"))&lt;=1,"",SUMPRODUCT(($B$2:B239=B239)*($D$2:D239=D239)*($E$2:E239=E239)*($F$2:F239=F239)*($G$2:G239=G239)*($I$2:I239="Duplicate"))-1),"")&amp;".jpeg")</f>
        <v/>
      </c>
      <c r="L239" s="6"/>
      <c r="M239" s="5" t="str">
        <f>IFERROR(VLOOKUP(E239,Specifications!$A$2:$D$9,2,FALSE),"")</f>
        <v/>
      </c>
      <c r="N239" s="5" t="str">
        <f>IFERROR(VLOOKUP(E239,Specifications!$A$2:$D$9,3,FALSE),"")</f>
        <v/>
      </c>
      <c r="O239" s="5" t="str">
        <f>IFERROR(VLOOKUP(E239,Specifications!$A$2:$D$9,4,FALSE),"")</f>
        <v/>
      </c>
      <c r="P239" s="8" t="str">
        <f t="shared" si="12"/>
        <v/>
      </c>
      <c r="Q239" s="9"/>
    </row>
    <row r="240" spans="1:17" ht="15">
      <c r="A240" s="5" t="str">
        <f t="shared" si="10"/>
        <v/>
      </c>
      <c r="B240" s="6"/>
      <c r="C240" s="5" t="str">
        <f>IFERROR(VLOOKUP(B240,Lists!$A$2:$B$25,2,FALSE),"")</f>
        <v/>
      </c>
      <c r="D240" s="7"/>
      <c r="E240" s="6"/>
      <c r="F240" s="6" t="str">
        <f t="shared" si="11"/>
        <v/>
      </c>
      <c r="G240" s="6"/>
      <c r="H240" s="6"/>
      <c r="I240" s="6"/>
      <c r="J240" s="7"/>
      <c r="K240" s="5" t="str" cm="1">
        <f t="array" ref="K240">IF(OR(A240="",B240="",D240="",E240=""),"",A240&amp;"_"&amp;SUBSTITUTE(B240," ","-")&amp;"_"&amp;D240&amp;"_"&amp;SUBSTITUTE(SUBSTITUTE(E240," ",""),"€","Euro")&amp;"_"&amp;IF(F240="","Unknown",F240)&amp;IF(F240="Commemorative",IF(G240="","","_"&amp;SUBSTITUTE(SUBSTITUTE(SUBSTITUTE(G240," ","-"),"/","-"),CHAR(39),"")),"")&amp;IF(I240="Duplicate","_Dub"&amp;IF(SUMPRODUCT(($B$2:B240=B240)*($D$2:D240=D240)*($E$2:E240=E240)*($F$2:F240=F240)*($G$2:G240=G240)*($I$2:I240="Duplicate"))&lt;=1,"",SUMPRODUCT(($B$2:B240=B240)*($D$2:D240=D240)*($E$2:E240=E240)*($F$2:F240=F240)*($G$2:G240=G240)*($I$2:I240="Duplicate"))-1),"")&amp;".jpeg")</f>
        <v/>
      </c>
      <c r="L240" s="6"/>
      <c r="M240" s="5" t="str">
        <f>IFERROR(VLOOKUP(E240,Specifications!$A$2:$D$9,2,FALSE),"")</f>
        <v/>
      </c>
      <c r="N240" s="5" t="str">
        <f>IFERROR(VLOOKUP(E240,Specifications!$A$2:$D$9,3,FALSE),"")</f>
        <v/>
      </c>
      <c r="O240" s="5" t="str">
        <f>IFERROR(VLOOKUP(E240,Specifications!$A$2:$D$9,4,FALSE),"")</f>
        <v/>
      </c>
      <c r="P240" s="8" t="str">
        <f t="shared" si="12"/>
        <v/>
      </c>
      <c r="Q240" s="9"/>
    </row>
    <row r="241" spans="1:17" ht="15">
      <c r="A241" s="5" t="str">
        <f t="shared" si="10"/>
        <v/>
      </c>
      <c r="B241" s="6"/>
      <c r="C241" s="5" t="str">
        <f>IFERROR(VLOOKUP(B241,Lists!$A$2:$B$25,2,FALSE),"")</f>
        <v/>
      </c>
      <c r="D241" s="7"/>
      <c r="E241" s="6"/>
      <c r="F241" s="6" t="str">
        <f t="shared" si="11"/>
        <v/>
      </c>
      <c r="G241" s="6"/>
      <c r="H241" s="6"/>
      <c r="I241" s="6"/>
      <c r="J241" s="7"/>
      <c r="K241" s="5" t="str" cm="1">
        <f t="array" ref="K241">IF(OR(A241="",B241="",D241="",E241=""),"",A241&amp;"_"&amp;SUBSTITUTE(B241," ","-")&amp;"_"&amp;D241&amp;"_"&amp;SUBSTITUTE(SUBSTITUTE(E241," ",""),"€","Euro")&amp;"_"&amp;IF(F241="","Unknown",F241)&amp;IF(F241="Commemorative",IF(G241="","","_"&amp;SUBSTITUTE(SUBSTITUTE(SUBSTITUTE(G241," ","-"),"/","-"),CHAR(39),"")),"")&amp;IF(I241="Duplicate","_Dub"&amp;IF(SUMPRODUCT(($B$2:B241=B241)*($D$2:D241=D241)*($E$2:E241=E241)*($F$2:F241=F241)*($G$2:G241=G241)*($I$2:I241="Duplicate"))&lt;=1,"",SUMPRODUCT(($B$2:B241=B241)*($D$2:D241=D241)*($E$2:E241=E241)*($F$2:F241=F241)*($G$2:G241=G241)*($I$2:I241="Duplicate"))-1),"")&amp;".jpeg")</f>
        <v/>
      </c>
      <c r="L241" s="6"/>
      <c r="M241" s="5" t="str">
        <f>IFERROR(VLOOKUP(E241,Specifications!$A$2:$D$9,2,FALSE),"")</f>
        <v/>
      </c>
      <c r="N241" s="5" t="str">
        <f>IFERROR(VLOOKUP(E241,Specifications!$A$2:$D$9,3,FALSE),"")</f>
        <v/>
      </c>
      <c r="O241" s="5" t="str">
        <f>IFERROR(VLOOKUP(E241,Specifications!$A$2:$D$9,4,FALSE),"")</f>
        <v/>
      </c>
      <c r="P241" s="8" t="str">
        <f t="shared" si="12"/>
        <v/>
      </c>
      <c r="Q241" s="9"/>
    </row>
    <row r="242" spans="1:17" ht="15">
      <c r="A242" s="5" t="str">
        <f t="shared" si="10"/>
        <v/>
      </c>
      <c r="B242" s="6"/>
      <c r="C242" s="5" t="str">
        <f>IFERROR(VLOOKUP(B242,Lists!$A$2:$B$25,2,FALSE),"")</f>
        <v/>
      </c>
      <c r="D242" s="7"/>
      <c r="E242" s="6"/>
      <c r="F242" s="6" t="str">
        <f t="shared" si="11"/>
        <v/>
      </c>
      <c r="G242" s="6"/>
      <c r="H242" s="6"/>
      <c r="I242" s="6"/>
      <c r="J242" s="7"/>
      <c r="K242" s="5" t="str" cm="1">
        <f t="array" ref="K242">IF(OR(A242="",B242="",D242="",E242=""),"",A242&amp;"_"&amp;SUBSTITUTE(B242," ","-")&amp;"_"&amp;D242&amp;"_"&amp;SUBSTITUTE(SUBSTITUTE(E242," ",""),"€","Euro")&amp;"_"&amp;IF(F242="","Unknown",F242)&amp;IF(F242="Commemorative",IF(G242="","","_"&amp;SUBSTITUTE(SUBSTITUTE(SUBSTITUTE(G242," ","-"),"/","-"),CHAR(39),"")),"")&amp;IF(I242="Duplicate","_Dub"&amp;IF(SUMPRODUCT(($B$2:B242=B242)*($D$2:D242=D242)*($E$2:E242=E242)*($F$2:F242=F242)*($G$2:G242=G242)*($I$2:I242="Duplicate"))&lt;=1,"",SUMPRODUCT(($B$2:B242=B242)*($D$2:D242=D242)*($E$2:E242=E242)*($F$2:F242=F242)*($G$2:G242=G242)*($I$2:I242="Duplicate"))-1),"")&amp;".jpeg")</f>
        <v/>
      </c>
      <c r="L242" s="6"/>
      <c r="M242" s="5" t="str">
        <f>IFERROR(VLOOKUP(E242,Specifications!$A$2:$D$9,2,FALSE),"")</f>
        <v/>
      </c>
      <c r="N242" s="5" t="str">
        <f>IFERROR(VLOOKUP(E242,Specifications!$A$2:$D$9,3,FALSE),"")</f>
        <v/>
      </c>
      <c r="O242" s="5" t="str">
        <f>IFERROR(VLOOKUP(E242,Specifications!$A$2:$D$9,4,FALSE),"")</f>
        <v/>
      </c>
      <c r="P242" s="8" t="str">
        <f t="shared" si="12"/>
        <v/>
      </c>
      <c r="Q242" s="9"/>
    </row>
    <row r="243" spans="1:17" ht="15">
      <c r="A243" s="5" t="str">
        <f t="shared" si="10"/>
        <v/>
      </c>
      <c r="B243" s="6"/>
      <c r="C243" s="5" t="str">
        <f>IFERROR(VLOOKUP(B243,Lists!$A$2:$B$25,2,FALSE),"")</f>
        <v/>
      </c>
      <c r="D243" s="7"/>
      <c r="E243" s="6"/>
      <c r="F243" s="6" t="str">
        <f t="shared" si="11"/>
        <v/>
      </c>
      <c r="G243" s="6"/>
      <c r="H243" s="6"/>
      <c r="I243" s="6"/>
      <c r="J243" s="7"/>
      <c r="K243" s="5" t="str" cm="1">
        <f t="array" ref="K243">IF(OR(A243="",B243="",D243="",E243=""),"",A243&amp;"_"&amp;SUBSTITUTE(B243," ","-")&amp;"_"&amp;D243&amp;"_"&amp;SUBSTITUTE(SUBSTITUTE(E243," ",""),"€","Euro")&amp;"_"&amp;IF(F243="","Unknown",F243)&amp;IF(F243="Commemorative",IF(G243="","","_"&amp;SUBSTITUTE(SUBSTITUTE(SUBSTITUTE(G243," ","-"),"/","-"),CHAR(39),"")),"")&amp;IF(I243="Duplicate","_Dub"&amp;IF(SUMPRODUCT(($B$2:B243=B243)*($D$2:D243=D243)*($E$2:E243=E243)*($F$2:F243=F243)*($G$2:G243=G243)*($I$2:I243="Duplicate"))&lt;=1,"",SUMPRODUCT(($B$2:B243=B243)*($D$2:D243=D243)*($E$2:E243=E243)*($F$2:F243=F243)*($G$2:G243=G243)*($I$2:I243="Duplicate"))-1),"")&amp;".jpeg")</f>
        <v/>
      </c>
      <c r="L243" s="6"/>
      <c r="M243" s="5" t="str">
        <f>IFERROR(VLOOKUP(E243,Specifications!$A$2:$D$9,2,FALSE),"")</f>
        <v/>
      </c>
      <c r="N243" s="5" t="str">
        <f>IFERROR(VLOOKUP(E243,Specifications!$A$2:$D$9,3,FALSE),"")</f>
        <v/>
      </c>
      <c r="O243" s="5" t="str">
        <f>IFERROR(VLOOKUP(E243,Specifications!$A$2:$D$9,4,FALSE),"")</f>
        <v/>
      </c>
      <c r="P243" s="8" t="str">
        <f t="shared" si="12"/>
        <v/>
      </c>
      <c r="Q243" s="9"/>
    </row>
    <row r="244" spans="1:17" ht="15">
      <c r="A244" s="5" t="str">
        <f t="shared" si="10"/>
        <v/>
      </c>
      <c r="B244" s="6"/>
      <c r="C244" s="5" t="str">
        <f>IFERROR(VLOOKUP(B244,Lists!$A$2:$B$25,2,FALSE),"")</f>
        <v/>
      </c>
      <c r="D244" s="7"/>
      <c r="E244" s="6"/>
      <c r="F244" s="6" t="str">
        <f t="shared" si="11"/>
        <v/>
      </c>
      <c r="G244" s="6"/>
      <c r="H244" s="6"/>
      <c r="I244" s="6"/>
      <c r="J244" s="7"/>
      <c r="K244" s="5" t="str" cm="1">
        <f t="array" ref="K244">IF(OR(A244="",B244="",D244="",E244=""),"",A244&amp;"_"&amp;SUBSTITUTE(B244," ","-")&amp;"_"&amp;D244&amp;"_"&amp;SUBSTITUTE(SUBSTITUTE(E244," ",""),"€","Euro")&amp;"_"&amp;IF(F244="","Unknown",F244)&amp;IF(F244="Commemorative",IF(G244="","","_"&amp;SUBSTITUTE(SUBSTITUTE(SUBSTITUTE(G244," ","-"),"/","-"),CHAR(39),"")),"")&amp;IF(I244="Duplicate","_Dub"&amp;IF(SUMPRODUCT(($B$2:B244=B244)*($D$2:D244=D244)*($E$2:E244=E244)*($F$2:F244=F244)*($G$2:G244=G244)*($I$2:I244="Duplicate"))&lt;=1,"",SUMPRODUCT(($B$2:B244=B244)*($D$2:D244=D244)*($E$2:E244=E244)*($F$2:F244=F244)*($G$2:G244=G244)*($I$2:I244="Duplicate"))-1),"")&amp;".jpeg")</f>
        <v/>
      </c>
      <c r="L244" s="6"/>
      <c r="M244" s="5" t="str">
        <f>IFERROR(VLOOKUP(E244,Specifications!$A$2:$D$9,2,FALSE),"")</f>
        <v/>
      </c>
      <c r="N244" s="5" t="str">
        <f>IFERROR(VLOOKUP(E244,Specifications!$A$2:$D$9,3,FALSE),"")</f>
        <v/>
      </c>
      <c r="O244" s="5" t="str">
        <f>IFERROR(VLOOKUP(E244,Specifications!$A$2:$D$9,4,FALSE),"")</f>
        <v/>
      </c>
      <c r="P244" s="8" t="str">
        <f t="shared" si="12"/>
        <v/>
      </c>
      <c r="Q244" s="9"/>
    </row>
    <row r="245" spans="1:17" ht="15">
      <c r="A245" s="5" t="str">
        <f t="shared" si="10"/>
        <v/>
      </c>
      <c r="B245" s="6"/>
      <c r="C245" s="5" t="str">
        <f>IFERROR(VLOOKUP(B245,Lists!$A$2:$B$25,2,FALSE),"")</f>
        <v/>
      </c>
      <c r="D245" s="7"/>
      <c r="E245" s="6"/>
      <c r="F245" s="6" t="str">
        <f t="shared" si="11"/>
        <v/>
      </c>
      <c r="G245" s="6"/>
      <c r="H245" s="6"/>
      <c r="I245" s="6"/>
      <c r="J245" s="7"/>
      <c r="K245" s="5" t="str" cm="1">
        <f t="array" ref="K245">IF(OR(A245="",B245="",D245="",E245=""),"",A245&amp;"_"&amp;SUBSTITUTE(B245," ","-")&amp;"_"&amp;D245&amp;"_"&amp;SUBSTITUTE(SUBSTITUTE(E245," ",""),"€","Euro")&amp;"_"&amp;IF(F245="","Unknown",F245)&amp;IF(F245="Commemorative",IF(G245="","","_"&amp;SUBSTITUTE(SUBSTITUTE(SUBSTITUTE(G245," ","-"),"/","-"),CHAR(39),"")),"")&amp;IF(I245="Duplicate","_Dub"&amp;IF(SUMPRODUCT(($B$2:B245=B245)*($D$2:D245=D245)*($E$2:E245=E245)*($F$2:F245=F245)*($G$2:G245=G245)*($I$2:I245="Duplicate"))&lt;=1,"",SUMPRODUCT(($B$2:B245=B245)*($D$2:D245=D245)*($E$2:E245=E245)*($F$2:F245=F245)*($G$2:G245=G245)*($I$2:I245="Duplicate"))-1),"")&amp;".jpeg")</f>
        <v/>
      </c>
      <c r="L245" s="6"/>
      <c r="M245" s="5" t="str">
        <f>IFERROR(VLOOKUP(E245,Specifications!$A$2:$D$9,2,FALSE),"")</f>
        <v/>
      </c>
      <c r="N245" s="5" t="str">
        <f>IFERROR(VLOOKUP(E245,Specifications!$A$2:$D$9,3,FALSE),"")</f>
        <v/>
      </c>
      <c r="O245" s="5" t="str">
        <f>IFERROR(VLOOKUP(E245,Specifications!$A$2:$D$9,4,FALSE),"")</f>
        <v/>
      </c>
      <c r="P245" s="8" t="str">
        <f t="shared" si="12"/>
        <v/>
      </c>
      <c r="Q245" s="9"/>
    </row>
    <row r="246" spans="1:17" ht="15">
      <c r="A246" s="5" t="str">
        <f t="shared" si="10"/>
        <v/>
      </c>
      <c r="B246" s="6"/>
      <c r="C246" s="5" t="str">
        <f>IFERROR(VLOOKUP(B246,Lists!$A$2:$B$25,2,FALSE),"")</f>
        <v/>
      </c>
      <c r="D246" s="7"/>
      <c r="E246" s="6"/>
      <c r="F246" s="6" t="str">
        <f t="shared" si="11"/>
        <v/>
      </c>
      <c r="G246" s="6"/>
      <c r="H246" s="6"/>
      <c r="I246" s="6"/>
      <c r="J246" s="7"/>
      <c r="K246" s="5" t="str" cm="1">
        <f t="array" ref="K246">IF(OR(A246="",B246="",D246="",E246=""),"",A246&amp;"_"&amp;SUBSTITUTE(B246," ","-")&amp;"_"&amp;D246&amp;"_"&amp;SUBSTITUTE(SUBSTITUTE(E246," ",""),"€","Euro")&amp;"_"&amp;IF(F246="","Unknown",F246)&amp;IF(F246="Commemorative",IF(G246="","","_"&amp;SUBSTITUTE(SUBSTITUTE(SUBSTITUTE(G246," ","-"),"/","-"),CHAR(39),"")),"")&amp;IF(I246="Duplicate","_Dub"&amp;IF(SUMPRODUCT(($B$2:B246=B246)*($D$2:D246=D246)*($E$2:E246=E246)*($F$2:F246=F246)*($G$2:G246=G246)*($I$2:I246="Duplicate"))&lt;=1,"",SUMPRODUCT(($B$2:B246=B246)*($D$2:D246=D246)*($E$2:E246=E246)*($F$2:F246=F246)*($G$2:G246=G246)*($I$2:I246="Duplicate"))-1),"")&amp;".jpeg")</f>
        <v/>
      </c>
      <c r="L246" s="6"/>
      <c r="M246" s="5" t="str">
        <f>IFERROR(VLOOKUP(E246,Specifications!$A$2:$D$9,2,FALSE),"")</f>
        <v/>
      </c>
      <c r="N246" s="5" t="str">
        <f>IFERROR(VLOOKUP(E246,Specifications!$A$2:$D$9,3,FALSE),"")</f>
        <v/>
      </c>
      <c r="O246" s="5" t="str">
        <f>IFERROR(VLOOKUP(E246,Specifications!$A$2:$D$9,4,FALSE),"")</f>
        <v/>
      </c>
      <c r="P246" s="8" t="str">
        <f t="shared" si="12"/>
        <v/>
      </c>
      <c r="Q246" s="9"/>
    </row>
    <row r="247" spans="1:17" ht="15">
      <c r="A247" s="5" t="str">
        <f t="shared" si="10"/>
        <v/>
      </c>
      <c r="B247" s="6"/>
      <c r="C247" s="5" t="str">
        <f>IFERROR(VLOOKUP(B247,Lists!$A$2:$B$25,2,FALSE),"")</f>
        <v/>
      </c>
      <c r="D247" s="7"/>
      <c r="E247" s="6"/>
      <c r="F247" s="6" t="str">
        <f t="shared" si="11"/>
        <v/>
      </c>
      <c r="G247" s="6"/>
      <c r="H247" s="6"/>
      <c r="I247" s="6"/>
      <c r="J247" s="7"/>
      <c r="K247" s="5" t="str" cm="1">
        <f t="array" ref="K247">IF(OR(A247="",B247="",D247="",E247=""),"",A247&amp;"_"&amp;SUBSTITUTE(B247," ","-")&amp;"_"&amp;D247&amp;"_"&amp;SUBSTITUTE(SUBSTITUTE(E247," ",""),"€","Euro")&amp;"_"&amp;IF(F247="","Unknown",F247)&amp;IF(F247="Commemorative",IF(G247="","","_"&amp;SUBSTITUTE(SUBSTITUTE(SUBSTITUTE(G247," ","-"),"/","-"),CHAR(39),"")),"")&amp;IF(I247="Duplicate","_Dub"&amp;IF(SUMPRODUCT(($B$2:B247=B247)*($D$2:D247=D247)*($E$2:E247=E247)*($F$2:F247=F247)*($G$2:G247=G247)*($I$2:I247="Duplicate"))&lt;=1,"",SUMPRODUCT(($B$2:B247=B247)*($D$2:D247=D247)*($E$2:E247=E247)*($F$2:F247=F247)*($G$2:G247=G247)*($I$2:I247="Duplicate"))-1),"")&amp;".jpeg")</f>
        <v/>
      </c>
      <c r="L247" s="6"/>
      <c r="M247" s="5" t="str">
        <f>IFERROR(VLOOKUP(E247,Specifications!$A$2:$D$9,2,FALSE),"")</f>
        <v/>
      </c>
      <c r="N247" s="5" t="str">
        <f>IFERROR(VLOOKUP(E247,Specifications!$A$2:$D$9,3,FALSE),"")</f>
        <v/>
      </c>
      <c r="O247" s="5" t="str">
        <f>IFERROR(VLOOKUP(E247,Specifications!$A$2:$D$9,4,FALSE),"")</f>
        <v/>
      </c>
      <c r="P247" s="8" t="str">
        <f t="shared" si="12"/>
        <v/>
      </c>
      <c r="Q247" s="9"/>
    </row>
    <row r="248" spans="1:17" ht="15">
      <c r="A248" s="5" t="str">
        <f t="shared" si="10"/>
        <v/>
      </c>
      <c r="B248" s="6"/>
      <c r="C248" s="5" t="str">
        <f>IFERROR(VLOOKUP(B248,Lists!$A$2:$B$25,2,FALSE),"")</f>
        <v/>
      </c>
      <c r="D248" s="7"/>
      <c r="E248" s="6"/>
      <c r="F248" s="6" t="str">
        <f t="shared" si="11"/>
        <v/>
      </c>
      <c r="G248" s="6"/>
      <c r="H248" s="6"/>
      <c r="I248" s="6"/>
      <c r="J248" s="7"/>
      <c r="K248" s="5" t="str" cm="1">
        <f t="array" ref="K248">IF(OR(A248="",B248="",D248="",E248=""),"",A248&amp;"_"&amp;SUBSTITUTE(B248," ","-")&amp;"_"&amp;D248&amp;"_"&amp;SUBSTITUTE(SUBSTITUTE(E248," ",""),"€","Euro")&amp;"_"&amp;IF(F248="","Unknown",F248)&amp;IF(F248="Commemorative",IF(G248="","","_"&amp;SUBSTITUTE(SUBSTITUTE(SUBSTITUTE(G248," ","-"),"/","-"),CHAR(39),"")),"")&amp;IF(I248="Duplicate","_Dub"&amp;IF(SUMPRODUCT(($B$2:B248=B248)*($D$2:D248=D248)*($E$2:E248=E248)*($F$2:F248=F248)*($G$2:G248=G248)*($I$2:I248="Duplicate"))&lt;=1,"",SUMPRODUCT(($B$2:B248=B248)*($D$2:D248=D248)*($E$2:E248=E248)*($F$2:F248=F248)*($G$2:G248=G248)*($I$2:I248="Duplicate"))-1),"")&amp;".jpeg")</f>
        <v/>
      </c>
      <c r="L248" s="6"/>
      <c r="M248" s="5" t="str">
        <f>IFERROR(VLOOKUP(E248,Specifications!$A$2:$D$9,2,FALSE),"")</f>
        <v/>
      </c>
      <c r="N248" s="5" t="str">
        <f>IFERROR(VLOOKUP(E248,Specifications!$A$2:$D$9,3,FALSE),"")</f>
        <v/>
      </c>
      <c r="O248" s="5" t="str">
        <f>IFERROR(VLOOKUP(E248,Specifications!$A$2:$D$9,4,FALSE),"")</f>
        <v/>
      </c>
      <c r="P248" s="8" t="str">
        <f t="shared" si="12"/>
        <v/>
      </c>
      <c r="Q248" s="9"/>
    </row>
    <row r="249" spans="1:17" ht="15">
      <c r="A249" s="5" t="str">
        <f t="shared" si="10"/>
        <v/>
      </c>
      <c r="B249" s="6"/>
      <c r="C249" s="5" t="str">
        <f>IFERROR(VLOOKUP(B249,Lists!$A$2:$B$25,2,FALSE),"")</f>
        <v/>
      </c>
      <c r="D249" s="7"/>
      <c r="E249" s="6"/>
      <c r="F249" s="6" t="str">
        <f t="shared" si="11"/>
        <v/>
      </c>
      <c r="G249" s="6"/>
      <c r="H249" s="6"/>
      <c r="I249" s="6"/>
      <c r="J249" s="7"/>
      <c r="K249" s="5" t="str" cm="1">
        <f t="array" ref="K249">IF(OR(A249="",B249="",D249="",E249=""),"",A249&amp;"_"&amp;SUBSTITUTE(B249," ","-")&amp;"_"&amp;D249&amp;"_"&amp;SUBSTITUTE(SUBSTITUTE(E249," ",""),"€","Euro")&amp;"_"&amp;IF(F249="","Unknown",F249)&amp;IF(F249="Commemorative",IF(G249="","","_"&amp;SUBSTITUTE(SUBSTITUTE(SUBSTITUTE(G249," ","-"),"/","-"),CHAR(39),"")),"")&amp;IF(I249="Duplicate","_Dub"&amp;IF(SUMPRODUCT(($B$2:B249=B249)*($D$2:D249=D249)*($E$2:E249=E249)*($F$2:F249=F249)*($G$2:G249=G249)*($I$2:I249="Duplicate"))&lt;=1,"",SUMPRODUCT(($B$2:B249=B249)*($D$2:D249=D249)*($E$2:E249=E249)*($F$2:F249=F249)*($G$2:G249=G249)*($I$2:I249="Duplicate"))-1),"")&amp;".jpeg")</f>
        <v/>
      </c>
      <c r="L249" s="6"/>
      <c r="M249" s="5" t="str">
        <f>IFERROR(VLOOKUP(E249,Specifications!$A$2:$D$9,2,FALSE),"")</f>
        <v/>
      </c>
      <c r="N249" s="5" t="str">
        <f>IFERROR(VLOOKUP(E249,Specifications!$A$2:$D$9,3,FALSE),"")</f>
        <v/>
      </c>
      <c r="O249" s="5" t="str">
        <f>IFERROR(VLOOKUP(E249,Specifications!$A$2:$D$9,4,FALSE),"")</f>
        <v/>
      </c>
      <c r="P249" s="8" t="str">
        <f t="shared" si="12"/>
        <v/>
      </c>
      <c r="Q249" s="9"/>
    </row>
    <row r="250" spans="1:17" ht="15">
      <c r="A250" s="5" t="str">
        <f t="shared" si="10"/>
        <v/>
      </c>
      <c r="B250" s="6"/>
      <c r="C250" s="5" t="str">
        <f>IFERROR(VLOOKUP(B250,Lists!$A$2:$B$25,2,FALSE),"")</f>
        <v/>
      </c>
      <c r="D250" s="7"/>
      <c r="E250" s="6"/>
      <c r="F250" s="6" t="str">
        <f t="shared" si="11"/>
        <v/>
      </c>
      <c r="G250" s="6"/>
      <c r="H250" s="6"/>
      <c r="I250" s="6"/>
      <c r="J250" s="7"/>
      <c r="K250" s="5" t="str" cm="1">
        <f t="array" ref="K250">IF(OR(A250="",B250="",D250="",E250=""),"",A250&amp;"_"&amp;SUBSTITUTE(B250," ","-")&amp;"_"&amp;D250&amp;"_"&amp;SUBSTITUTE(SUBSTITUTE(E250," ",""),"€","Euro")&amp;"_"&amp;IF(F250="","Unknown",F250)&amp;IF(F250="Commemorative",IF(G250="","","_"&amp;SUBSTITUTE(SUBSTITUTE(SUBSTITUTE(G250," ","-"),"/","-"),CHAR(39),"")),"")&amp;IF(I250="Duplicate","_Dub"&amp;IF(SUMPRODUCT(($B$2:B250=B250)*($D$2:D250=D250)*($E$2:E250=E250)*($F$2:F250=F250)*($G$2:G250=G250)*($I$2:I250="Duplicate"))&lt;=1,"",SUMPRODUCT(($B$2:B250=B250)*($D$2:D250=D250)*($E$2:E250=E250)*($F$2:F250=F250)*($G$2:G250=G250)*($I$2:I250="Duplicate"))-1),"")&amp;".jpeg")</f>
        <v/>
      </c>
      <c r="L250" s="6"/>
      <c r="M250" s="5" t="str">
        <f>IFERROR(VLOOKUP(E250,Specifications!$A$2:$D$9,2,FALSE),"")</f>
        <v/>
      </c>
      <c r="N250" s="5" t="str">
        <f>IFERROR(VLOOKUP(E250,Specifications!$A$2:$D$9,3,FALSE),"")</f>
        <v/>
      </c>
      <c r="O250" s="5" t="str">
        <f>IFERROR(VLOOKUP(E250,Specifications!$A$2:$D$9,4,FALSE),"")</f>
        <v/>
      </c>
      <c r="P250" s="8" t="str">
        <f t="shared" si="12"/>
        <v/>
      </c>
      <c r="Q250" s="9"/>
    </row>
    <row r="251" spans="1:17" ht="15">
      <c r="A251" s="5" t="str">
        <f t="shared" si="10"/>
        <v/>
      </c>
      <c r="B251" s="6"/>
      <c r="C251" s="5" t="str">
        <f>IFERROR(VLOOKUP(B251,Lists!$A$2:$B$25,2,FALSE),"")</f>
        <v/>
      </c>
      <c r="D251" s="7"/>
      <c r="E251" s="6"/>
      <c r="F251" s="6" t="str">
        <f t="shared" si="11"/>
        <v/>
      </c>
      <c r="G251" s="6"/>
      <c r="H251" s="6"/>
      <c r="I251" s="6"/>
      <c r="J251" s="7"/>
      <c r="K251" s="5" t="str" cm="1">
        <f t="array" ref="K251">IF(OR(A251="",B251="",D251="",E251=""),"",A251&amp;"_"&amp;SUBSTITUTE(B251," ","-")&amp;"_"&amp;D251&amp;"_"&amp;SUBSTITUTE(SUBSTITUTE(E251," ",""),"€","Euro")&amp;"_"&amp;IF(F251="","Unknown",F251)&amp;IF(F251="Commemorative",IF(G251="","","_"&amp;SUBSTITUTE(SUBSTITUTE(SUBSTITUTE(G251," ","-"),"/","-"),CHAR(39),"")),"")&amp;IF(I251="Duplicate","_Dub"&amp;IF(SUMPRODUCT(($B$2:B251=B251)*($D$2:D251=D251)*($E$2:E251=E251)*($F$2:F251=F251)*($G$2:G251=G251)*($I$2:I251="Duplicate"))&lt;=1,"",SUMPRODUCT(($B$2:B251=B251)*($D$2:D251=D251)*($E$2:E251=E251)*($F$2:F251=F251)*($G$2:G251=G251)*($I$2:I251="Duplicate"))-1),"")&amp;".jpeg")</f>
        <v/>
      </c>
      <c r="L251" s="6"/>
      <c r="M251" s="5" t="str">
        <f>IFERROR(VLOOKUP(E251,Specifications!$A$2:$D$9,2,FALSE),"")</f>
        <v/>
      </c>
      <c r="N251" s="5" t="str">
        <f>IFERROR(VLOOKUP(E251,Specifications!$A$2:$D$9,3,FALSE),"")</f>
        <v/>
      </c>
      <c r="O251" s="5" t="str">
        <f>IFERROR(VLOOKUP(E251,Specifications!$A$2:$D$9,4,FALSE),"")</f>
        <v/>
      </c>
      <c r="P251" s="8" t="str">
        <f t="shared" si="12"/>
        <v/>
      </c>
      <c r="Q251" s="9"/>
    </row>
    <row r="252" spans="1:17" ht="15">
      <c r="A252" s="5" t="str">
        <f t="shared" si="10"/>
        <v/>
      </c>
      <c r="B252" s="6"/>
      <c r="C252" s="5" t="str">
        <f>IFERROR(VLOOKUP(B252,Lists!$A$2:$B$25,2,FALSE),"")</f>
        <v/>
      </c>
      <c r="D252" s="7"/>
      <c r="E252" s="6"/>
      <c r="F252" s="6" t="str">
        <f t="shared" si="11"/>
        <v/>
      </c>
      <c r="G252" s="6"/>
      <c r="H252" s="6"/>
      <c r="I252" s="6"/>
      <c r="J252" s="7"/>
      <c r="K252" s="5" t="str" cm="1">
        <f t="array" ref="K252">IF(OR(A252="",B252="",D252="",E252=""),"",A252&amp;"_"&amp;SUBSTITUTE(B252," ","-")&amp;"_"&amp;D252&amp;"_"&amp;SUBSTITUTE(SUBSTITUTE(E252," ",""),"€","Euro")&amp;"_"&amp;IF(F252="","Unknown",F252)&amp;IF(F252="Commemorative",IF(G252="","","_"&amp;SUBSTITUTE(SUBSTITUTE(SUBSTITUTE(G252," ","-"),"/","-"),CHAR(39),"")),"")&amp;IF(I252="Duplicate","_Dub"&amp;IF(SUMPRODUCT(($B$2:B252=B252)*($D$2:D252=D252)*($E$2:E252=E252)*($F$2:F252=F252)*($G$2:G252=G252)*($I$2:I252="Duplicate"))&lt;=1,"",SUMPRODUCT(($B$2:B252=B252)*($D$2:D252=D252)*($E$2:E252=E252)*($F$2:F252=F252)*($G$2:G252=G252)*($I$2:I252="Duplicate"))-1),"")&amp;".jpeg")</f>
        <v/>
      </c>
      <c r="L252" s="6"/>
      <c r="M252" s="5" t="str">
        <f>IFERROR(VLOOKUP(E252,Specifications!$A$2:$D$9,2,FALSE),"")</f>
        <v/>
      </c>
      <c r="N252" s="5" t="str">
        <f>IFERROR(VLOOKUP(E252,Specifications!$A$2:$D$9,3,FALSE),"")</f>
        <v/>
      </c>
      <c r="O252" s="5" t="str">
        <f>IFERROR(VLOOKUP(E252,Specifications!$A$2:$D$9,4,FALSE),"")</f>
        <v/>
      </c>
      <c r="P252" s="8" t="str">
        <f t="shared" si="12"/>
        <v/>
      </c>
      <c r="Q252" s="9"/>
    </row>
    <row r="253" spans="1:17" ht="15">
      <c r="A253" s="5" t="str">
        <f t="shared" si="10"/>
        <v/>
      </c>
      <c r="B253" s="6"/>
      <c r="C253" s="5" t="str">
        <f>IFERROR(VLOOKUP(B253,Lists!$A$2:$B$25,2,FALSE),"")</f>
        <v/>
      </c>
      <c r="D253" s="7"/>
      <c r="E253" s="6"/>
      <c r="F253" s="6" t="str">
        <f t="shared" si="11"/>
        <v/>
      </c>
      <c r="G253" s="6"/>
      <c r="H253" s="6"/>
      <c r="I253" s="6"/>
      <c r="J253" s="7"/>
      <c r="K253" s="5" t="str" cm="1">
        <f t="array" ref="K253">IF(OR(A253="",B253="",D253="",E253=""),"",A253&amp;"_"&amp;SUBSTITUTE(B253," ","-")&amp;"_"&amp;D253&amp;"_"&amp;SUBSTITUTE(SUBSTITUTE(E253," ",""),"€","Euro")&amp;"_"&amp;IF(F253="","Unknown",F253)&amp;IF(F253="Commemorative",IF(G253="","","_"&amp;SUBSTITUTE(SUBSTITUTE(SUBSTITUTE(G253," ","-"),"/","-"),CHAR(39),"")),"")&amp;IF(I253="Duplicate","_Dub"&amp;IF(SUMPRODUCT(($B$2:B253=B253)*($D$2:D253=D253)*($E$2:E253=E253)*($F$2:F253=F253)*($G$2:G253=G253)*($I$2:I253="Duplicate"))&lt;=1,"",SUMPRODUCT(($B$2:B253=B253)*($D$2:D253=D253)*($E$2:E253=E253)*($F$2:F253=F253)*($G$2:G253=G253)*($I$2:I253="Duplicate"))-1),"")&amp;".jpeg")</f>
        <v/>
      </c>
      <c r="L253" s="6"/>
      <c r="M253" s="5" t="str">
        <f>IFERROR(VLOOKUP(E253,Specifications!$A$2:$D$9,2,FALSE),"")</f>
        <v/>
      </c>
      <c r="N253" s="5" t="str">
        <f>IFERROR(VLOOKUP(E253,Specifications!$A$2:$D$9,3,FALSE),"")</f>
        <v/>
      </c>
      <c r="O253" s="5" t="str">
        <f>IFERROR(VLOOKUP(E253,Specifications!$A$2:$D$9,4,FALSE),"")</f>
        <v/>
      </c>
      <c r="P253" s="8" t="str">
        <f t="shared" si="12"/>
        <v/>
      </c>
      <c r="Q253" s="9"/>
    </row>
    <row r="254" spans="1:17" ht="15">
      <c r="A254" s="5" t="str">
        <f t="shared" si="10"/>
        <v/>
      </c>
      <c r="B254" s="6"/>
      <c r="C254" s="5" t="str">
        <f>IFERROR(VLOOKUP(B254,Lists!$A$2:$B$25,2,FALSE),"")</f>
        <v/>
      </c>
      <c r="D254" s="7"/>
      <c r="E254" s="6"/>
      <c r="F254" s="6" t="str">
        <f t="shared" si="11"/>
        <v/>
      </c>
      <c r="G254" s="6"/>
      <c r="H254" s="6"/>
      <c r="I254" s="6"/>
      <c r="J254" s="7"/>
      <c r="K254" s="5" t="str" cm="1">
        <f t="array" ref="K254">IF(OR(A254="",B254="",D254="",E254=""),"",A254&amp;"_"&amp;SUBSTITUTE(B254," ","-")&amp;"_"&amp;D254&amp;"_"&amp;SUBSTITUTE(SUBSTITUTE(E254," ",""),"€","Euro")&amp;"_"&amp;IF(F254="","Unknown",F254)&amp;IF(F254="Commemorative",IF(G254="","","_"&amp;SUBSTITUTE(SUBSTITUTE(SUBSTITUTE(G254," ","-"),"/","-"),CHAR(39),"")),"")&amp;IF(I254="Duplicate","_Dub"&amp;IF(SUMPRODUCT(($B$2:B254=B254)*($D$2:D254=D254)*($E$2:E254=E254)*($F$2:F254=F254)*($G$2:G254=G254)*($I$2:I254="Duplicate"))&lt;=1,"",SUMPRODUCT(($B$2:B254=B254)*($D$2:D254=D254)*($E$2:E254=E254)*($F$2:F254=F254)*($G$2:G254=G254)*($I$2:I254="Duplicate"))-1),"")&amp;".jpeg")</f>
        <v/>
      </c>
      <c r="L254" s="6"/>
      <c r="M254" s="5" t="str">
        <f>IFERROR(VLOOKUP(E254,Specifications!$A$2:$D$9,2,FALSE),"")</f>
        <v/>
      </c>
      <c r="N254" s="5" t="str">
        <f>IFERROR(VLOOKUP(E254,Specifications!$A$2:$D$9,3,FALSE),"")</f>
        <v/>
      </c>
      <c r="O254" s="5" t="str">
        <f>IFERROR(VLOOKUP(E254,Specifications!$A$2:$D$9,4,FALSE),"")</f>
        <v/>
      </c>
      <c r="P254" s="8" t="str">
        <f t="shared" si="12"/>
        <v/>
      </c>
      <c r="Q254" s="9"/>
    </row>
    <row r="255" spans="1:17" ht="15">
      <c r="A255" s="5" t="str">
        <f t="shared" si="10"/>
        <v/>
      </c>
      <c r="B255" s="6"/>
      <c r="C255" s="5" t="str">
        <f>IFERROR(VLOOKUP(B255,Lists!$A$2:$B$25,2,FALSE),"")</f>
        <v/>
      </c>
      <c r="D255" s="7"/>
      <c r="E255" s="6"/>
      <c r="F255" s="6" t="str">
        <f t="shared" si="11"/>
        <v/>
      </c>
      <c r="G255" s="6"/>
      <c r="H255" s="6"/>
      <c r="I255" s="6"/>
      <c r="J255" s="7"/>
      <c r="K255" s="5" t="str" cm="1">
        <f t="array" ref="K255">IF(OR(A255="",B255="",D255="",E255=""),"",A255&amp;"_"&amp;SUBSTITUTE(B255," ","-")&amp;"_"&amp;D255&amp;"_"&amp;SUBSTITUTE(SUBSTITUTE(E255," ",""),"€","Euro")&amp;"_"&amp;IF(F255="","Unknown",F255)&amp;IF(F255="Commemorative",IF(G255="","","_"&amp;SUBSTITUTE(SUBSTITUTE(SUBSTITUTE(G255," ","-"),"/","-"),CHAR(39),"")),"")&amp;IF(I255="Duplicate","_Dub"&amp;IF(SUMPRODUCT(($B$2:B255=B255)*($D$2:D255=D255)*($E$2:E255=E255)*($F$2:F255=F255)*($G$2:G255=G255)*($I$2:I255="Duplicate"))&lt;=1,"",SUMPRODUCT(($B$2:B255=B255)*($D$2:D255=D255)*($E$2:E255=E255)*($F$2:F255=F255)*($G$2:G255=G255)*($I$2:I255="Duplicate"))-1),"")&amp;".jpeg")</f>
        <v/>
      </c>
      <c r="L255" s="6"/>
      <c r="M255" s="5" t="str">
        <f>IFERROR(VLOOKUP(E255,Specifications!$A$2:$D$9,2,FALSE),"")</f>
        <v/>
      </c>
      <c r="N255" s="5" t="str">
        <f>IFERROR(VLOOKUP(E255,Specifications!$A$2:$D$9,3,FALSE),"")</f>
        <v/>
      </c>
      <c r="O255" s="5" t="str">
        <f>IFERROR(VLOOKUP(E255,Specifications!$A$2:$D$9,4,FALSE),"")</f>
        <v/>
      </c>
      <c r="P255" s="8" t="str">
        <f t="shared" si="12"/>
        <v/>
      </c>
      <c r="Q255" s="9"/>
    </row>
    <row r="256" spans="1:17" ht="15">
      <c r="A256" s="5" t="str">
        <f t="shared" si="10"/>
        <v/>
      </c>
      <c r="B256" s="6"/>
      <c r="C256" s="5" t="str">
        <f>IFERROR(VLOOKUP(B256,Lists!$A$2:$B$25,2,FALSE),"")</f>
        <v/>
      </c>
      <c r="D256" s="7"/>
      <c r="E256" s="6"/>
      <c r="F256" s="6" t="str">
        <f t="shared" si="11"/>
        <v/>
      </c>
      <c r="G256" s="6"/>
      <c r="H256" s="6"/>
      <c r="I256" s="6"/>
      <c r="J256" s="7"/>
      <c r="K256" s="5" t="str" cm="1">
        <f t="array" ref="K256">IF(OR(A256="",B256="",D256="",E256=""),"",A256&amp;"_"&amp;SUBSTITUTE(B256," ","-")&amp;"_"&amp;D256&amp;"_"&amp;SUBSTITUTE(SUBSTITUTE(E256," ",""),"€","Euro")&amp;"_"&amp;IF(F256="","Unknown",F256)&amp;IF(F256="Commemorative",IF(G256="","","_"&amp;SUBSTITUTE(SUBSTITUTE(SUBSTITUTE(G256," ","-"),"/","-"),CHAR(39),"")),"")&amp;IF(I256="Duplicate","_Dub"&amp;IF(SUMPRODUCT(($B$2:B256=B256)*($D$2:D256=D256)*($E$2:E256=E256)*($F$2:F256=F256)*($G$2:G256=G256)*($I$2:I256="Duplicate"))&lt;=1,"",SUMPRODUCT(($B$2:B256=B256)*($D$2:D256=D256)*($E$2:E256=E256)*($F$2:F256=F256)*($G$2:G256=G256)*($I$2:I256="Duplicate"))-1),"")&amp;".jpeg")</f>
        <v/>
      </c>
      <c r="L256" s="6"/>
      <c r="M256" s="5" t="str">
        <f>IFERROR(VLOOKUP(E256,Specifications!$A$2:$D$9,2,FALSE),"")</f>
        <v/>
      </c>
      <c r="N256" s="5" t="str">
        <f>IFERROR(VLOOKUP(E256,Specifications!$A$2:$D$9,3,FALSE),"")</f>
        <v/>
      </c>
      <c r="O256" s="5" t="str">
        <f>IFERROR(VLOOKUP(E256,Specifications!$A$2:$D$9,4,FALSE),"")</f>
        <v/>
      </c>
      <c r="P256" s="8" t="str">
        <f t="shared" si="12"/>
        <v/>
      </c>
      <c r="Q256" s="9"/>
    </row>
    <row r="257" spans="1:17" ht="15">
      <c r="A257" s="5" t="str">
        <f t="shared" si="10"/>
        <v/>
      </c>
      <c r="B257" s="6"/>
      <c r="C257" s="5" t="str">
        <f>IFERROR(VLOOKUP(B257,Lists!$A$2:$B$25,2,FALSE),"")</f>
        <v/>
      </c>
      <c r="D257" s="7"/>
      <c r="E257" s="6"/>
      <c r="F257" s="6" t="str">
        <f t="shared" si="11"/>
        <v/>
      </c>
      <c r="G257" s="6"/>
      <c r="H257" s="6"/>
      <c r="I257" s="6"/>
      <c r="J257" s="7"/>
      <c r="K257" s="5" t="str" cm="1">
        <f t="array" ref="K257">IF(OR(A257="",B257="",D257="",E257=""),"",A257&amp;"_"&amp;SUBSTITUTE(B257," ","-")&amp;"_"&amp;D257&amp;"_"&amp;SUBSTITUTE(SUBSTITUTE(E257," ",""),"€","Euro")&amp;"_"&amp;IF(F257="","Unknown",F257)&amp;IF(F257="Commemorative",IF(G257="","","_"&amp;SUBSTITUTE(SUBSTITUTE(SUBSTITUTE(G257," ","-"),"/","-"),CHAR(39),"")),"")&amp;IF(I257="Duplicate","_Dub"&amp;IF(SUMPRODUCT(($B$2:B257=B257)*($D$2:D257=D257)*($E$2:E257=E257)*($F$2:F257=F257)*($G$2:G257=G257)*($I$2:I257="Duplicate"))&lt;=1,"",SUMPRODUCT(($B$2:B257=B257)*($D$2:D257=D257)*($E$2:E257=E257)*($F$2:F257=F257)*($G$2:G257=G257)*($I$2:I257="Duplicate"))-1),"")&amp;".jpeg")</f>
        <v/>
      </c>
      <c r="L257" s="6"/>
      <c r="M257" s="5" t="str">
        <f>IFERROR(VLOOKUP(E257,Specifications!$A$2:$D$9,2,FALSE),"")</f>
        <v/>
      </c>
      <c r="N257" s="5" t="str">
        <f>IFERROR(VLOOKUP(E257,Specifications!$A$2:$D$9,3,FALSE),"")</f>
        <v/>
      </c>
      <c r="O257" s="5" t="str">
        <f>IFERROR(VLOOKUP(E257,Specifications!$A$2:$D$9,4,FALSE),"")</f>
        <v/>
      </c>
      <c r="P257" s="8" t="str">
        <f t="shared" si="12"/>
        <v/>
      </c>
      <c r="Q257" s="9"/>
    </row>
    <row r="258" spans="1:17" ht="15">
      <c r="A258" s="5" t="str">
        <f t="shared" ref="A258:A321" si="13">IF(B258="","",TEXT(ROW()-1,"000"))</f>
        <v/>
      </c>
      <c r="B258" s="6"/>
      <c r="C258" s="5" t="str">
        <f>IFERROR(VLOOKUP(B258,Lists!$A$2:$B$25,2,FALSE),"")</f>
        <v/>
      </c>
      <c r="D258" s="7"/>
      <c r="E258" s="6"/>
      <c r="F258" s="6" t="str">
        <f t="shared" ref="F258:F321" si="14">IF(E258="","",IF(E258="2 €","", "Regular"))</f>
        <v/>
      </c>
      <c r="G258" s="6"/>
      <c r="H258" s="6"/>
      <c r="I258" s="6"/>
      <c r="J258" s="7"/>
      <c r="K258" s="5" t="str" cm="1">
        <f t="array" ref="K258">IF(OR(A258="",B258="",D258="",E258=""),"",A258&amp;"_"&amp;SUBSTITUTE(B258," ","-")&amp;"_"&amp;D258&amp;"_"&amp;SUBSTITUTE(SUBSTITUTE(E258," ",""),"€","Euro")&amp;"_"&amp;IF(F258="","Unknown",F258)&amp;IF(F258="Commemorative",IF(G258="","","_"&amp;SUBSTITUTE(SUBSTITUTE(SUBSTITUTE(G258," ","-"),"/","-"),CHAR(39),"")),"")&amp;IF(I258="Duplicate","_Dub"&amp;IF(SUMPRODUCT(($B$2:B258=B258)*($D$2:D258=D258)*($E$2:E258=E258)*($F$2:F258=F258)*($G$2:G258=G258)*($I$2:I258="Duplicate"))&lt;=1,"",SUMPRODUCT(($B$2:B258=B258)*($D$2:D258=D258)*($E$2:E258=E258)*($F$2:F258=F258)*($G$2:G258=G258)*($I$2:I258="Duplicate"))-1),"")&amp;".jpeg")</f>
        <v/>
      </c>
      <c r="L258" s="6"/>
      <c r="M258" s="5" t="str">
        <f>IFERROR(VLOOKUP(E258,Specifications!$A$2:$D$9,2,FALSE),"")</f>
        <v/>
      </c>
      <c r="N258" s="5" t="str">
        <f>IFERROR(VLOOKUP(E258,Specifications!$A$2:$D$9,3,FALSE),"")</f>
        <v/>
      </c>
      <c r="O258" s="5" t="str">
        <f>IFERROR(VLOOKUP(E258,Specifications!$A$2:$D$9,4,FALSE),"")</f>
        <v/>
      </c>
      <c r="P258" s="8" t="str">
        <f t="shared" ref="P258:P321" si="15">IF(OR(B258="",E258="",F258=""),"",IF(F258="Regular","Regular "&amp;E258&amp;" circulation coin of "&amp;B258&amp;".",IF(F258="Commemorative",IF(G258="","",E258&amp;" commemorative coin of "&amp;B258&amp;" – "&amp;G258&amp;"."),"")))</f>
        <v/>
      </c>
      <c r="Q258" s="9"/>
    </row>
    <row r="259" spans="1:17" ht="15">
      <c r="A259" s="5" t="str">
        <f t="shared" si="13"/>
        <v/>
      </c>
      <c r="B259" s="6"/>
      <c r="C259" s="5" t="str">
        <f>IFERROR(VLOOKUP(B259,Lists!$A$2:$B$25,2,FALSE),"")</f>
        <v/>
      </c>
      <c r="D259" s="7"/>
      <c r="E259" s="6"/>
      <c r="F259" s="6" t="str">
        <f t="shared" si="14"/>
        <v/>
      </c>
      <c r="G259" s="6"/>
      <c r="H259" s="6"/>
      <c r="I259" s="6"/>
      <c r="J259" s="7"/>
      <c r="K259" s="5" t="str" cm="1">
        <f t="array" ref="K259">IF(OR(A259="",B259="",D259="",E259=""),"",A259&amp;"_"&amp;SUBSTITUTE(B259," ","-")&amp;"_"&amp;D259&amp;"_"&amp;SUBSTITUTE(SUBSTITUTE(E259," ",""),"€","Euro")&amp;"_"&amp;IF(F259="","Unknown",F259)&amp;IF(F259="Commemorative",IF(G259="","","_"&amp;SUBSTITUTE(SUBSTITUTE(SUBSTITUTE(G259," ","-"),"/","-"),CHAR(39),"")),"")&amp;IF(I259="Duplicate","_Dub"&amp;IF(SUMPRODUCT(($B$2:B259=B259)*($D$2:D259=D259)*($E$2:E259=E259)*($F$2:F259=F259)*($G$2:G259=G259)*($I$2:I259="Duplicate"))&lt;=1,"",SUMPRODUCT(($B$2:B259=B259)*($D$2:D259=D259)*($E$2:E259=E259)*($F$2:F259=F259)*($G$2:G259=G259)*($I$2:I259="Duplicate"))-1),"")&amp;".jpeg")</f>
        <v/>
      </c>
      <c r="L259" s="6"/>
      <c r="M259" s="5" t="str">
        <f>IFERROR(VLOOKUP(E259,Specifications!$A$2:$D$9,2,FALSE),"")</f>
        <v/>
      </c>
      <c r="N259" s="5" t="str">
        <f>IFERROR(VLOOKUP(E259,Specifications!$A$2:$D$9,3,FALSE),"")</f>
        <v/>
      </c>
      <c r="O259" s="5" t="str">
        <f>IFERROR(VLOOKUP(E259,Specifications!$A$2:$D$9,4,FALSE),"")</f>
        <v/>
      </c>
      <c r="P259" s="8" t="str">
        <f t="shared" si="15"/>
        <v/>
      </c>
      <c r="Q259" s="9"/>
    </row>
    <row r="260" spans="1:17" ht="15">
      <c r="A260" s="5" t="str">
        <f t="shared" si="13"/>
        <v/>
      </c>
      <c r="B260" s="6"/>
      <c r="C260" s="5" t="str">
        <f>IFERROR(VLOOKUP(B260,Lists!$A$2:$B$25,2,FALSE),"")</f>
        <v/>
      </c>
      <c r="D260" s="7"/>
      <c r="E260" s="6"/>
      <c r="F260" s="6" t="str">
        <f t="shared" si="14"/>
        <v/>
      </c>
      <c r="G260" s="6"/>
      <c r="H260" s="6"/>
      <c r="I260" s="6"/>
      <c r="J260" s="7"/>
      <c r="K260" s="5" t="str" cm="1">
        <f t="array" ref="K260">IF(OR(A260="",B260="",D260="",E260=""),"",A260&amp;"_"&amp;SUBSTITUTE(B260," ","-")&amp;"_"&amp;D260&amp;"_"&amp;SUBSTITUTE(SUBSTITUTE(E260," ",""),"€","Euro")&amp;"_"&amp;IF(F260="","Unknown",F260)&amp;IF(F260="Commemorative",IF(G260="","","_"&amp;SUBSTITUTE(SUBSTITUTE(SUBSTITUTE(G260," ","-"),"/","-"),CHAR(39),"")),"")&amp;IF(I260="Duplicate","_Dub"&amp;IF(SUMPRODUCT(($B$2:B260=B260)*($D$2:D260=D260)*($E$2:E260=E260)*($F$2:F260=F260)*($G$2:G260=G260)*($I$2:I260="Duplicate"))&lt;=1,"",SUMPRODUCT(($B$2:B260=B260)*($D$2:D260=D260)*($E$2:E260=E260)*($F$2:F260=F260)*($G$2:G260=G260)*($I$2:I260="Duplicate"))-1),"")&amp;".jpeg")</f>
        <v/>
      </c>
      <c r="L260" s="6"/>
      <c r="M260" s="5" t="str">
        <f>IFERROR(VLOOKUP(E260,Specifications!$A$2:$D$9,2,FALSE),"")</f>
        <v/>
      </c>
      <c r="N260" s="5" t="str">
        <f>IFERROR(VLOOKUP(E260,Specifications!$A$2:$D$9,3,FALSE),"")</f>
        <v/>
      </c>
      <c r="O260" s="5" t="str">
        <f>IFERROR(VLOOKUP(E260,Specifications!$A$2:$D$9,4,FALSE),"")</f>
        <v/>
      </c>
      <c r="P260" s="8" t="str">
        <f t="shared" si="15"/>
        <v/>
      </c>
      <c r="Q260" s="9"/>
    </row>
    <row r="261" spans="1:17" ht="15">
      <c r="A261" s="5" t="str">
        <f t="shared" si="13"/>
        <v/>
      </c>
      <c r="B261" s="6"/>
      <c r="C261" s="5" t="str">
        <f>IFERROR(VLOOKUP(B261,Lists!$A$2:$B$25,2,FALSE),"")</f>
        <v/>
      </c>
      <c r="D261" s="7"/>
      <c r="E261" s="6"/>
      <c r="F261" s="6" t="str">
        <f t="shared" si="14"/>
        <v/>
      </c>
      <c r="G261" s="6"/>
      <c r="H261" s="6"/>
      <c r="I261" s="6"/>
      <c r="J261" s="7"/>
      <c r="K261" s="5" t="str" cm="1">
        <f t="array" ref="K261">IF(OR(A261="",B261="",D261="",E261=""),"",A261&amp;"_"&amp;SUBSTITUTE(B261," ","-")&amp;"_"&amp;D261&amp;"_"&amp;SUBSTITUTE(SUBSTITUTE(E261," ",""),"€","Euro")&amp;"_"&amp;IF(F261="","Unknown",F261)&amp;IF(F261="Commemorative",IF(G261="","","_"&amp;SUBSTITUTE(SUBSTITUTE(SUBSTITUTE(G261," ","-"),"/","-"),CHAR(39),"")),"")&amp;IF(I261="Duplicate","_Dub"&amp;IF(SUMPRODUCT(($B$2:B261=B261)*($D$2:D261=D261)*($E$2:E261=E261)*($F$2:F261=F261)*($G$2:G261=G261)*($I$2:I261="Duplicate"))&lt;=1,"",SUMPRODUCT(($B$2:B261=B261)*($D$2:D261=D261)*($E$2:E261=E261)*($F$2:F261=F261)*($G$2:G261=G261)*($I$2:I261="Duplicate"))-1),"")&amp;".jpeg")</f>
        <v/>
      </c>
      <c r="L261" s="6"/>
      <c r="M261" s="5" t="str">
        <f>IFERROR(VLOOKUP(E261,Specifications!$A$2:$D$9,2,FALSE),"")</f>
        <v/>
      </c>
      <c r="N261" s="5" t="str">
        <f>IFERROR(VLOOKUP(E261,Specifications!$A$2:$D$9,3,FALSE),"")</f>
        <v/>
      </c>
      <c r="O261" s="5" t="str">
        <f>IFERROR(VLOOKUP(E261,Specifications!$A$2:$D$9,4,FALSE),"")</f>
        <v/>
      </c>
      <c r="P261" s="8" t="str">
        <f t="shared" si="15"/>
        <v/>
      </c>
      <c r="Q261" s="9"/>
    </row>
    <row r="262" spans="1:17" ht="15">
      <c r="A262" s="5" t="str">
        <f t="shared" si="13"/>
        <v/>
      </c>
      <c r="B262" s="6"/>
      <c r="C262" s="5" t="str">
        <f>IFERROR(VLOOKUP(B262,Lists!$A$2:$B$25,2,FALSE),"")</f>
        <v/>
      </c>
      <c r="D262" s="7"/>
      <c r="E262" s="6"/>
      <c r="F262" s="6" t="str">
        <f t="shared" si="14"/>
        <v/>
      </c>
      <c r="G262" s="6"/>
      <c r="H262" s="6"/>
      <c r="I262" s="6"/>
      <c r="J262" s="7"/>
      <c r="K262" s="5" t="str" cm="1">
        <f t="array" ref="K262">IF(OR(A262="",B262="",D262="",E262=""),"",A262&amp;"_"&amp;SUBSTITUTE(B262," ","-")&amp;"_"&amp;D262&amp;"_"&amp;SUBSTITUTE(SUBSTITUTE(E262," ",""),"€","Euro")&amp;"_"&amp;IF(F262="","Unknown",F262)&amp;IF(F262="Commemorative",IF(G262="","","_"&amp;SUBSTITUTE(SUBSTITUTE(SUBSTITUTE(G262," ","-"),"/","-"),CHAR(39),"")),"")&amp;IF(I262="Duplicate","_Dub"&amp;IF(SUMPRODUCT(($B$2:B262=B262)*($D$2:D262=D262)*($E$2:E262=E262)*($F$2:F262=F262)*($G$2:G262=G262)*($I$2:I262="Duplicate"))&lt;=1,"",SUMPRODUCT(($B$2:B262=B262)*($D$2:D262=D262)*($E$2:E262=E262)*($F$2:F262=F262)*($G$2:G262=G262)*($I$2:I262="Duplicate"))-1),"")&amp;".jpeg")</f>
        <v/>
      </c>
      <c r="L262" s="6"/>
      <c r="M262" s="5" t="str">
        <f>IFERROR(VLOOKUP(E262,Specifications!$A$2:$D$9,2,FALSE),"")</f>
        <v/>
      </c>
      <c r="N262" s="5" t="str">
        <f>IFERROR(VLOOKUP(E262,Specifications!$A$2:$D$9,3,FALSE),"")</f>
        <v/>
      </c>
      <c r="O262" s="5" t="str">
        <f>IFERROR(VLOOKUP(E262,Specifications!$A$2:$D$9,4,FALSE),"")</f>
        <v/>
      </c>
      <c r="P262" s="8" t="str">
        <f t="shared" si="15"/>
        <v/>
      </c>
      <c r="Q262" s="9"/>
    </row>
    <row r="263" spans="1:17" ht="15">
      <c r="A263" s="5" t="str">
        <f t="shared" si="13"/>
        <v/>
      </c>
      <c r="B263" s="6"/>
      <c r="C263" s="5" t="str">
        <f>IFERROR(VLOOKUP(B263,Lists!$A$2:$B$25,2,FALSE),"")</f>
        <v/>
      </c>
      <c r="D263" s="7"/>
      <c r="E263" s="6"/>
      <c r="F263" s="6" t="str">
        <f t="shared" si="14"/>
        <v/>
      </c>
      <c r="G263" s="6"/>
      <c r="H263" s="6"/>
      <c r="I263" s="6"/>
      <c r="J263" s="7"/>
      <c r="K263" s="5" t="str" cm="1">
        <f t="array" ref="K263">IF(OR(A263="",B263="",D263="",E263=""),"",A263&amp;"_"&amp;SUBSTITUTE(B263," ","-")&amp;"_"&amp;D263&amp;"_"&amp;SUBSTITUTE(SUBSTITUTE(E263," ",""),"€","Euro")&amp;"_"&amp;IF(F263="","Unknown",F263)&amp;IF(F263="Commemorative",IF(G263="","","_"&amp;SUBSTITUTE(SUBSTITUTE(SUBSTITUTE(G263," ","-"),"/","-"),CHAR(39),"")),"")&amp;IF(I263="Duplicate","_Dub"&amp;IF(SUMPRODUCT(($B$2:B263=B263)*($D$2:D263=D263)*($E$2:E263=E263)*($F$2:F263=F263)*($G$2:G263=G263)*($I$2:I263="Duplicate"))&lt;=1,"",SUMPRODUCT(($B$2:B263=B263)*($D$2:D263=D263)*($E$2:E263=E263)*($F$2:F263=F263)*($G$2:G263=G263)*($I$2:I263="Duplicate"))-1),"")&amp;".jpeg")</f>
        <v/>
      </c>
      <c r="L263" s="6"/>
      <c r="M263" s="5" t="str">
        <f>IFERROR(VLOOKUP(E263,Specifications!$A$2:$D$9,2,FALSE),"")</f>
        <v/>
      </c>
      <c r="N263" s="5" t="str">
        <f>IFERROR(VLOOKUP(E263,Specifications!$A$2:$D$9,3,FALSE),"")</f>
        <v/>
      </c>
      <c r="O263" s="5" t="str">
        <f>IFERROR(VLOOKUP(E263,Specifications!$A$2:$D$9,4,FALSE),"")</f>
        <v/>
      </c>
      <c r="P263" s="8" t="str">
        <f t="shared" si="15"/>
        <v/>
      </c>
      <c r="Q263" s="9"/>
    </row>
    <row r="264" spans="1:17" ht="15">
      <c r="A264" s="5" t="str">
        <f t="shared" si="13"/>
        <v/>
      </c>
      <c r="B264" s="6"/>
      <c r="C264" s="5" t="str">
        <f>IFERROR(VLOOKUP(B264,Lists!$A$2:$B$25,2,FALSE),"")</f>
        <v/>
      </c>
      <c r="D264" s="7"/>
      <c r="E264" s="6"/>
      <c r="F264" s="6" t="str">
        <f t="shared" si="14"/>
        <v/>
      </c>
      <c r="G264" s="6"/>
      <c r="H264" s="6"/>
      <c r="I264" s="6"/>
      <c r="J264" s="7"/>
      <c r="K264" s="5" t="str" cm="1">
        <f t="array" ref="K264">IF(OR(A264="",B264="",D264="",E264=""),"",A264&amp;"_"&amp;SUBSTITUTE(B264," ","-")&amp;"_"&amp;D264&amp;"_"&amp;SUBSTITUTE(SUBSTITUTE(E264," ",""),"€","Euro")&amp;"_"&amp;IF(F264="","Unknown",F264)&amp;IF(F264="Commemorative",IF(G264="","","_"&amp;SUBSTITUTE(SUBSTITUTE(SUBSTITUTE(G264," ","-"),"/","-"),CHAR(39),"")),"")&amp;IF(I264="Duplicate","_Dub"&amp;IF(SUMPRODUCT(($B$2:B264=B264)*($D$2:D264=D264)*($E$2:E264=E264)*($F$2:F264=F264)*($G$2:G264=G264)*($I$2:I264="Duplicate"))&lt;=1,"",SUMPRODUCT(($B$2:B264=B264)*($D$2:D264=D264)*($E$2:E264=E264)*($F$2:F264=F264)*($G$2:G264=G264)*($I$2:I264="Duplicate"))-1),"")&amp;".jpeg")</f>
        <v/>
      </c>
      <c r="L264" s="6"/>
      <c r="M264" s="5" t="str">
        <f>IFERROR(VLOOKUP(E264,Specifications!$A$2:$D$9,2,FALSE),"")</f>
        <v/>
      </c>
      <c r="N264" s="5" t="str">
        <f>IFERROR(VLOOKUP(E264,Specifications!$A$2:$D$9,3,FALSE),"")</f>
        <v/>
      </c>
      <c r="O264" s="5" t="str">
        <f>IFERROR(VLOOKUP(E264,Specifications!$A$2:$D$9,4,FALSE),"")</f>
        <v/>
      </c>
      <c r="P264" s="8" t="str">
        <f t="shared" si="15"/>
        <v/>
      </c>
      <c r="Q264" s="9"/>
    </row>
    <row r="265" spans="1:17" ht="15">
      <c r="A265" s="5" t="str">
        <f t="shared" si="13"/>
        <v/>
      </c>
      <c r="B265" s="6"/>
      <c r="C265" s="5" t="str">
        <f>IFERROR(VLOOKUP(B265,Lists!$A$2:$B$25,2,FALSE),"")</f>
        <v/>
      </c>
      <c r="D265" s="7"/>
      <c r="E265" s="6"/>
      <c r="F265" s="6" t="str">
        <f t="shared" si="14"/>
        <v/>
      </c>
      <c r="G265" s="6"/>
      <c r="H265" s="6"/>
      <c r="I265" s="6"/>
      <c r="J265" s="7"/>
      <c r="K265" s="5" t="str" cm="1">
        <f t="array" ref="K265">IF(OR(A265="",B265="",D265="",E265=""),"",A265&amp;"_"&amp;SUBSTITUTE(B265," ","-")&amp;"_"&amp;D265&amp;"_"&amp;SUBSTITUTE(SUBSTITUTE(E265," ",""),"€","Euro")&amp;"_"&amp;IF(F265="","Unknown",F265)&amp;IF(F265="Commemorative",IF(G265="","","_"&amp;SUBSTITUTE(SUBSTITUTE(SUBSTITUTE(G265," ","-"),"/","-"),CHAR(39),"")),"")&amp;IF(I265="Duplicate","_Dub"&amp;IF(SUMPRODUCT(($B$2:B265=B265)*($D$2:D265=D265)*($E$2:E265=E265)*($F$2:F265=F265)*($G$2:G265=G265)*($I$2:I265="Duplicate"))&lt;=1,"",SUMPRODUCT(($B$2:B265=B265)*($D$2:D265=D265)*($E$2:E265=E265)*($F$2:F265=F265)*($G$2:G265=G265)*($I$2:I265="Duplicate"))-1),"")&amp;".jpeg")</f>
        <v/>
      </c>
      <c r="L265" s="6"/>
      <c r="M265" s="5" t="str">
        <f>IFERROR(VLOOKUP(E265,Specifications!$A$2:$D$9,2,FALSE),"")</f>
        <v/>
      </c>
      <c r="N265" s="5" t="str">
        <f>IFERROR(VLOOKUP(E265,Specifications!$A$2:$D$9,3,FALSE),"")</f>
        <v/>
      </c>
      <c r="O265" s="5" t="str">
        <f>IFERROR(VLOOKUP(E265,Specifications!$A$2:$D$9,4,FALSE),"")</f>
        <v/>
      </c>
      <c r="P265" s="8" t="str">
        <f t="shared" si="15"/>
        <v/>
      </c>
      <c r="Q265" s="9"/>
    </row>
    <row r="266" spans="1:17" ht="15">
      <c r="A266" s="5" t="str">
        <f t="shared" si="13"/>
        <v/>
      </c>
      <c r="B266" s="6"/>
      <c r="C266" s="5" t="str">
        <f>IFERROR(VLOOKUP(B266,Lists!$A$2:$B$25,2,FALSE),"")</f>
        <v/>
      </c>
      <c r="D266" s="7"/>
      <c r="E266" s="6"/>
      <c r="F266" s="6" t="str">
        <f t="shared" si="14"/>
        <v/>
      </c>
      <c r="G266" s="6"/>
      <c r="H266" s="6"/>
      <c r="I266" s="6"/>
      <c r="J266" s="7"/>
      <c r="K266" s="5" t="str" cm="1">
        <f t="array" ref="K266">IF(OR(A266="",B266="",D266="",E266=""),"",A266&amp;"_"&amp;SUBSTITUTE(B266," ","-")&amp;"_"&amp;D266&amp;"_"&amp;SUBSTITUTE(SUBSTITUTE(E266," ",""),"€","Euro")&amp;"_"&amp;IF(F266="","Unknown",F266)&amp;IF(F266="Commemorative",IF(G266="","","_"&amp;SUBSTITUTE(SUBSTITUTE(SUBSTITUTE(G266," ","-"),"/","-"),CHAR(39),"")),"")&amp;IF(I266="Duplicate","_Dub"&amp;IF(SUMPRODUCT(($B$2:B266=B266)*($D$2:D266=D266)*($E$2:E266=E266)*($F$2:F266=F266)*($G$2:G266=G266)*($I$2:I266="Duplicate"))&lt;=1,"",SUMPRODUCT(($B$2:B266=B266)*($D$2:D266=D266)*($E$2:E266=E266)*($F$2:F266=F266)*($G$2:G266=G266)*($I$2:I266="Duplicate"))-1),"")&amp;".jpeg")</f>
        <v/>
      </c>
      <c r="L266" s="6"/>
      <c r="M266" s="5" t="str">
        <f>IFERROR(VLOOKUP(E266,Specifications!$A$2:$D$9,2,FALSE),"")</f>
        <v/>
      </c>
      <c r="N266" s="5" t="str">
        <f>IFERROR(VLOOKUP(E266,Specifications!$A$2:$D$9,3,FALSE),"")</f>
        <v/>
      </c>
      <c r="O266" s="5" t="str">
        <f>IFERROR(VLOOKUP(E266,Specifications!$A$2:$D$9,4,FALSE),"")</f>
        <v/>
      </c>
      <c r="P266" s="8" t="str">
        <f t="shared" si="15"/>
        <v/>
      </c>
      <c r="Q266" s="9"/>
    </row>
    <row r="267" spans="1:17" ht="15">
      <c r="A267" s="5" t="str">
        <f t="shared" si="13"/>
        <v/>
      </c>
      <c r="B267" s="6"/>
      <c r="C267" s="5" t="str">
        <f>IFERROR(VLOOKUP(B267,Lists!$A$2:$B$25,2,FALSE),"")</f>
        <v/>
      </c>
      <c r="D267" s="7"/>
      <c r="E267" s="6"/>
      <c r="F267" s="6" t="str">
        <f t="shared" si="14"/>
        <v/>
      </c>
      <c r="G267" s="6"/>
      <c r="H267" s="6"/>
      <c r="I267" s="6"/>
      <c r="J267" s="7"/>
      <c r="K267" s="5" t="str" cm="1">
        <f t="array" ref="K267">IF(OR(A267="",B267="",D267="",E267=""),"",A267&amp;"_"&amp;SUBSTITUTE(B267," ","-")&amp;"_"&amp;D267&amp;"_"&amp;SUBSTITUTE(SUBSTITUTE(E267," ",""),"€","Euro")&amp;"_"&amp;IF(F267="","Unknown",F267)&amp;IF(F267="Commemorative",IF(G267="","","_"&amp;SUBSTITUTE(SUBSTITUTE(SUBSTITUTE(G267," ","-"),"/","-"),CHAR(39),"")),"")&amp;IF(I267="Duplicate","_Dub"&amp;IF(SUMPRODUCT(($B$2:B267=B267)*($D$2:D267=D267)*($E$2:E267=E267)*($F$2:F267=F267)*($G$2:G267=G267)*($I$2:I267="Duplicate"))&lt;=1,"",SUMPRODUCT(($B$2:B267=B267)*($D$2:D267=D267)*($E$2:E267=E267)*($F$2:F267=F267)*($G$2:G267=G267)*($I$2:I267="Duplicate"))-1),"")&amp;".jpeg")</f>
        <v/>
      </c>
      <c r="L267" s="6"/>
      <c r="M267" s="5" t="str">
        <f>IFERROR(VLOOKUP(E267,Specifications!$A$2:$D$9,2,FALSE),"")</f>
        <v/>
      </c>
      <c r="N267" s="5" t="str">
        <f>IFERROR(VLOOKUP(E267,Specifications!$A$2:$D$9,3,FALSE),"")</f>
        <v/>
      </c>
      <c r="O267" s="5" t="str">
        <f>IFERROR(VLOOKUP(E267,Specifications!$A$2:$D$9,4,FALSE),"")</f>
        <v/>
      </c>
      <c r="P267" s="8" t="str">
        <f t="shared" si="15"/>
        <v/>
      </c>
      <c r="Q267" s="9"/>
    </row>
    <row r="268" spans="1:17" ht="15">
      <c r="A268" s="5" t="str">
        <f t="shared" si="13"/>
        <v/>
      </c>
      <c r="B268" s="6"/>
      <c r="C268" s="5" t="str">
        <f>IFERROR(VLOOKUP(B268,Lists!$A$2:$B$25,2,FALSE),"")</f>
        <v/>
      </c>
      <c r="D268" s="7"/>
      <c r="E268" s="6"/>
      <c r="F268" s="6" t="str">
        <f t="shared" si="14"/>
        <v/>
      </c>
      <c r="G268" s="6"/>
      <c r="H268" s="6"/>
      <c r="I268" s="6"/>
      <c r="J268" s="7"/>
      <c r="K268" s="5" t="str" cm="1">
        <f t="array" ref="K268">IF(OR(A268="",B268="",D268="",E268=""),"",A268&amp;"_"&amp;SUBSTITUTE(B268," ","-")&amp;"_"&amp;D268&amp;"_"&amp;SUBSTITUTE(SUBSTITUTE(E268," ",""),"€","Euro")&amp;"_"&amp;IF(F268="","Unknown",F268)&amp;IF(F268="Commemorative",IF(G268="","","_"&amp;SUBSTITUTE(SUBSTITUTE(SUBSTITUTE(G268," ","-"),"/","-"),CHAR(39),"")),"")&amp;IF(I268="Duplicate","_Dub"&amp;IF(SUMPRODUCT(($B$2:B268=B268)*($D$2:D268=D268)*($E$2:E268=E268)*($F$2:F268=F268)*($G$2:G268=G268)*($I$2:I268="Duplicate"))&lt;=1,"",SUMPRODUCT(($B$2:B268=B268)*($D$2:D268=D268)*($E$2:E268=E268)*($F$2:F268=F268)*($G$2:G268=G268)*($I$2:I268="Duplicate"))-1),"")&amp;".jpeg")</f>
        <v/>
      </c>
      <c r="L268" s="6"/>
      <c r="M268" s="5" t="str">
        <f>IFERROR(VLOOKUP(E268,Specifications!$A$2:$D$9,2,FALSE),"")</f>
        <v/>
      </c>
      <c r="N268" s="5" t="str">
        <f>IFERROR(VLOOKUP(E268,Specifications!$A$2:$D$9,3,FALSE),"")</f>
        <v/>
      </c>
      <c r="O268" s="5" t="str">
        <f>IFERROR(VLOOKUP(E268,Specifications!$A$2:$D$9,4,FALSE),"")</f>
        <v/>
      </c>
      <c r="P268" s="8" t="str">
        <f t="shared" si="15"/>
        <v/>
      </c>
      <c r="Q268" s="9"/>
    </row>
    <row r="269" spans="1:17" ht="15">
      <c r="A269" s="5" t="str">
        <f t="shared" si="13"/>
        <v/>
      </c>
      <c r="B269" s="6"/>
      <c r="C269" s="5" t="str">
        <f>IFERROR(VLOOKUP(B269,Lists!$A$2:$B$25,2,FALSE),"")</f>
        <v/>
      </c>
      <c r="D269" s="7"/>
      <c r="E269" s="6"/>
      <c r="F269" s="6" t="str">
        <f t="shared" si="14"/>
        <v/>
      </c>
      <c r="G269" s="6"/>
      <c r="H269" s="6"/>
      <c r="I269" s="6"/>
      <c r="J269" s="7"/>
      <c r="K269" s="5" t="str" cm="1">
        <f t="array" ref="K269">IF(OR(A269="",B269="",D269="",E269=""),"",A269&amp;"_"&amp;SUBSTITUTE(B269," ","-")&amp;"_"&amp;D269&amp;"_"&amp;SUBSTITUTE(SUBSTITUTE(E269," ",""),"€","Euro")&amp;"_"&amp;IF(F269="","Unknown",F269)&amp;IF(F269="Commemorative",IF(G269="","","_"&amp;SUBSTITUTE(SUBSTITUTE(SUBSTITUTE(G269," ","-"),"/","-"),CHAR(39),"")),"")&amp;IF(I269="Duplicate","_Dub"&amp;IF(SUMPRODUCT(($B$2:B269=B269)*($D$2:D269=D269)*($E$2:E269=E269)*($F$2:F269=F269)*($G$2:G269=G269)*($I$2:I269="Duplicate"))&lt;=1,"",SUMPRODUCT(($B$2:B269=B269)*($D$2:D269=D269)*($E$2:E269=E269)*($F$2:F269=F269)*($G$2:G269=G269)*($I$2:I269="Duplicate"))-1),"")&amp;".jpeg")</f>
        <v/>
      </c>
      <c r="L269" s="6"/>
      <c r="M269" s="5" t="str">
        <f>IFERROR(VLOOKUP(E269,Specifications!$A$2:$D$9,2,FALSE),"")</f>
        <v/>
      </c>
      <c r="N269" s="5" t="str">
        <f>IFERROR(VLOOKUP(E269,Specifications!$A$2:$D$9,3,FALSE),"")</f>
        <v/>
      </c>
      <c r="O269" s="5" t="str">
        <f>IFERROR(VLOOKUP(E269,Specifications!$A$2:$D$9,4,FALSE),"")</f>
        <v/>
      </c>
      <c r="P269" s="8" t="str">
        <f t="shared" si="15"/>
        <v/>
      </c>
      <c r="Q269" s="9"/>
    </row>
    <row r="270" spans="1:17" ht="15">
      <c r="A270" s="5" t="str">
        <f t="shared" si="13"/>
        <v/>
      </c>
      <c r="B270" s="6"/>
      <c r="C270" s="5" t="str">
        <f>IFERROR(VLOOKUP(B270,Lists!$A$2:$B$25,2,FALSE),"")</f>
        <v/>
      </c>
      <c r="D270" s="7"/>
      <c r="E270" s="6"/>
      <c r="F270" s="6" t="str">
        <f t="shared" si="14"/>
        <v/>
      </c>
      <c r="G270" s="6"/>
      <c r="H270" s="6"/>
      <c r="I270" s="6"/>
      <c r="J270" s="7"/>
      <c r="K270" s="5" t="str" cm="1">
        <f t="array" ref="K270">IF(OR(A270="",B270="",D270="",E270=""),"",A270&amp;"_"&amp;SUBSTITUTE(B270," ","-")&amp;"_"&amp;D270&amp;"_"&amp;SUBSTITUTE(SUBSTITUTE(E270," ",""),"€","Euro")&amp;"_"&amp;IF(F270="","Unknown",F270)&amp;IF(F270="Commemorative",IF(G270="","","_"&amp;SUBSTITUTE(SUBSTITUTE(SUBSTITUTE(G270," ","-"),"/","-"),CHAR(39),"")),"")&amp;IF(I270="Duplicate","_Dub"&amp;IF(SUMPRODUCT(($B$2:B270=B270)*($D$2:D270=D270)*($E$2:E270=E270)*($F$2:F270=F270)*($G$2:G270=G270)*($I$2:I270="Duplicate"))&lt;=1,"",SUMPRODUCT(($B$2:B270=B270)*($D$2:D270=D270)*($E$2:E270=E270)*($F$2:F270=F270)*($G$2:G270=G270)*($I$2:I270="Duplicate"))-1),"")&amp;".jpeg")</f>
        <v/>
      </c>
      <c r="L270" s="6"/>
      <c r="M270" s="5" t="str">
        <f>IFERROR(VLOOKUP(E270,Specifications!$A$2:$D$9,2,FALSE),"")</f>
        <v/>
      </c>
      <c r="N270" s="5" t="str">
        <f>IFERROR(VLOOKUP(E270,Specifications!$A$2:$D$9,3,FALSE),"")</f>
        <v/>
      </c>
      <c r="O270" s="5" t="str">
        <f>IFERROR(VLOOKUP(E270,Specifications!$A$2:$D$9,4,FALSE),"")</f>
        <v/>
      </c>
      <c r="P270" s="8" t="str">
        <f t="shared" si="15"/>
        <v/>
      </c>
      <c r="Q270" s="9"/>
    </row>
    <row r="271" spans="1:17" ht="15">
      <c r="A271" s="5" t="str">
        <f t="shared" si="13"/>
        <v/>
      </c>
      <c r="B271" s="6"/>
      <c r="C271" s="5" t="str">
        <f>IFERROR(VLOOKUP(B271,Lists!$A$2:$B$25,2,FALSE),"")</f>
        <v/>
      </c>
      <c r="D271" s="7"/>
      <c r="E271" s="6"/>
      <c r="F271" s="6" t="str">
        <f t="shared" si="14"/>
        <v/>
      </c>
      <c r="G271" s="6"/>
      <c r="H271" s="6"/>
      <c r="I271" s="6"/>
      <c r="J271" s="7"/>
      <c r="K271" s="5" t="str" cm="1">
        <f t="array" ref="K271">IF(OR(A271="",B271="",D271="",E271=""),"",A271&amp;"_"&amp;SUBSTITUTE(B271," ","-")&amp;"_"&amp;D271&amp;"_"&amp;SUBSTITUTE(SUBSTITUTE(E271," ",""),"€","Euro")&amp;"_"&amp;IF(F271="","Unknown",F271)&amp;IF(F271="Commemorative",IF(G271="","","_"&amp;SUBSTITUTE(SUBSTITUTE(SUBSTITUTE(G271," ","-"),"/","-"),CHAR(39),"")),"")&amp;IF(I271="Duplicate","_Dub"&amp;IF(SUMPRODUCT(($B$2:B271=B271)*($D$2:D271=D271)*($E$2:E271=E271)*($F$2:F271=F271)*($G$2:G271=G271)*($I$2:I271="Duplicate"))&lt;=1,"",SUMPRODUCT(($B$2:B271=B271)*($D$2:D271=D271)*($E$2:E271=E271)*($F$2:F271=F271)*($G$2:G271=G271)*($I$2:I271="Duplicate"))-1),"")&amp;".jpeg")</f>
        <v/>
      </c>
      <c r="L271" s="6"/>
      <c r="M271" s="5" t="str">
        <f>IFERROR(VLOOKUP(E271,Specifications!$A$2:$D$9,2,FALSE),"")</f>
        <v/>
      </c>
      <c r="N271" s="5" t="str">
        <f>IFERROR(VLOOKUP(E271,Specifications!$A$2:$D$9,3,FALSE),"")</f>
        <v/>
      </c>
      <c r="O271" s="5" t="str">
        <f>IFERROR(VLOOKUP(E271,Specifications!$A$2:$D$9,4,FALSE),"")</f>
        <v/>
      </c>
      <c r="P271" s="8" t="str">
        <f t="shared" si="15"/>
        <v/>
      </c>
      <c r="Q271" s="9"/>
    </row>
    <row r="272" spans="1:17" ht="15">
      <c r="A272" s="5" t="str">
        <f t="shared" si="13"/>
        <v/>
      </c>
      <c r="B272" s="6"/>
      <c r="C272" s="5" t="str">
        <f>IFERROR(VLOOKUP(B272,Lists!$A$2:$B$25,2,FALSE),"")</f>
        <v/>
      </c>
      <c r="D272" s="7"/>
      <c r="E272" s="6"/>
      <c r="F272" s="6" t="str">
        <f t="shared" si="14"/>
        <v/>
      </c>
      <c r="G272" s="6"/>
      <c r="H272" s="6"/>
      <c r="I272" s="6"/>
      <c r="J272" s="7"/>
      <c r="K272" s="5" t="str" cm="1">
        <f t="array" ref="K272">IF(OR(A272="",B272="",D272="",E272=""),"",A272&amp;"_"&amp;SUBSTITUTE(B272," ","-")&amp;"_"&amp;D272&amp;"_"&amp;SUBSTITUTE(SUBSTITUTE(E272," ",""),"€","Euro")&amp;"_"&amp;IF(F272="","Unknown",F272)&amp;IF(F272="Commemorative",IF(G272="","","_"&amp;SUBSTITUTE(SUBSTITUTE(SUBSTITUTE(G272," ","-"),"/","-"),CHAR(39),"")),"")&amp;IF(I272="Duplicate","_Dub"&amp;IF(SUMPRODUCT(($B$2:B272=B272)*($D$2:D272=D272)*($E$2:E272=E272)*($F$2:F272=F272)*($G$2:G272=G272)*($I$2:I272="Duplicate"))&lt;=1,"",SUMPRODUCT(($B$2:B272=B272)*($D$2:D272=D272)*($E$2:E272=E272)*($F$2:F272=F272)*($G$2:G272=G272)*($I$2:I272="Duplicate"))-1),"")&amp;".jpeg")</f>
        <v/>
      </c>
      <c r="L272" s="6"/>
      <c r="M272" s="5" t="str">
        <f>IFERROR(VLOOKUP(E272,Specifications!$A$2:$D$9,2,FALSE),"")</f>
        <v/>
      </c>
      <c r="N272" s="5" t="str">
        <f>IFERROR(VLOOKUP(E272,Specifications!$A$2:$D$9,3,FALSE),"")</f>
        <v/>
      </c>
      <c r="O272" s="5" t="str">
        <f>IFERROR(VLOOKUP(E272,Specifications!$A$2:$D$9,4,FALSE),"")</f>
        <v/>
      </c>
      <c r="P272" s="8" t="str">
        <f t="shared" si="15"/>
        <v/>
      </c>
      <c r="Q272" s="9"/>
    </row>
    <row r="273" spans="1:17" ht="15">
      <c r="A273" s="5" t="str">
        <f t="shared" si="13"/>
        <v/>
      </c>
      <c r="B273" s="6"/>
      <c r="C273" s="5" t="str">
        <f>IFERROR(VLOOKUP(B273,Lists!$A$2:$B$25,2,FALSE),"")</f>
        <v/>
      </c>
      <c r="D273" s="7"/>
      <c r="E273" s="6"/>
      <c r="F273" s="6" t="str">
        <f t="shared" si="14"/>
        <v/>
      </c>
      <c r="G273" s="6"/>
      <c r="H273" s="6"/>
      <c r="I273" s="6"/>
      <c r="J273" s="7"/>
      <c r="K273" s="5" t="str" cm="1">
        <f t="array" ref="K273">IF(OR(A273="",B273="",D273="",E273=""),"",A273&amp;"_"&amp;SUBSTITUTE(B273," ","-")&amp;"_"&amp;D273&amp;"_"&amp;SUBSTITUTE(SUBSTITUTE(E273," ",""),"€","Euro")&amp;"_"&amp;IF(F273="","Unknown",F273)&amp;IF(F273="Commemorative",IF(G273="","","_"&amp;SUBSTITUTE(SUBSTITUTE(SUBSTITUTE(G273," ","-"),"/","-"),CHAR(39),"")),"")&amp;IF(I273="Duplicate","_Dub"&amp;IF(SUMPRODUCT(($B$2:B273=B273)*($D$2:D273=D273)*($E$2:E273=E273)*($F$2:F273=F273)*($G$2:G273=G273)*($I$2:I273="Duplicate"))&lt;=1,"",SUMPRODUCT(($B$2:B273=B273)*($D$2:D273=D273)*($E$2:E273=E273)*($F$2:F273=F273)*($G$2:G273=G273)*($I$2:I273="Duplicate"))-1),"")&amp;".jpeg")</f>
        <v/>
      </c>
      <c r="L273" s="6"/>
      <c r="M273" s="5" t="str">
        <f>IFERROR(VLOOKUP(E273,Specifications!$A$2:$D$9,2,FALSE),"")</f>
        <v/>
      </c>
      <c r="N273" s="5" t="str">
        <f>IFERROR(VLOOKUP(E273,Specifications!$A$2:$D$9,3,FALSE),"")</f>
        <v/>
      </c>
      <c r="O273" s="5" t="str">
        <f>IFERROR(VLOOKUP(E273,Specifications!$A$2:$D$9,4,FALSE),"")</f>
        <v/>
      </c>
      <c r="P273" s="8" t="str">
        <f t="shared" si="15"/>
        <v/>
      </c>
      <c r="Q273" s="9"/>
    </row>
    <row r="274" spans="1:17" ht="15">
      <c r="A274" s="5" t="str">
        <f t="shared" si="13"/>
        <v/>
      </c>
      <c r="B274" s="6"/>
      <c r="C274" s="5" t="str">
        <f>IFERROR(VLOOKUP(B274,Lists!$A$2:$B$25,2,FALSE),"")</f>
        <v/>
      </c>
      <c r="D274" s="7"/>
      <c r="E274" s="6"/>
      <c r="F274" s="6" t="str">
        <f t="shared" si="14"/>
        <v/>
      </c>
      <c r="G274" s="6"/>
      <c r="H274" s="6"/>
      <c r="I274" s="6"/>
      <c r="J274" s="7"/>
      <c r="K274" s="5" t="str" cm="1">
        <f t="array" ref="K274">IF(OR(A274="",B274="",D274="",E274=""),"",A274&amp;"_"&amp;SUBSTITUTE(B274," ","-")&amp;"_"&amp;D274&amp;"_"&amp;SUBSTITUTE(SUBSTITUTE(E274," ",""),"€","Euro")&amp;"_"&amp;IF(F274="","Unknown",F274)&amp;IF(F274="Commemorative",IF(G274="","","_"&amp;SUBSTITUTE(SUBSTITUTE(SUBSTITUTE(G274," ","-"),"/","-"),CHAR(39),"")),"")&amp;IF(I274="Duplicate","_Dub"&amp;IF(SUMPRODUCT(($B$2:B274=B274)*($D$2:D274=D274)*($E$2:E274=E274)*($F$2:F274=F274)*($G$2:G274=G274)*($I$2:I274="Duplicate"))&lt;=1,"",SUMPRODUCT(($B$2:B274=B274)*($D$2:D274=D274)*($E$2:E274=E274)*($F$2:F274=F274)*($G$2:G274=G274)*($I$2:I274="Duplicate"))-1),"")&amp;".jpeg")</f>
        <v/>
      </c>
      <c r="L274" s="6"/>
      <c r="M274" s="5" t="str">
        <f>IFERROR(VLOOKUP(E274,Specifications!$A$2:$D$9,2,FALSE),"")</f>
        <v/>
      </c>
      <c r="N274" s="5" t="str">
        <f>IFERROR(VLOOKUP(E274,Specifications!$A$2:$D$9,3,FALSE),"")</f>
        <v/>
      </c>
      <c r="O274" s="5" t="str">
        <f>IFERROR(VLOOKUP(E274,Specifications!$A$2:$D$9,4,FALSE),"")</f>
        <v/>
      </c>
      <c r="P274" s="8" t="str">
        <f t="shared" si="15"/>
        <v/>
      </c>
      <c r="Q274" s="9"/>
    </row>
    <row r="275" spans="1:17" ht="15">
      <c r="A275" s="5" t="str">
        <f t="shared" si="13"/>
        <v/>
      </c>
      <c r="B275" s="6"/>
      <c r="C275" s="5" t="str">
        <f>IFERROR(VLOOKUP(B275,Lists!$A$2:$B$25,2,FALSE),"")</f>
        <v/>
      </c>
      <c r="D275" s="7"/>
      <c r="E275" s="6"/>
      <c r="F275" s="6" t="str">
        <f t="shared" si="14"/>
        <v/>
      </c>
      <c r="G275" s="6"/>
      <c r="H275" s="6"/>
      <c r="I275" s="6"/>
      <c r="J275" s="7"/>
      <c r="K275" s="5" t="str" cm="1">
        <f t="array" ref="K275">IF(OR(A275="",B275="",D275="",E275=""),"",A275&amp;"_"&amp;SUBSTITUTE(B275," ","-")&amp;"_"&amp;D275&amp;"_"&amp;SUBSTITUTE(SUBSTITUTE(E275," ",""),"€","Euro")&amp;"_"&amp;IF(F275="","Unknown",F275)&amp;IF(F275="Commemorative",IF(G275="","","_"&amp;SUBSTITUTE(SUBSTITUTE(SUBSTITUTE(G275," ","-"),"/","-"),CHAR(39),"")),"")&amp;IF(I275="Duplicate","_Dub"&amp;IF(SUMPRODUCT(($B$2:B275=B275)*($D$2:D275=D275)*($E$2:E275=E275)*($F$2:F275=F275)*($G$2:G275=G275)*($I$2:I275="Duplicate"))&lt;=1,"",SUMPRODUCT(($B$2:B275=B275)*($D$2:D275=D275)*($E$2:E275=E275)*($F$2:F275=F275)*($G$2:G275=G275)*($I$2:I275="Duplicate"))-1),"")&amp;".jpeg")</f>
        <v/>
      </c>
      <c r="L275" s="6"/>
      <c r="M275" s="5" t="str">
        <f>IFERROR(VLOOKUP(E275,Specifications!$A$2:$D$9,2,FALSE),"")</f>
        <v/>
      </c>
      <c r="N275" s="5" t="str">
        <f>IFERROR(VLOOKUP(E275,Specifications!$A$2:$D$9,3,FALSE),"")</f>
        <v/>
      </c>
      <c r="O275" s="5" t="str">
        <f>IFERROR(VLOOKUP(E275,Specifications!$A$2:$D$9,4,FALSE),"")</f>
        <v/>
      </c>
      <c r="P275" s="8" t="str">
        <f t="shared" si="15"/>
        <v/>
      </c>
      <c r="Q275" s="9"/>
    </row>
    <row r="276" spans="1:17" ht="15">
      <c r="A276" s="5" t="str">
        <f t="shared" si="13"/>
        <v/>
      </c>
      <c r="B276" s="6"/>
      <c r="C276" s="5" t="str">
        <f>IFERROR(VLOOKUP(B276,Lists!$A$2:$B$25,2,FALSE),"")</f>
        <v/>
      </c>
      <c r="D276" s="7"/>
      <c r="E276" s="6"/>
      <c r="F276" s="6" t="str">
        <f t="shared" si="14"/>
        <v/>
      </c>
      <c r="G276" s="6"/>
      <c r="H276" s="6"/>
      <c r="I276" s="6"/>
      <c r="J276" s="7"/>
      <c r="K276" s="5" t="str" cm="1">
        <f t="array" ref="K276">IF(OR(A276="",B276="",D276="",E276=""),"",A276&amp;"_"&amp;SUBSTITUTE(B276," ","-")&amp;"_"&amp;D276&amp;"_"&amp;SUBSTITUTE(SUBSTITUTE(E276," ",""),"€","Euro")&amp;"_"&amp;IF(F276="","Unknown",F276)&amp;IF(F276="Commemorative",IF(G276="","","_"&amp;SUBSTITUTE(SUBSTITUTE(SUBSTITUTE(G276," ","-"),"/","-"),CHAR(39),"")),"")&amp;IF(I276="Duplicate","_Dub"&amp;IF(SUMPRODUCT(($B$2:B276=B276)*($D$2:D276=D276)*($E$2:E276=E276)*($F$2:F276=F276)*($G$2:G276=G276)*($I$2:I276="Duplicate"))&lt;=1,"",SUMPRODUCT(($B$2:B276=B276)*($D$2:D276=D276)*($E$2:E276=E276)*($F$2:F276=F276)*($G$2:G276=G276)*($I$2:I276="Duplicate"))-1),"")&amp;".jpeg")</f>
        <v/>
      </c>
      <c r="L276" s="6"/>
      <c r="M276" s="5" t="str">
        <f>IFERROR(VLOOKUP(E276,Specifications!$A$2:$D$9,2,FALSE),"")</f>
        <v/>
      </c>
      <c r="N276" s="5" t="str">
        <f>IFERROR(VLOOKUP(E276,Specifications!$A$2:$D$9,3,FALSE),"")</f>
        <v/>
      </c>
      <c r="O276" s="5" t="str">
        <f>IFERROR(VLOOKUP(E276,Specifications!$A$2:$D$9,4,FALSE),"")</f>
        <v/>
      </c>
      <c r="P276" s="8" t="str">
        <f t="shared" si="15"/>
        <v/>
      </c>
      <c r="Q276" s="9"/>
    </row>
    <row r="277" spans="1:17" ht="15">
      <c r="A277" s="5" t="str">
        <f t="shared" si="13"/>
        <v/>
      </c>
      <c r="B277" s="6"/>
      <c r="C277" s="5" t="str">
        <f>IFERROR(VLOOKUP(B277,Lists!$A$2:$B$25,2,FALSE),"")</f>
        <v/>
      </c>
      <c r="D277" s="7"/>
      <c r="E277" s="6"/>
      <c r="F277" s="6" t="str">
        <f t="shared" si="14"/>
        <v/>
      </c>
      <c r="G277" s="6"/>
      <c r="H277" s="6"/>
      <c r="I277" s="6"/>
      <c r="J277" s="7"/>
      <c r="K277" s="5" t="str" cm="1">
        <f t="array" ref="K277">IF(OR(A277="",B277="",D277="",E277=""),"",A277&amp;"_"&amp;SUBSTITUTE(B277," ","-")&amp;"_"&amp;D277&amp;"_"&amp;SUBSTITUTE(SUBSTITUTE(E277," ",""),"€","Euro")&amp;"_"&amp;IF(F277="","Unknown",F277)&amp;IF(F277="Commemorative",IF(G277="","","_"&amp;SUBSTITUTE(SUBSTITUTE(SUBSTITUTE(G277," ","-"),"/","-"),CHAR(39),"")),"")&amp;IF(I277="Duplicate","_Dub"&amp;IF(SUMPRODUCT(($B$2:B277=B277)*($D$2:D277=D277)*($E$2:E277=E277)*($F$2:F277=F277)*($G$2:G277=G277)*($I$2:I277="Duplicate"))&lt;=1,"",SUMPRODUCT(($B$2:B277=B277)*($D$2:D277=D277)*($E$2:E277=E277)*($F$2:F277=F277)*($G$2:G277=G277)*($I$2:I277="Duplicate"))-1),"")&amp;".jpeg")</f>
        <v/>
      </c>
      <c r="L277" s="6"/>
      <c r="M277" s="5" t="str">
        <f>IFERROR(VLOOKUP(E277,Specifications!$A$2:$D$9,2,FALSE),"")</f>
        <v/>
      </c>
      <c r="N277" s="5" t="str">
        <f>IFERROR(VLOOKUP(E277,Specifications!$A$2:$D$9,3,FALSE),"")</f>
        <v/>
      </c>
      <c r="O277" s="5" t="str">
        <f>IFERROR(VLOOKUP(E277,Specifications!$A$2:$D$9,4,FALSE),"")</f>
        <v/>
      </c>
      <c r="P277" s="8" t="str">
        <f t="shared" si="15"/>
        <v/>
      </c>
      <c r="Q277" s="9"/>
    </row>
    <row r="278" spans="1:17" ht="15">
      <c r="A278" s="5" t="str">
        <f t="shared" si="13"/>
        <v/>
      </c>
      <c r="B278" s="6"/>
      <c r="C278" s="5" t="str">
        <f>IFERROR(VLOOKUP(B278,Lists!$A$2:$B$25,2,FALSE),"")</f>
        <v/>
      </c>
      <c r="D278" s="7"/>
      <c r="E278" s="6"/>
      <c r="F278" s="6" t="str">
        <f t="shared" si="14"/>
        <v/>
      </c>
      <c r="G278" s="6"/>
      <c r="H278" s="6"/>
      <c r="I278" s="6"/>
      <c r="J278" s="7"/>
      <c r="K278" s="5" t="str" cm="1">
        <f t="array" ref="K278">IF(OR(A278="",B278="",D278="",E278=""),"",A278&amp;"_"&amp;SUBSTITUTE(B278," ","-")&amp;"_"&amp;D278&amp;"_"&amp;SUBSTITUTE(SUBSTITUTE(E278," ",""),"€","Euro")&amp;"_"&amp;IF(F278="","Unknown",F278)&amp;IF(F278="Commemorative",IF(G278="","","_"&amp;SUBSTITUTE(SUBSTITUTE(SUBSTITUTE(G278," ","-"),"/","-"),CHAR(39),"")),"")&amp;IF(I278="Duplicate","_Dub"&amp;IF(SUMPRODUCT(($B$2:B278=B278)*($D$2:D278=D278)*($E$2:E278=E278)*($F$2:F278=F278)*($G$2:G278=G278)*($I$2:I278="Duplicate"))&lt;=1,"",SUMPRODUCT(($B$2:B278=B278)*($D$2:D278=D278)*($E$2:E278=E278)*($F$2:F278=F278)*($G$2:G278=G278)*($I$2:I278="Duplicate"))-1),"")&amp;".jpeg")</f>
        <v/>
      </c>
      <c r="L278" s="6"/>
      <c r="M278" s="5" t="str">
        <f>IFERROR(VLOOKUP(E278,Specifications!$A$2:$D$9,2,FALSE),"")</f>
        <v/>
      </c>
      <c r="N278" s="5" t="str">
        <f>IFERROR(VLOOKUP(E278,Specifications!$A$2:$D$9,3,FALSE),"")</f>
        <v/>
      </c>
      <c r="O278" s="5" t="str">
        <f>IFERROR(VLOOKUP(E278,Specifications!$A$2:$D$9,4,FALSE),"")</f>
        <v/>
      </c>
      <c r="P278" s="8" t="str">
        <f t="shared" si="15"/>
        <v/>
      </c>
      <c r="Q278" s="9"/>
    </row>
    <row r="279" spans="1:17" ht="15">
      <c r="A279" s="5" t="str">
        <f t="shared" si="13"/>
        <v/>
      </c>
      <c r="B279" s="6"/>
      <c r="C279" s="5" t="str">
        <f>IFERROR(VLOOKUP(B279,Lists!$A$2:$B$25,2,FALSE),"")</f>
        <v/>
      </c>
      <c r="D279" s="7"/>
      <c r="E279" s="6"/>
      <c r="F279" s="6" t="str">
        <f t="shared" si="14"/>
        <v/>
      </c>
      <c r="G279" s="6"/>
      <c r="H279" s="6"/>
      <c r="I279" s="6"/>
      <c r="J279" s="7"/>
      <c r="K279" s="5" t="str" cm="1">
        <f t="array" ref="K279">IF(OR(A279="",B279="",D279="",E279=""),"",A279&amp;"_"&amp;SUBSTITUTE(B279," ","-")&amp;"_"&amp;D279&amp;"_"&amp;SUBSTITUTE(SUBSTITUTE(E279," ",""),"€","Euro")&amp;"_"&amp;IF(F279="","Unknown",F279)&amp;IF(F279="Commemorative",IF(G279="","","_"&amp;SUBSTITUTE(SUBSTITUTE(SUBSTITUTE(G279," ","-"),"/","-"),CHAR(39),"")),"")&amp;IF(I279="Duplicate","_Dub"&amp;IF(SUMPRODUCT(($B$2:B279=B279)*($D$2:D279=D279)*($E$2:E279=E279)*($F$2:F279=F279)*($G$2:G279=G279)*($I$2:I279="Duplicate"))&lt;=1,"",SUMPRODUCT(($B$2:B279=B279)*($D$2:D279=D279)*($E$2:E279=E279)*($F$2:F279=F279)*($G$2:G279=G279)*($I$2:I279="Duplicate"))-1),"")&amp;".jpeg")</f>
        <v/>
      </c>
      <c r="L279" s="6"/>
      <c r="M279" s="5" t="str">
        <f>IFERROR(VLOOKUP(E279,Specifications!$A$2:$D$9,2,FALSE),"")</f>
        <v/>
      </c>
      <c r="N279" s="5" t="str">
        <f>IFERROR(VLOOKUP(E279,Specifications!$A$2:$D$9,3,FALSE),"")</f>
        <v/>
      </c>
      <c r="O279" s="5" t="str">
        <f>IFERROR(VLOOKUP(E279,Specifications!$A$2:$D$9,4,FALSE),"")</f>
        <v/>
      </c>
      <c r="P279" s="8" t="str">
        <f t="shared" si="15"/>
        <v/>
      </c>
      <c r="Q279" s="9"/>
    </row>
    <row r="280" spans="1:17" ht="15">
      <c r="A280" s="5" t="str">
        <f t="shared" si="13"/>
        <v/>
      </c>
      <c r="B280" s="6"/>
      <c r="C280" s="5" t="str">
        <f>IFERROR(VLOOKUP(B280,Lists!$A$2:$B$25,2,FALSE),"")</f>
        <v/>
      </c>
      <c r="D280" s="7"/>
      <c r="E280" s="6"/>
      <c r="F280" s="6" t="str">
        <f t="shared" si="14"/>
        <v/>
      </c>
      <c r="G280" s="6"/>
      <c r="H280" s="6"/>
      <c r="I280" s="6"/>
      <c r="J280" s="7"/>
      <c r="K280" s="5" t="str" cm="1">
        <f t="array" ref="K280">IF(OR(A280="",B280="",D280="",E280=""),"",A280&amp;"_"&amp;SUBSTITUTE(B280," ","-")&amp;"_"&amp;D280&amp;"_"&amp;SUBSTITUTE(SUBSTITUTE(E280," ",""),"€","Euro")&amp;"_"&amp;IF(F280="","Unknown",F280)&amp;IF(F280="Commemorative",IF(G280="","","_"&amp;SUBSTITUTE(SUBSTITUTE(SUBSTITUTE(G280," ","-"),"/","-"),CHAR(39),"")),"")&amp;IF(I280="Duplicate","_Dub"&amp;IF(SUMPRODUCT(($B$2:B280=B280)*($D$2:D280=D280)*($E$2:E280=E280)*($F$2:F280=F280)*($G$2:G280=G280)*($I$2:I280="Duplicate"))&lt;=1,"",SUMPRODUCT(($B$2:B280=B280)*($D$2:D280=D280)*($E$2:E280=E280)*($F$2:F280=F280)*($G$2:G280=G280)*($I$2:I280="Duplicate"))-1),"")&amp;".jpeg")</f>
        <v/>
      </c>
      <c r="L280" s="6"/>
      <c r="M280" s="5" t="str">
        <f>IFERROR(VLOOKUP(E280,Specifications!$A$2:$D$9,2,FALSE),"")</f>
        <v/>
      </c>
      <c r="N280" s="5" t="str">
        <f>IFERROR(VLOOKUP(E280,Specifications!$A$2:$D$9,3,FALSE),"")</f>
        <v/>
      </c>
      <c r="O280" s="5" t="str">
        <f>IFERROR(VLOOKUP(E280,Specifications!$A$2:$D$9,4,FALSE),"")</f>
        <v/>
      </c>
      <c r="P280" s="8" t="str">
        <f t="shared" si="15"/>
        <v/>
      </c>
      <c r="Q280" s="9"/>
    </row>
    <row r="281" spans="1:17" ht="15">
      <c r="A281" s="5" t="str">
        <f t="shared" si="13"/>
        <v/>
      </c>
      <c r="B281" s="6"/>
      <c r="C281" s="5" t="str">
        <f>IFERROR(VLOOKUP(B281,Lists!$A$2:$B$25,2,FALSE),"")</f>
        <v/>
      </c>
      <c r="D281" s="7"/>
      <c r="E281" s="6"/>
      <c r="F281" s="6" t="str">
        <f t="shared" si="14"/>
        <v/>
      </c>
      <c r="G281" s="6"/>
      <c r="H281" s="6"/>
      <c r="I281" s="6"/>
      <c r="J281" s="7"/>
      <c r="K281" s="5" t="str" cm="1">
        <f t="array" ref="K281">IF(OR(A281="",B281="",D281="",E281=""),"",A281&amp;"_"&amp;SUBSTITUTE(B281," ","-")&amp;"_"&amp;D281&amp;"_"&amp;SUBSTITUTE(SUBSTITUTE(E281," ",""),"€","Euro")&amp;"_"&amp;IF(F281="","Unknown",F281)&amp;IF(F281="Commemorative",IF(G281="","","_"&amp;SUBSTITUTE(SUBSTITUTE(SUBSTITUTE(G281," ","-"),"/","-"),CHAR(39),"")),"")&amp;IF(I281="Duplicate","_Dub"&amp;IF(SUMPRODUCT(($B$2:B281=B281)*($D$2:D281=D281)*($E$2:E281=E281)*($F$2:F281=F281)*($G$2:G281=G281)*($I$2:I281="Duplicate"))&lt;=1,"",SUMPRODUCT(($B$2:B281=B281)*($D$2:D281=D281)*($E$2:E281=E281)*($F$2:F281=F281)*($G$2:G281=G281)*($I$2:I281="Duplicate"))-1),"")&amp;".jpeg")</f>
        <v/>
      </c>
      <c r="L281" s="6"/>
      <c r="M281" s="5" t="str">
        <f>IFERROR(VLOOKUP(E281,Specifications!$A$2:$D$9,2,FALSE),"")</f>
        <v/>
      </c>
      <c r="N281" s="5" t="str">
        <f>IFERROR(VLOOKUP(E281,Specifications!$A$2:$D$9,3,FALSE),"")</f>
        <v/>
      </c>
      <c r="O281" s="5" t="str">
        <f>IFERROR(VLOOKUP(E281,Specifications!$A$2:$D$9,4,FALSE),"")</f>
        <v/>
      </c>
      <c r="P281" s="8" t="str">
        <f t="shared" si="15"/>
        <v/>
      </c>
      <c r="Q281" s="9"/>
    </row>
    <row r="282" spans="1:17" ht="15">
      <c r="A282" s="5" t="str">
        <f t="shared" si="13"/>
        <v/>
      </c>
      <c r="B282" s="6"/>
      <c r="C282" s="5" t="str">
        <f>IFERROR(VLOOKUP(B282,Lists!$A$2:$B$25,2,FALSE),"")</f>
        <v/>
      </c>
      <c r="D282" s="7"/>
      <c r="E282" s="6"/>
      <c r="F282" s="6" t="str">
        <f t="shared" si="14"/>
        <v/>
      </c>
      <c r="G282" s="6"/>
      <c r="H282" s="6"/>
      <c r="I282" s="6"/>
      <c r="J282" s="7"/>
      <c r="K282" s="5" t="str" cm="1">
        <f t="array" ref="K282">IF(OR(A282="",B282="",D282="",E282=""),"",A282&amp;"_"&amp;SUBSTITUTE(B282," ","-")&amp;"_"&amp;D282&amp;"_"&amp;SUBSTITUTE(SUBSTITUTE(E282," ",""),"€","Euro")&amp;"_"&amp;IF(F282="","Unknown",F282)&amp;IF(F282="Commemorative",IF(G282="","","_"&amp;SUBSTITUTE(SUBSTITUTE(SUBSTITUTE(G282," ","-"),"/","-"),CHAR(39),"")),"")&amp;IF(I282="Duplicate","_Dub"&amp;IF(SUMPRODUCT(($B$2:B282=B282)*($D$2:D282=D282)*($E$2:E282=E282)*($F$2:F282=F282)*($G$2:G282=G282)*($I$2:I282="Duplicate"))&lt;=1,"",SUMPRODUCT(($B$2:B282=B282)*($D$2:D282=D282)*($E$2:E282=E282)*($F$2:F282=F282)*($G$2:G282=G282)*($I$2:I282="Duplicate"))-1),"")&amp;".jpeg")</f>
        <v/>
      </c>
      <c r="L282" s="6"/>
      <c r="M282" s="5" t="str">
        <f>IFERROR(VLOOKUP(E282,Specifications!$A$2:$D$9,2,FALSE),"")</f>
        <v/>
      </c>
      <c r="N282" s="5" t="str">
        <f>IFERROR(VLOOKUP(E282,Specifications!$A$2:$D$9,3,FALSE),"")</f>
        <v/>
      </c>
      <c r="O282" s="5" t="str">
        <f>IFERROR(VLOOKUP(E282,Specifications!$A$2:$D$9,4,FALSE),"")</f>
        <v/>
      </c>
      <c r="P282" s="8" t="str">
        <f t="shared" si="15"/>
        <v/>
      </c>
      <c r="Q282" s="9"/>
    </row>
    <row r="283" spans="1:17" ht="15">
      <c r="A283" s="5" t="str">
        <f t="shared" si="13"/>
        <v/>
      </c>
      <c r="B283" s="6"/>
      <c r="C283" s="5" t="str">
        <f>IFERROR(VLOOKUP(B283,Lists!$A$2:$B$25,2,FALSE),"")</f>
        <v/>
      </c>
      <c r="D283" s="7"/>
      <c r="E283" s="6"/>
      <c r="F283" s="6" t="str">
        <f t="shared" si="14"/>
        <v/>
      </c>
      <c r="G283" s="6"/>
      <c r="H283" s="6"/>
      <c r="I283" s="6"/>
      <c r="J283" s="7"/>
      <c r="K283" s="5" t="str" cm="1">
        <f t="array" ref="K283">IF(OR(A283="",B283="",D283="",E283=""),"",A283&amp;"_"&amp;SUBSTITUTE(B283," ","-")&amp;"_"&amp;D283&amp;"_"&amp;SUBSTITUTE(SUBSTITUTE(E283," ",""),"€","Euro")&amp;"_"&amp;IF(F283="","Unknown",F283)&amp;IF(F283="Commemorative",IF(G283="","","_"&amp;SUBSTITUTE(SUBSTITUTE(SUBSTITUTE(G283," ","-"),"/","-"),CHAR(39),"")),"")&amp;IF(I283="Duplicate","_Dub"&amp;IF(SUMPRODUCT(($B$2:B283=B283)*($D$2:D283=D283)*($E$2:E283=E283)*($F$2:F283=F283)*($G$2:G283=G283)*($I$2:I283="Duplicate"))&lt;=1,"",SUMPRODUCT(($B$2:B283=B283)*($D$2:D283=D283)*($E$2:E283=E283)*($F$2:F283=F283)*($G$2:G283=G283)*($I$2:I283="Duplicate"))-1),"")&amp;".jpeg")</f>
        <v/>
      </c>
      <c r="L283" s="6"/>
      <c r="M283" s="5" t="str">
        <f>IFERROR(VLOOKUP(E283,Specifications!$A$2:$D$9,2,FALSE),"")</f>
        <v/>
      </c>
      <c r="N283" s="5" t="str">
        <f>IFERROR(VLOOKUP(E283,Specifications!$A$2:$D$9,3,FALSE),"")</f>
        <v/>
      </c>
      <c r="O283" s="5" t="str">
        <f>IFERROR(VLOOKUP(E283,Specifications!$A$2:$D$9,4,FALSE),"")</f>
        <v/>
      </c>
      <c r="P283" s="8" t="str">
        <f t="shared" si="15"/>
        <v/>
      </c>
      <c r="Q283" s="9"/>
    </row>
    <row r="284" spans="1:17" ht="15">
      <c r="A284" s="5" t="str">
        <f t="shared" si="13"/>
        <v/>
      </c>
      <c r="B284" s="6"/>
      <c r="C284" s="5" t="str">
        <f>IFERROR(VLOOKUP(B284,Lists!$A$2:$B$25,2,FALSE),"")</f>
        <v/>
      </c>
      <c r="D284" s="7"/>
      <c r="E284" s="6"/>
      <c r="F284" s="6" t="str">
        <f t="shared" si="14"/>
        <v/>
      </c>
      <c r="G284" s="6"/>
      <c r="H284" s="6"/>
      <c r="I284" s="6"/>
      <c r="J284" s="7"/>
      <c r="K284" s="5" t="str" cm="1">
        <f t="array" ref="K284">IF(OR(A284="",B284="",D284="",E284=""),"",A284&amp;"_"&amp;SUBSTITUTE(B284," ","-")&amp;"_"&amp;D284&amp;"_"&amp;SUBSTITUTE(SUBSTITUTE(E284," ",""),"€","Euro")&amp;"_"&amp;IF(F284="","Unknown",F284)&amp;IF(F284="Commemorative",IF(G284="","","_"&amp;SUBSTITUTE(SUBSTITUTE(SUBSTITUTE(G284," ","-"),"/","-"),CHAR(39),"")),"")&amp;IF(I284="Duplicate","_Dub"&amp;IF(SUMPRODUCT(($B$2:B284=B284)*($D$2:D284=D284)*($E$2:E284=E284)*($F$2:F284=F284)*($G$2:G284=G284)*($I$2:I284="Duplicate"))&lt;=1,"",SUMPRODUCT(($B$2:B284=B284)*($D$2:D284=D284)*($E$2:E284=E284)*($F$2:F284=F284)*($G$2:G284=G284)*($I$2:I284="Duplicate"))-1),"")&amp;".jpeg")</f>
        <v/>
      </c>
      <c r="L284" s="6"/>
      <c r="M284" s="5" t="str">
        <f>IFERROR(VLOOKUP(E284,Specifications!$A$2:$D$9,2,FALSE),"")</f>
        <v/>
      </c>
      <c r="N284" s="5" t="str">
        <f>IFERROR(VLOOKUP(E284,Specifications!$A$2:$D$9,3,FALSE),"")</f>
        <v/>
      </c>
      <c r="O284" s="5" t="str">
        <f>IFERROR(VLOOKUP(E284,Specifications!$A$2:$D$9,4,FALSE),"")</f>
        <v/>
      </c>
      <c r="P284" s="8" t="str">
        <f t="shared" si="15"/>
        <v/>
      </c>
      <c r="Q284" s="9"/>
    </row>
    <row r="285" spans="1:17" ht="15">
      <c r="A285" s="5" t="str">
        <f t="shared" si="13"/>
        <v/>
      </c>
      <c r="B285" s="6"/>
      <c r="C285" s="5" t="str">
        <f>IFERROR(VLOOKUP(B285,Lists!$A$2:$B$25,2,FALSE),"")</f>
        <v/>
      </c>
      <c r="D285" s="7"/>
      <c r="E285" s="6"/>
      <c r="F285" s="6" t="str">
        <f t="shared" si="14"/>
        <v/>
      </c>
      <c r="G285" s="6"/>
      <c r="H285" s="6"/>
      <c r="I285" s="6"/>
      <c r="J285" s="7"/>
      <c r="K285" s="5" t="str" cm="1">
        <f t="array" ref="K285">IF(OR(A285="",B285="",D285="",E285=""),"",A285&amp;"_"&amp;SUBSTITUTE(B285," ","-")&amp;"_"&amp;D285&amp;"_"&amp;SUBSTITUTE(SUBSTITUTE(E285," ",""),"€","Euro")&amp;"_"&amp;IF(F285="","Unknown",F285)&amp;IF(F285="Commemorative",IF(G285="","","_"&amp;SUBSTITUTE(SUBSTITUTE(SUBSTITUTE(G285," ","-"),"/","-"),CHAR(39),"")),"")&amp;IF(I285="Duplicate","_Dub"&amp;IF(SUMPRODUCT(($B$2:B285=B285)*($D$2:D285=D285)*($E$2:E285=E285)*($F$2:F285=F285)*($G$2:G285=G285)*($I$2:I285="Duplicate"))&lt;=1,"",SUMPRODUCT(($B$2:B285=B285)*($D$2:D285=D285)*($E$2:E285=E285)*($F$2:F285=F285)*($G$2:G285=G285)*($I$2:I285="Duplicate"))-1),"")&amp;".jpeg")</f>
        <v/>
      </c>
      <c r="L285" s="6"/>
      <c r="M285" s="5" t="str">
        <f>IFERROR(VLOOKUP(E285,Specifications!$A$2:$D$9,2,FALSE),"")</f>
        <v/>
      </c>
      <c r="N285" s="5" t="str">
        <f>IFERROR(VLOOKUP(E285,Specifications!$A$2:$D$9,3,FALSE),"")</f>
        <v/>
      </c>
      <c r="O285" s="5" t="str">
        <f>IFERROR(VLOOKUP(E285,Specifications!$A$2:$D$9,4,FALSE),"")</f>
        <v/>
      </c>
      <c r="P285" s="8" t="str">
        <f t="shared" si="15"/>
        <v/>
      </c>
      <c r="Q285" s="9"/>
    </row>
    <row r="286" spans="1:17" ht="15">
      <c r="A286" s="5" t="str">
        <f t="shared" si="13"/>
        <v/>
      </c>
      <c r="B286" s="6"/>
      <c r="C286" s="5" t="str">
        <f>IFERROR(VLOOKUP(B286,Lists!$A$2:$B$25,2,FALSE),"")</f>
        <v/>
      </c>
      <c r="D286" s="7"/>
      <c r="E286" s="6"/>
      <c r="F286" s="6" t="str">
        <f t="shared" si="14"/>
        <v/>
      </c>
      <c r="G286" s="6"/>
      <c r="H286" s="6"/>
      <c r="I286" s="6"/>
      <c r="J286" s="7"/>
      <c r="K286" s="5" t="str" cm="1">
        <f t="array" ref="K286">IF(OR(A286="",B286="",D286="",E286=""),"",A286&amp;"_"&amp;SUBSTITUTE(B286," ","-")&amp;"_"&amp;D286&amp;"_"&amp;SUBSTITUTE(SUBSTITUTE(E286," ",""),"€","Euro")&amp;"_"&amp;IF(F286="","Unknown",F286)&amp;IF(F286="Commemorative",IF(G286="","","_"&amp;SUBSTITUTE(SUBSTITUTE(SUBSTITUTE(G286," ","-"),"/","-"),CHAR(39),"")),"")&amp;IF(I286="Duplicate","_Dub"&amp;IF(SUMPRODUCT(($B$2:B286=B286)*($D$2:D286=D286)*($E$2:E286=E286)*($F$2:F286=F286)*($G$2:G286=G286)*($I$2:I286="Duplicate"))&lt;=1,"",SUMPRODUCT(($B$2:B286=B286)*($D$2:D286=D286)*($E$2:E286=E286)*($F$2:F286=F286)*($G$2:G286=G286)*($I$2:I286="Duplicate"))-1),"")&amp;".jpeg")</f>
        <v/>
      </c>
      <c r="L286" s="6"/>
      <c r="M286" s="5" t="str">
        <f>IFERROR(VLOOKUP(E286,Specifications!$A$2:$D$9,2,FALSE),"")</f>
        <v/>
      </c>
      <c r="N286" s="5" t="str">
        <f>IFERROR(VLOOKUP(E286,Specifications!$A$2:$D$9,3,FALSE),"")</f>
        <v/>
      </c>
      <c r="O286" s="5" t="str">
        <f>IFERROR(VLOOKUP(E286,Specifications!$A$2:$D$9,4,FALSE),"")</f>
        <v/>
      </c>
      <c r="P286" s="8" t="str">
        <f t="shared" si="15"/>
        <v/>
      </c>
      <c r="Q286" s="9"/>
    </row>
    <row r="287" spans="1:17" ht="15">
      <c r="A287" s="5" t="str">
        <f t="shared" si="13"/>
        <v/>
      </c>
      <c r="B287" s="6"/>
      <c r="C287" s="5" t="str">
        <f>IFERROR(VLOOKUP(B287,Lists!$A$2:$B$25,2,FALSE),"")</f>
        <v/>
      </c>
      <c r="D287" s="7"/>
      <c r="E287" s="6"/>
      <c r="F287" s="6" t="str">
        <f t="shared" si="14"/>
        <v/>
      </c>
      <c r="G287" s="6"/>
      <c r="H287" s="6"/>
      <c r="I287" s="6"/>
      <c r="J287" s="7"/>
      <c r="K287" s="5" t="str" cm="1">
        <f t="array" ref="K287">IF(OR(A287="",B287="",D287="",E287=""),"",A287&amp;"_"&amp;SUBSTITUTE(B287," ","-")&amp;"_"&amp;D287&amp;"_"&amp;SUBSTITUTE(SUBSTITUTE(E287," ",""),"€","Euro")&amp;"_"&amp;IF(F287="","Unknown",F287)&amp;IF(F287="Commemorative",IF(G287="","","_"&amp;SUBSTITUTE(SUBSTITUTE(SUBSTITUTE(G287," ","-"),"/","-"),CHAR(39),"")),"")&amp;IF(I287="Duplicate","_Dub"&amp;IF(SUMPRODUCT(($B$2:B287=B287)*($D$2:D287=D287)*($E$2:E287=E287)*($F$2:F287=F287)*($G$2:G287=G287)*($I$2:I287="Duplicate"))&lt;=1,"",SUMPRODUCT(($B$2:B287=B287)*($D$2:D287=D287)*($E$2:E287=E287)*($F$2:F287=F287)*($G$2:G287=G287)*($I$2:I287="Duplicate"))-1),"")&amp;".jpeg")</f>
        <v/>
      </c>
      <c r="L287" s="6"/>
      <c r="M287" s="5" t="str">
        <f>IFERROR(VLOOKUP(E287,Specifications!$A$2:$D$9,2,FALSE),"")</f>
        <v/>
      </c>
      <c r="N287" s="5" t="str">
        <f>IFERROR(VLOOKUP(E287,Specifications!$A$2:$D$9,3,FALSE),"")</f>
        <v/>
      </c>
      <c r="O287" s="5" t="str">
        <f>IFERROR(VLOOKUP(E287,Specifications!$A$2:$D$9,4,FALSE),"")</f>
        <v/>
      </c>
      <c r="P287" s="8" t="str">
        <f t="shared" si="15"/>
        <v/>
      </c>
      <c r="Q287" s="9"/>
    </row>
    <row r="288" spans="1:17" ht="15">
      <c r="A288" s="5" t="str">
        <f t="shared" si="13"/>
        <v/>
      </c>
      <c r="B288" s="6"/>
      <c r="C288" s="5" t="str">
        <f>IFERROR(VLOOKUP(B288,Lists!$A$2:$B$25,2,FALSE),"")</f>
        <v/>
      </c>
      <c r="D288" s="7"/>
      <c r="E288" s="6"/>
      <c r="F288" s="6" t="str">
        <f t="shared" si="14"/>
        <v/>
      </c>
      <c r="G288" s="6"/>
      <c r="H288" s="6"/>
      <c r="I288" s="6"/>
      <c r="J288" s="7"/>
      <c r="K288" s="5" t="str" cm="1">
        <f t="array" ref="K288">IF(OR(A288="",B288="",D288="",E288=""),"",A288&amp;"_"&amp;SUBSTITUTE(B288," ","-")&amp;"_"&amp;D288&amp;"_"&amp;SUBSTITUTE(SUBSTITUTE(E288," ",""),"€","Euro")&amp;"_"&amp;IF(F288="","Unknown",F288)&amp;IF(F288="Commemorative",IF(G288="","","_"&amp;SUBSTITUTE(SUBSTITUTE(SUBSTITUTE(G288," ","-"),"/","-"),CHAR(39),"")),"")&amp;IF(I288="Duplicate","_Dub"&amp;IF(SUMPRODUCT(($B$2:B288=B288)*($D$2:D288=D288)*($E$2:E288=E288)*($F$2:F288=F288)*($G$2:G288=G288)*($I$2:I288="Duplicate"))&lt;=1,"",SUMPRODUCT(($B$2:B288=B288)*($D$2:D288=D288)*($E$2:E288=E288)*($F$2:F288=F288)*($G$2:G288=G288)*($I$2:I288="Duplicate"))-1),"")&amp;".jpeg")</f>
        <v/>
      </c>
      <c r="L288" s="6"/>
      <c r="M288" s="5" t="str">
        <f>IFERROR(VLOOKUP(E288,Specifications!$A$2:$D$9,2,FALSE),"")</f>
        <v/>
      </c>
      <c r="N288" s="5" t="str">
        <f>IFERROR(VLOOKUP(E288,Specifications!$A$2:$D$9,3,FALSE),"")</f>
        <v/>
      </c>
      <c r="O288" s="5" t="str">
        <f>IFERROR(VLOOKUP(E288,Specifications!$A$2:$D$9,4,FALSE),"")</f>
        <v/>
      </c>
      <c r="P288" s="8" t="str">
        <f t="shared" si="15"/>
        <v/>
      </c>
      <c r="Q288" s="9"/>
    </row>
    <row r="289" spans="1:17" ht="15">
      <c r="A289" s="5" t="str">
        <f t="shared" si="13"/>
        <v/>
      </c>
      <c r="B289" s="6"/>
      <c r="C289" s="5" t="str">
        <f>IFERROR(VLOOKUP(B289,Lists!$A$2:$B$25,2,FALSE),"")</f>
        <v/>
      </c>
      <c r="D289" s="7"/>
      <c r="E289" s="6"/>
      <c r="F289" s="6" t="str">
        <f t="shared" si="14"/>
        <v/>
      </c>
      <c r="G289" s="6"/>
      <c r="H289" s="6"/>
      <c r="I289" s="6"/>
      <c r="J289" s="7"/>
      <c r="K289" s="5" t="str" cm="1">
        <f t="array" ref="K289">IF(OR(A289="",B289="",D289="",E289=""),"",A289&amp;"_"&amp;SUBSTITUTE(B289," ","-")&amp;"_"&amp;D289&amp;"_"&amp;SUBSTITUTE(SUBSTITUTE(E289," ",""),"€","Euro")&amp;"_"&amp;IF(F289="","Unknown",F289)&amp;IF(F289="Commemorative",IF(G289="","","_"&amp;SUBSTITUTE(SUBSTITUTE(SUBSTITUTE(G289," ","-"),"/","-"),CHAR(39),"")),"")&amp;IF(I289="Duplicate","_Dub"&amp;IF(SUMPRODUCT(($B$2:B289=B289)*($D$2:D289=D289)*($E$2:E289=E289)*($F$2:F289=F289)*($G$2:G289=G289)*($I$2:I289="Duplicate"))&lt;=1,"",SUMPRODUCT(($B$2:B289=B289)*($D$2:D289=D289)*($E$2:E289=E289)*($F$2:F289=F289)*($G$2:G289=G289)*($I$2:I289="Duplicate"))-1),"")&amp;".jpeg")</f>
        <v/>
      </c>
      <c r="L289" s="6"/>
      <c r="M289" s="5" t="str">
        <f>IFERROR(VLOOKUP(E289,Specifications!$A$2:$D$9,2,FALSE),"")</f>
        <v/>
      </c>
      <c r="N289" s="5" t="str">
        <f>IFERROR(VLOOKUP(E289,Specifications!$A$2:$D$9,3,FALSE),"")</f>
        <v/>
      </c>
      <c r="O289" s="5" t="str">
        <f>IFERROR(VLOOKUP(E289,Specifications!$A$2:$D$9,4,FALSE),"")</f>
        <v/>
      </c>
      <c r="P289" s="8" t="str">
        <f t="shared" si="15"/>
        <v/>
      </c>
      <c r="Q289" s="9"/>
    </row>
    <row r="290" spans="1:17" ht="15">
      <c r="A290" s="5" t="str">
        <f t="shared" si="13"/>
        <v/>
      </c>
      <c r="B290" s="6"/>
      <c r="C290" s="5" t="str">
        <f>IFERROR(VLOOKUP(B290,Lists!$A$2:$B$25,2,FALSE),"")</f>
        <v/>
      </c>
      <c r="D290" s="7"/>
      <c r="E290" s="6"/>
      <c r="F290" s="6" t="str">
        <f t="shared" si="14"/>
        <v/>
      </c>
      <c r="G290" s="6"/>
      <c r="H290" s="6"/>
      <c r="I290" s="6"/>
      <c r="J290" s="7"/>
      <c r="K290" s="5" t="str" cm="1">
        <f t="array" ref="K290">IF(OR(A290="",B290="",D290="",E290=""),"",A290&amp;"_"&amp;SUBSTITUTE(B290," ","-")&amp;"_"&amp;D290&amp;"_"&amp;SUBSTITUTE(SUBSTITUTE(E290," ",""),"€","Euro")&amp;"_"&amp;IF(F290="","Unknown",F290)&amp;IF(F290="Commemorative",IF(G290="","","_"&amp;SUBSTITUTE(SUBSTITUTE(SUBSTITUTE(G290," ","-"),"/","-"),CHAR(39),"")),"")&amp;IF(I290="Duplicate","_Dub"&amp;IF(SUMPRODUCT(($B$2:B290=B290)*($D$2:D290=D290)*($E$2:E290=E290)*($F$2:F290=F290)*($G$2:G290=G290)*($I$2:I290="Duplicate"))&lt;=1,"",SUMPRODUCT(($B$2:B290=B290)*($D$2:D290=D290)*($E$2:E290=E290)*($F$2:F290=F290)*($G$2:G290=G290)*($I$2:I290="Duplicate"))-1),"")&amp;".jpeg")</f>
        <v/>
      </c>
      <c r="L290" s="6"/>
      <c r="M290" s="5" t="str">
        <f>IFERROR(VLOOKUP(E290,Specifications!$A$2:$D$9,2,FALSE),"")</f>
        <v/>
      </c>
      <c r="N290" s="5" t="str">
        <f>IFERROR(VLOOKUP(E290,Specifications!$A$2:$D$9,3,FALSE),"")</f>
        <v/>
      </c>
      <c r="O290" s="5" t="str">
        <f>IFERROR(VLOOKUP(E290,Specifications!$A$2:$D$9,4,FALSE),"")</f>
        <v/>
      </c>
      <c r="P290" s="8" t="str">
        <f t="shared" si="15"/>
        <v/>
      </c>
      <c r="Q290" s="9"/>
    </row>
    <row r="291" spans="1:17" ht="15">
      <c r="A291" s="5" t="str">
        <f t="shared" si="13"/>
        <v/>
      </c>
      <c r="B291" s="6"/>
      <c r="C291" s="5" t="str">
        <f>IFERROR(VLOOKUP(B291,Lists!$A$2:$B$25,2,FALSE),"")</f>
        <v/>
      </c>
      <c r="D291" s="7"/>
      <c r="E291" s="6"/>
      <c r="F291" s="6" t="str">
        <f t="shared" si="14"/>
        <v/>
      </c>
      <c r="G291" s="6"/>
      <c r="H291" s="6"/>
      <c r="I291" s="6"/>
      <c r="J291" s="7"/>
      <c r="K291" s="5" t="str" cm="1">
        <f t="array" ref="K291">IF(OR(A291="",B291="",D291="",E291=""),"",A291&amp;"_"&amp;SUBSTITUTE(B291," ","-")&amp;"_"&amp;D291&amp;"_"&amp;SUBSTITUTE(SUBSTITUTE(E291," ",""),"€","Euro")&amp;"_"&amp;IF(F291="","Unknown",F291)&amp;IF(F291="Commemorative",IF(G291="","","_"&amp;SUBSTITUTE(SUBSTITUTE(SUBSTITUTE(G291," ","-"),"/","-"),CHAR(39),"")),"")&amp;IF(I291="Duplicate","_Dub"&amp;IF(SUMPRODUCT(($B$2:B291=B291)*($D$2:D291=D291)*($E$2:E291=E291)*($F$2:F291=F291)*($G$2:G291=G291)*($I$2:I291="Duplicate"))&lt;=1,"",SUMPRODUCT(($B$2:B291=B291)*($D$2:D291=D291)*($E$2:E291=E291)*($F$2:F291=F291)*($G$2:G291=G291)*($I$2:I291="Duplicate"))-1),"")&amp;".jpeg")</f>
        <v/>
      </c>
      <c r="L291" s="6"/>
      <c r="M291" s="5" t="str">
        <f>IFERROR(VLOOKUP(E291,Specifications!$A$2:$D$9,2,FALSE),"")</f>
        <v/>
      </c>
      <c r="N291" s="5" t="str">
        <f>IFERROR(VLOOKUP(E291,Specifications!$A$2:$D$9,3,FALSE),"")</f>
        <v/>
      </c>
      <c r="O291" s="5" t="str">
        <f>IFERROR(VLOOKUP(E291,Specifications!$A$2:$D$9,4,FALSE),"")</f>
        <v/>
      </c>
      <c r="P291" s="8" t="str">
        <f t="shared" si="15"/>
        <v/>
      </c>
      <c r="Q291" s="9"/>
    </row>
    <row r="292" spans="1:17" ht="15">
      <c r="A292" s="5" t="str">
        <f t="shared" si="13"/>
        <v/>
      </c>
      <c r="B292" s="6"/>
      <c r="C292" s="5" t="str">
        <f>IFERROR(VLOOKUP(B292,Lists!$A$2:$B$25,2,FALSE),"")</f>
        <v/>
      </c>
      <c r="D292" s="7"/>
      <c r="E292" s="6"/>
      <c r="F292" s="6" t="str">
        <f t="shared" si="14"/>
        <v/>
      </c>
      <c r="G292" s="6"/>
      <c r="H292" s="6"/>
      <c r="I292" s="6"/>
      <c r="J292" s="7"/>
      <c r="K292" s="5" t="str" cm="1">
        <f t="array" ref="K292">IF(OR(A292="",B292="",D292="",E292=""),"",A292&amp;"_"&amp;SUBSTITUTE(B292," ","-")&amp;"_"&amp;D292&amp;"_"&amp;SUBSTITUTE(SUBSTITUTE(E292," ",""),"€","Euro")&amp;"_"&amp;IF(F292="","Unknown",F292)&amp;IF(F292="Commemorative",IF(G292="","","_"&amp;SUBSTITUTE(SUBSTITUTE(SUBSTITUTE(G292," ","-"),"/","-"),CHAR(39),"")),"")&amp;IF(I292="Duplicate","_Dub"&amp;IF(SUMPRODUCT(($B$2:B292=B292)*($D$2:D292=D292)*($E$2:E292=E292)*($F$2:F292=F292)*($G$2:G292=G292)*($I$2:I292="Duplicate"))&lt;=1,"",SUMPRODUCT(($B$2:B292=B292)*($D$2:D292=D292)*($E$2:E292=E292)*($F$2:F292=F292)*($G$2:G292=G292)*($I$2:I292="Duplicate"))-1),"")&amp;".jpeg")</f>
        <v/>
      </c>
      <c r="L292" s="6"/>
      <c r="M292" s="5" t="str">
        <f>IFERROR(VLOOKUP(E292,Specifications!$A$2:$D$9,2,FALSE),"")</f>
        <v/>
      </c>
      <c r="N292" s="5" t="str">
        <f>IFERROR(VLOOKUP(E292,Specifications!$A$2:$D$9,3,FALSE),"")</f>
        <v/>
      </c>
      <c r="O292" s="5" t="str">
        <f>IFERROR(VLOOKUP(E292,Specifications!$A$2:$D$9,4,FALSE),"")</f>
        <v/>
      </c>
      <c r="P292" s="8" t="str">
        <f t="shared" si="15"/>
        <v/>
      </c>
      <c r="Q292" s="9"/>
    </row>
    <row r="293" spans="1:17" ht="15">
      <c r="A293" s="5" t="str">
        <f t="shared" si="13"/>
        <v/>
      </c>
      <c r="B293" s="6"/>
      <c r="C293" s="5" t="str">
        <f>IFERROR(VLOOKUP(B293,Lists!$A$2:$B$25,2,FALSE),"")</f>
        <v/>
      </c>
      <c r="D293" s="7"/>
      <c r="E293" s="6"/>
      <c r="F293" s="6" t="str">
        <f t="shared" si="14"/>
        <v/>
      </c>
      <c r="G293" s="6"/>
      <c r="H293" s="6"/>
      <c r="I293" s="6"/>
      <c r="J293" s="7"/>
      <c r="K293" s="5" t="str" cm="1">
        <f t="array" ref="K293">IF(OR(A293="",B293="",D293="",E293=""),"",A293&amp;"_"&amp;SUBSTITUTE(B293," ","-")&amp;"_"&amp;D293&amp;"_"&amp;SUBSTITUTE(SUBSTITUTE(E293," ",""),"€","Euro")&amp;"_"&amp;IF(F293="","Unknown",F293)&amp;IF(F293="Commemorative",IF(G293="","","_"&amp;SUBSTITUTE(SUBSTITUTE(SUBSTITUTE(G293," ","-"),"/","-"),CHAR(39),"")),"")&amp;IF(I293="Duplicate","_Dub"&amp;IF(SUMPRODUCT(($B$2:B293=B293)*($D$2:D293=D293)*($E$2:E293=E293)*($F$2:F293=F293)*($G$2:G293=G293)*($I$2:I293="Duplicate"))&lt;=1,"",SUMPRODUCT(($B$2:B293=B293)*($D$2:D293=D293)*($E$2:E293=E293)*($F$2:F293=F293)*($G$2:G293=G293)*($I$2:I293="Duplicate"))-1),"")&amp;".jpeg")</f>
        <v/>
      </c>
      <c r="L293" s="6"/>
      <c r="M293" s="5" t="str">
        <f>IFERROR(VLOOKUP(E293,Specifications!$A$2:$D$9,2,FALSE),"")</f>
        <v/>
      </c>
      <c r="N293" s="5" t="str">
        <f>IFERROR(VLOOKUP(E293,Specifications!$A$2:$D$9,3,FALSE),"")</f>
        <v/>
      </c>
      <c r="O293" s="5" t="str">
        <f>IFERROR(VLOOKUP(E293,Specifications!$A$2:$D$9,4,FALSE),"")</f>
        <v/>
      </c>
      <c r="P293" s="8" t="str">
        <f t="shared" si="15"/>
        <v/>
      </c>
      <c r="Q293" s="9"/>
    </row>
    <row r="294" spans="1:17" ht="15">
      <c r="A294" s="5" t="str">
        <f t="shared" si="13"/>
        <v/>
      </c>
      <c r="B294" s="6"/>
      <c r="C294" s="5" t="str">
        <f>IFERROR(VLOOKUP(B294,Lists!$A$2:$B$25,2,FALSE),"")</f>
        <v/>
      </c>
      <c r="D294" s="7"/>
      <c r="E294" s="6"/>
      <c r="F294" s="6" t="str">
        <f t="shared" si="14"/>
        <v/>
      </c>
      <c r="G294" s="6"/>
      <c r="H294" s="6"/>
      <c r="I294" s="6"/>
      <c r="J294" s="7"/>
      <c r="K294" s="5" t="str" cm="1">
        <f t="array" ref="K294">IF(OR(A294="",B294="",D294="",E294=""),"",A294&amp;"_"&amp;SUBSTITUTE(B294," ","-")&amp;"_"&amp;D294&amp;"_"&amp;SUBSTITUTE(SUBSTITUTE(E294," ",""),"€","Euro")&amp;"_"&amp;IF(F294="","Unknown",F294)&amp;IF(F294="Commemorative",IF(G294="","","_"&amp;SUBSTITUTE(SUBSTITUTE(SUBSTITUTE(G294," ","-"),"/","-"),CHAR(39),"")),"")&amp;IF(I294="Duplicate","_Dub"&amp;IF(SUMPRODUCT(($B$2:B294=B294)*($D$2:D294=D294)*($E$2:E294=E294)*($F$2:F294=F294)*($G$2:G294=G294)*($I$2:I294="Duplicate"))&lt;=1,"",SUMPRODUCT(($B$2:B294=B294)*($D$2:D294=D294)*($E$2:E294=E294)*($F$2:F294=F294)*($G$2:G294=G294)*($I$2:I294="Duplicate"))-1),"")&amp;".jpeg")</f>
        <v/>
      </c>
      <c r="L294" s="6"/>
      <c r="M294" s="5" t="str">
        <f>IFERROR(VLOOKUP(E294,Specifications!$A$2:$D$9,2,FALSE),"")</f>
        <v/>
      </c>
      <c r="N294" s="5" t="str">
        <f>IFERROR(VLOOKUP(E294,Specifications!$A$2:$D$9,3,FALSE),"")</f>
        <v/>
      </c>
      <c r="O294" s="5" t="str">
        <f>IFERROR(VLOOKUP(E294,Specifications!$A$2:$D$9,4,FALSE),"")</f>
        <v/>
      </c>
      <c r="P294" s="8" t="str">
        <f t="shared" si="15"/>
        <v/>
      </c>
      <c r="Q294" s="9"/>
    </row>
    <row r="295" spans="1:17" ht="15">
      <c r="A295" s="5" t="str">
        <f t="shared" si="13"/>
        <v/>
      </c>
      <c r="B295" s="6"/>
      <c r="C295" s="5" t="str">
        <f>IFERROR(VLOOKUP(B295,Lists!$A$2:$B$25,2,FALSE),"")</f>
        <v/>
      </c>
      <c r="D295" s="7"/>
      <c r="E295" s="6"/>
      <c r="F295" s="6" t="str">
        <f t="shared" si="14"/>
        <v/>
      </c>
      <c r="G295" s="6"/>
      <c r="H295" s="6"/>
      <c r="I295" s="6"/>
      <c r="J295" s="7"/>
      <c r="K295" s="5" t="str" cm="1">
        <f t="array" ref="K295">IF(OR(A295="",B295="",D295="",E295=""),"",A295&amp;"_"&amp;SUBSTITUTE(B295," ","-")&amp;"_"&amp;D295&amp;"_"&amp;SUBSTITUTE(SUBSTITUTE(E295," ",""),"€","Euro")&amp;"_"&amp;IF(F295="","Unknown",F295)&amp;IF(F295="Commemorative",IF(G295="","","_"&amp;SUBSTITUTE(SUBSTITUTE(SUBSTITUTE(G295," ","-"),"/","-"),CHAR(39),"")),"")&amp;IF(I295="Duplicate","_Dub"&amp;IF(SUMPRODUCT(($B$2:B295=B295)*($D$2:D295=D295)*($E$2:E295=E295)*($F$2:F295=F295)*($G$2:G295=G295)*($I$2:I295="Duplicate"))&lt;=1,"",SUMPRODUCT(($B$2:B295=B295)*($D$2:D295=D295)*($E$2:E295=E295)*($F$2:F295=F295)*($G$2:G295=G295)*($I$2:I295="Duplicate"))-1),"")&amp;".jpeg")</f>
        <v/>
      </c>
      <c r="L295" s="6"/>
      <c r="M295" s="5" t="str">
        <f>IFERROR(VLOOKUP(E295,Specifications!$A$2:$D$9,2,FALSE),"")</f>
        <v/>
      </c>
      <c r="N295" s="5" t="str">
        <f>IFERROR(VLOOKUP(E295,Specifications!$A$2:$D$9,3,FALSE),"")</f>
        <v/>
      </c>
      <c r="O295" s="5" t="str">
        <f>IFERROR(VLOOKUP(E295,Specifications!$A$2:$D$9,4,FALSE),"")</f>
        <v/>
      </c>
      <c r="P295" s="8" t="str">
        <f t="shared" si="15"/>
        <v/>
      </c>
      <c r="Q295" s="9"/>
    </row>
    <row r="296" spans="1:17" ht="15">
      <c r="A296" s="5" t="str">
        <f t="shared" si="13"/>
        <v/>
      </c>
      <c r="B296" s="6"/>
      <c r="C296" s="5" t="str">
        <f>IFERROR(VLOOKUP(B296,Lists!$A$2:$B$25,2,FALSE),"")</f>
        <v/>
      </c>
      <c r="D296" s="7"/>
      <c r="E296" s="6"/>
      <c r="F296" s="6" t="str">
        <f t="shared" si="14"/>
        <v/>
      </c>
      <c r="G296" s="6"/>
      <c r="H296" s="6"/>
      <c r="I296" s="6"/>
      <c r="J296" s="7"/>
      <c r="K296" s="5" t="str" cm="1">
        <f t="array" ref="K296">IF(OR(A296="",B296="",D296="",E296=""),"",A296&amp;"_"&amp;SUBSTITUTE(B296," ","-")&amp;"_"&amp;D296&amp;"_"&amp;SUBSTITUTE(SUBSTITUTE(E296," ",""),"€","Euro")&amp;"_"&amp;IF(F296="","Unknown",F296)&amp;IF(F296="Commemorative",IF(G296="","","_"&amp;SUBSTITUTE(SUBSTITUTE(SUBSTITUTE(G296," ","-"),"/","-"),CHAR(39),"")),"")&amp;IF(I296="Duplicate","_Dub"&amp;IF(SUMPRODUCT(($B$2:B296=B296)*($D$2:D296=D296)*($E$2:E296=E296)*($F$2:F296=F296)*($G$2:G296=G296)*($I$2:I296="Duplicate"))&lt;=1,"",SUMPRODUCT(($B$2:B296=B296)*($D$2:D296=D296)*($E$2:E296=E296)*($F$2:F296=F296)*($G$2:G296=G296)*($I$2:I296="Duplicate"))-1),"")&amp;".jpeg")</f>
        <v/>
      </c>
      <c r="L296" s="6"/>
      <c r="M296" s="5" t="str">
        <f>IFERROR(VLOOKUP(E296,Specifications!$A$2:$D$9,2,FALSE),"")</f>
        <v/>
      </c>
      <c r="N296" s="5" t="str">
        <f>IFERROR(VLOOKUP(E296,Specifications!$A$2:$D$9,3,FALSE),"")</f>
        <v/>
      </c>
      <c r="O296" s="5" t="str">
        <f>IFERROR(VLOOKUP(E296,Specifications!$A$2:$D$9,4,FALSE),"")</f>
        <v/>
      </c>
      <c r="P296" s="8" t="str">
        <f t="shared" si="15"/>
        <v/>
      </c>
      <c r="Q296" s="9"/>
    </row>
    <row r="297" spans="1:17" ht="15">
      <c r="A297" s="5" t="str">
        <f t="shared" si="13"/>
        <v/>
      </c>
      <c r="B297" s="6"/>
      <c r="C297" s="5" t="str">
        <f>IFERROR(VLOOKUP(B297,Lists!$A$2:$B$25,2,FALSE),"")</f>
        <v/>
      </c>
      <c r="D297" s="7"/>
      <c r="E297" s="6"/>
      <c r="F297" s="6" t="str">
        <f t="shared" si="14"/>
        <v/>
      </c>
      <c r="G297" s="6"/>
      <c r="H297" s="6"/>
      <c r="I297" s="6"/>
      <c r="J297" s="7"/>
      <c r="K297" s="5" t="str" cm="1">
        <f t="array" ref="K297">IF(OR(A297="",B297="",D297="",E297=""),"",A297&amp;"_"&amp;SUBSTITUTE(B297," ","-")&amp;"_"&amp;D297&amp;"_"&amp;SUBSTITUTE(SUBSTITUTE(E297," ",""),"€","Euro")&amp;"_"&amp;IF(F297="","Unknown",F297)&amp;IF(F297="Commemorative",IF(G297="","","_"&amp;SUBSTITUTE(SUBSTITUTE(SUBSTITUTE(G297," ","-"),"/","-"),CHAR(39),"")),"")&amp;IF(I297="Duplicate","_Dub"&amp;IF(SUMPRODUCT(($B$2:B297=B297)*($D$2:D297=D297)*($E$2:E297=E297)*($F$2:F297=F297)*($G$2:G297=G297)*($I$2:I297="Duplicate"))&lt;=1,"",SUMPRODUCT(($B$2:B297=B297)*($D$2:D297=D297)*($E$2:E297=E297)*($F$2:F297=F297)*($G$2:G297=G297)*($I$2:I297="Duplicate"))-1),"")&amp;".jpeg")</f>
        <v/>
      </c>
      <c r="L297" s="6"/>
      <c r="M297" s="5" t="str">
        <f>IFERROR(VLOOKUP(E297,Specifications!$A$2:$D$9,2,FALSE),"")</f>
        <v/>
      </c>
      <c r="N297" s="5" t="str">
        <f>IFERROR(VLOOKUP(E297,Specifications!$A$2:$D$9,3,FALSE),"")</f>
        <v/>
      </c>
      <c r="O297" s="5" t="str">
        <f>IFERROR(VLOOKUP(E297,Specifications!$A$2:$D$9,4,FALSE),"")</f>
        <v/>
      </c>
      <c r="P297" s="8" t="str">
        <f t="shared" si="15"/>
        <v/>
      </c>
      <c r="Q297" s="9"/>
    </row>
    <row r="298" spans="1:17" ht="15">
      <c r="A298" s="5" t="str">
        <f t="shared" si="13"/>
        <v/>
      </c>
      <c r="B298" s="6"/>
      <c r="C298" s="5" t="str">
        <f>IFERROR(VLOOKUP(B298,Lists!$A$2:$B$25,2,FALSE),"")</f>
        <v/>
      </c>
      <c r="D298" s="7"/>
      <c r="E298" s="6"/>
      <c r="F298" s="6" t="str">
        <f t="shared" si="14"/>
        <v/>
      </c>
      <c r="G298" s="6"/>
      <c r="H298" s="6"/>
      <c r="I298" s="6"/>
      <c r="J298" s="7"/>
      <c r="K298" s="5" t="str" cm="1">
        <f t="array" ref="K298">IF(OR(A298="",B298="",D298="",E298=""),"",A298&amp;"_"&amp;SUBSTITUTE(B298," ","-")&amp;"_"&amp;D298&amp;"_"&amp;SUBSTITUTE(SUBSTITUTE(E298," ",""),"€","Euro")&amp;"_"&amp;IF(F298="","Unknown",F298)&amp;IF(F298="Commemorative",IF(G298="","","_"&amp;SUBSTITUTE(SUBSTITUTE(SUBSTITUTE(G298," ","-"),"/","-"),CHAR(39),"")),"")&amp;IF(I298="Duplicate","_Dub"&amp;IF(SUMPRODUCT(($B$2:B298=B298)*($D$2:D298=D298)*($E$2:E298=E298)*($F$2:F298=F298)*($G$2:G298=G298)*($I$2:I298="Duplicate"))&lt;=1,"",SUMPRODUCT(($B$2:B298=B298)*($D$2:D298=D298)*($E$2:E298=E298)*($F$2:F298=F298)*($G$2:G298=G298)*($I$2:I298="Duplicate"))-1),"")&amp;".jpeg")</f>
        <v/>
      </c>
      <c r="L298" s="6"/>
      <c r="M298" s="5" t="str">
        <f>IFERROR(VLOOKUP(E298,Specifications!$A$2:$D$9,2,FALSE),"")</f>
        <v/>
      </c>
      <c r="N298" s="5" t="str">
        <f>IFERROR(VLOOKUP(E298,Specifications!$A$2:$D$9,3,FALSE),"")</f>
        <v/>
      </c>
      <c r="O298" s="5" t="str">
        <f>IFERROR(VLOOKUP(E298,Specifications!$A$2:$D$9,4,FALSE),"")</f>
        <v/>
      </c>
      <c r="P298" s="8" t="str">
        <f t="shared" si="15"/>
        <v/>
      </c>
      <c r="Q298" s="9"/>
    </row>
    <row r="299" spans="1:17" ht="15">
      <c r="A299" s="5" t="str">
        <f t="shared" si="13"/>
        <v/>
      </c>
      <c r="B299" s="6"/>
      <c r="C299" s="5" t="str">
        <f>IFERROR(VLOOKUP(B299,Lists!$A$2:$B$25,2,FALSE),"")</f>
        <v/>
      </c>
      <c r="D299" s="7"/>
      <c r="E299" s="6"/>
      <c r="F299" s="6" t="str">
        <f t="shared" si="14"/>
        <v/>
      </c>
      <c r="G299" s="6"/>
      <c r="H299" s="6"/>
      <c r="I299" s="6"/>
      <c r="J299" s="7"/>
      <c r="K299" s="5" t="str" cm="1">
        <f t="array" ref="K299">IF(OR(A299="",B299="",D299="",E299=""),"",A299&amp;"_"&amp;SUBSTITUTE(B299," ","-")&amp;"_"&amp;D299&amp;"_"&amp;SUBSTITUTE(SUBSTITUTE(E299," ",""),"€","Euro")&amp;"_"&amp;IF(F299="","Unknown",F299)&amp;IF(F299="Commemorative",IF(G299="","","_"&amp;SUBSTITUTE(SUBSTITUTE(SUBSTITUTE(G299," ","-"),"/","-"),CHAR(39),"")),"")&amp;IF(I299="Duplicate","_Dub"&amp;IF(SUMPRODUCT(($B$2:B299=B299)*($D$2:D299=D299)*($E$2:E299=E299)*($F$2:F299=F299)*($G$2:G299=G299)*($I$2:I299="Duplicate"))&lt;=1,"",SUMPRODUCT(($B$2:B299=B299)*($D$2:D299=D299)*($E$2:E299=E299)*($F$2:F299=F299)*($G$2:G299=G299)*($I$2:I299="Duplicate"))-1),"")&amp;".jpeg")</f>
        <v/>
      </c>
      <c r="L299" s="6"/>
      <c r="M299" s="5" t="str">
        <f>IFERROR(VLOOKUP(E299,Specifications!$A$2:$D$9,2,FALSE),"")</f>
        <v/>
      </c>
      <c r="N299" s="5" t="str">
        <f>IFERROR(VLOOKUP(E299,Specifications!$A$2:$D$9,3,FALSE),"")</f>
        <v/>
      </c>
      <c r="O299" s="5" t="str">
        <f>IFERROR(VLOOKUP(E299,Specifications!$A$2:$D$9,4,FALSE),"")</f>
        <v/>
      </c>
      <c r="P299" s="8" t="str">
        <f t="shared" si="15"/>
        <v/>
      </c>
      <c r="Q299" s="9"/>
    </row>
    <row r="300" spans="1:17" ht="15">
      <c r="A300" s="5" t="str">
        <f t="shared" si="13"/>
        <v/>
      </c>
      <c r="B300" s="6"/>
      <c r="C300" s="5" t="str">
        <f>IFERROR(VLOOKUP(B300,Lists!$A$2:$B$25,2,FALSE),"")</f>
        <v/>
      </c>
      <c r="D300" s="7"/>
      <c r="E300" s="6"/>
      <c r="F300" s="6" t="str">
        <f t="shared" si="14"/>
        <v/>
      </c>
      <c r="G300" s="6"/>
      <c r="H300" s="6"/>
      <c r="I300" s="6"/>
      <c r="J300" s="7"/>
      <c r="K300" s="5" t="str" cm="1">
        <f t="array" ref="K300">IF(OR(A300="",B300="",D300="",E300=""),"",A300&amp;"_"&amp;SUBSTITUTE(B300," ","-")&amp;"_"&amp;D300&amp;"_"&amp;SUBSTITUTE(SUBSTITUTE(E300," ",""),"€","Euro")&amp;"_"&amp;IF(F300="","Unknown",F300)&amp;IF(F300="Commemorative",IF(G300="","","_"&amp;SUBSTITUTE(SUBSTITUTE(SUBSTITUTE(G300," ","-"),"/","-"),CHAR(39),"")),"")&amp;IF(I300="Duplicate","_Dub"&amp;IF(SUMPRODUCT(($B$2:B300=B300)*($D$2:D300=D300)*($E$2:E300=E300)*($F$2:F300=F300)*($G$2:G300=G300)*($I$2:I300="Duplicate"))&lt;=1,"",SUMPRODUCT(($B$2:B300=B300)*($D$2:D300=D300)*($E$2:E300=E300)*($F$2:F300=F300)*($G$2:G300=G300)*($I$2:I300="Duplicate"))-1),"")&amp;".jpeg")</f>
        <v/>
      </c>
      <c r="L300" s="6"/>
      <c r="M300" s="5" t="str">
        <f>IFERROR(VLOOKUP(E300,Specifications!$A$2:$D$9,2,FALSE),"")</f>
        <v/>
      </c>
      <c r="N300" s="5" t="str">
        <f>IFERROR(VLOOKUP(E300,Specifications!$A$2:$D$9,3,FALSE),"")</f>
        <v/>
      </c>
      <c r="O300" s="5" t="str">
        <f>IFERROR(VLOOKUP(E300,Specifications!$A$2:$D$9,4,FALSE),"")</f>
        <v/>
      </c>
      <c r="P300" s="8" t="str">
        <f t="shared" si="15"/>
        <v/>
      </c>
      <c r="Q300" s="9"/>
    </row>
    <row r="301" spans="1:17" ht="15">
      <c r="A301" s="5" t="str">
        <f t="shared" si="13"/>
        <v/>
      </c>
      <c r="B301" s="6"/>
      <c r="C301" s="5" t="str">
        <f>IFERROR(VLOOKUP(B301,Lists!$A$2:$B$25,2,FALSE),"")</f>
        <v/>
      </c>
      <c r="D301" s="7"/>
      <c r="E301" s="6"/>
      <c r="F301" s="6" t="str">
        <f t="shared" si="14"/>
        <v/>
      </c>
      <c r="G301" s="6"/>
      <c r="H301" s="6"/>
      <c r="I301" s="6"/>
      <c r="J301" s="7"/>
      <c r="K301" s="5" t="str" cm="1">
        <f t="array" ref="K301">IF(OR(A301="",B301="",D301="",E301=""),"",A301&amp;"_"&amp;SUBSTITUTE(B301," ","-")&amp;"_"&amp;D301&amp;"_"&amp;SUBSTITUTE(SUBSTITUTE(E301," ",""),"€","Euro")&amp;"_"&amp;IF(F301="","Unknown",F301)&amp;IF(F301="Commemorative",IF(G301="","","_"&amp;SUBSTITUTE(SUBSTITUTE(SUBSTITUTE(G301," ","-"),"/","-"),CHAR(39),"")),"")&amp;IF(I301="Duplicate","_Dub"&amp;IF(SUMPRODUCT(($B$2:B301=B301)*($D$2:D301=D301)*($E$2:E301=E301)*($F$2:F301=F301)*($G$2:G301=G301)*($I$2:I301="Duplicate"))&lt;=1,"",SUMPRODUCT(($B$2:B301=B301)*($D$2:D301=D301)*($E$2:E301=E301)*($F$2:F301=F301)*($G$2:G301=G301)*($I$2:I301="Duplicate"))-1),"")&amp;".jpeg")</f>
        <v/>
      </c>
      <c r="L301" s="6"/>
      <c r="M301" s="5" t="str">
        <f>IFERROR(VLOOKUP(E301,Specifications!$A$2:$D$9,2,FALSE),"")</f>
        <v/>
      </c>
      <c r="N301" s="5" t="str">
        <f>IFERROR(VLOOKUP(E301,Specifications!$A$2:$D$9,3,FALSE),"")</f>
        <v/>
      </c>
      <c r="O301" s="5" t="str">
        <f>IFERROR(VLOOKUP(E301,Specifications!$A$2:$D$9,4,FALSE),"")</f>
        <v/>
      </c>
      <c r="P301" s="8" t="str">
        <f t="shared" si="15"/>
        <v/>
      </c>
      <c r="Q301" s="9"/>
    </row>
    <row r="302" spans="1:17" ht="15">
      <c r="A302" s="5" t="str">
        <f t="shared" si="13"/>
        <v/>
      </c>
      <c r="B302" s="6"/>
      <c r="C302" s="5" t="str">
        <f>IFERROR(VLOOKUP(B302,Lists!$A$2:$B$25,2,FALSE),"")</f>
        <v/>
      </c>
      <c r="D302" s="7"/>
      <c r="E302" s="6"/>
      <c r="F302" s="6" t="str">
        <f t="shared" si="14"/>
        <v/>
      </c>
      <c r="G302" s="6"/>
      <c r="H302" s="6"/>
      <c r="I302" s="6"/>
      <c r="J302" s="7"/>
      <c r="K302" s="5" t="str" cm="1">
        <f t="array" ref="K302">IF(OR(A302="",B302="",D302="",E302=""),"",A302&amp;"_"&amp;SUBSTITUTE(B302," ","-")&amp;"_"&amp;D302&amp;"_"&amp;SUBSTITUTE(SUBSTITUTE(E302," ",""),"€","Euro")&amp;"_"&amp;IF(F302="","Unknown",F302)&amp;IF(F302="Commemorative",IF(G302="","","_"&amp;SUBSTITUTE(SUBSTITUTE(SUBSTITUTE(G302," ","-"),"/","-"),CHAR(39),"")),"")&amp;IF(I302="Duplicate","_Dub"&amp;IF(SUMPRODUCT(($B$2:B302=B302)*($D$2:D302=D302)*($E$2:E302=E302)*($F$2:F302=F302)*($G$2:G302=G302)*($I$2:I302="Duplicate"))&lt;=1,"",SUMPRODUCT(($B$2:B302=B302)*($D$2:D302=D302)*($E$2:E302=E302)*($F$2:F302=F302)*($G$2:G302=G302)*($I$2:I302="Duplicate"))-1),"")&amp;".jpeg")</f>
        <v/>
      </c>
      <c r="L302" s="6"/>
      <c r="M302" s="5" t="str">
        <f>IFERROR(VLOOKUP(E302,Specifications!$A$2:$D$9,2,FALSE),"")</f>
        <v/>
      </c>
      <c r="N302" s="5" t="str">
        <f>IFERROR(VLOOKUP(E302,Specifications!$A$2:$D$9,3,FALSE),"")</f>
        <v/>
      </c>
      <c r="O302" s="5" t="str">
        <f>IFERROR(VLOOKUP(E302,Specifications!$A$2:$D$9,4,FALSE),"")</f>
        <v/>
      </c>
      <c r="P302" s="8" t="str">
        <f t="shared" si="15"/>
        <v/>
      </c>
      <c r="Q302" s="9"/>
    </row>
    <row r="303" spans="1:17" ht="15">
      <c r="A303" s="5" t="str">
        <f t="shared" si="13"/>
        <v/>
      </c>
      <c r="B303" s="6"/>
      <c r="C303" s="5" t="str">
        <f>IFERROR(VLOOKUP(B303,Lists!$A$2:$B$25,2,FALSE),"")</f>
        <v/>
      </c>
      <c r="D303" s="7"/>
      <c r="E303" s="6"/>
      <c r="F303" s="6" t="str">
        <f t="shared" si="14"/>
        <v/>
      </c>
      <c r="G303" s="6"/>
      <c r="H303" s="6"/>
      <c r="I303" s="6"/>
      <c r="J303" s="7"/>
      <c r="K303" s="5" t="str" cm="1">
        <f t="array" ref="K303">IF(OR(A303="",B303="",D303="",E303=""),"",A303&amp;"_"&amp;SUBSTITUTE(B303," ","-")&amp;"_"&amp;D303&amp;"_"&amp;SUBSTITUTE(SUBSTITUTE(E303," ",""),"€","Euro")&amp;"_"&amp;IF(F303="","Unknown",F303)&amp;IF(F303="Commemorative",IF(G303="","","_"&amp;SUBSTITUTE(SUBSTITUTE(SUBSTITUTE(G303," ","-"),"/","-"),CHAR(39),"")),"")&amp;IF(I303="Duplicate","_Dub"&amp;IF(SUMPRODUCT(($B$2:B303=B303)*($D$2:D303=D303)*($E$2:E303=E303)*($F$2:F303=F303)*($G$2:G303=G303)*($I$2:I303="Duplicate"))&lt;=1,"",SUMPRODUCT(($B$2:B303=B303)*($D$2:D303=D303)*($E$2:E303=E303)*($F$2:F303=F303)*($G$2:G303=G303)*($I$2:I303="Duplicate"))-1),"")&amp;".jpeg")</f>
        <v/>
      </c>
      <c r="L303" s="6"/>
      <c r="M303" s="5" t="str">
        <f>IFERROR(VLOOKUP(E303,Specifications!$A$2:$D$9,2,FALSE),"")</f>
        <v/>
      </c>
      <c r="N303" s="5" t="str">
        <f>IFERROR(VLOOKUP(E303,Specifications!$A$2:$D$9,3,FALSE),"")</f>
        <v/>
      </c>
      <c r="O303" s="5" t="str">
        <f>IFERROR(VLOOKUP(E303,Specifications!$A$2:$D$9,4,FALSE),"")</f>
        <v/>
      </c>
      <c r="P303" s="8" t="str">
        <f t="shared" si="15"/>
        <v/>
      </c>
      <c r="Q303" s="9"/>
    </row>
    <row r="304" spans="1:17" ht="15">
      <c r="A304" s="5" t="str">
        <f t="shared" si="13"/>
        <v/>
      </c>
      <c r="B304" s="6"/>
      <c r="C304" s="5" t="str">
        <f>IFERROR(VLOOKUP(B304,Lists!$A$2:$B$25,2,FALSE),"")</f>
        <v/>
      </c>
      <c r="D304" s="7"/>
      <c r="E304" s="6"/>
      <c r="F304" s="6" t="str">
        <f t="shared" si="14"/>
        <v/>
      </c>
      <c r="G304" s="6"/>
      <c r="H304" s="6"/>
      <c r="I304" s="6"/>
      <c r="J304" s="7"/>
      <c r="K304" s="5" t="str" cm="1">
        <f t="array" ref="K304">IF(OR(A304="",B304="",D304="",E304=""),"",A304&amp;"_"&amp;SUBSTITUTE(B304," ","-")&amp;"_"&amp;D304&amp;"_"&amp;SUBSTITUTE(SUBSTITUTE(E304," ",""),"€","Euro")&amp;"_"&amp;IF(F304="","Unknown",F304)&amp;IF(F304="Commemorative",IF(G304="","","_"&amp;SUBSTITUTE(SUBSTITUTE(SUBSTITUTE(G304," ","-"),"/","-"),CHAR(39),"")),"")&amp;IF(I304="Duplicate","_Dub"&amp;IF(SUMPRODUCT(($B$2:B304=B304)*($D$2:D304=D304)*($E$2:E304=E304)*($F$2:F304=F304)*($G$2:G304=G304)*($I$2:I304="Duplicate"))&lt;=1,"",SUMPRODUCT(($B$2:B304=B304)*($D$2:D304=D304)*($E$2:E304=E304)*($F$2:F304=F304)*($G$2:G304=G304)*($I$2:I304="Duplicate"))-1),"")&amp;".jpeg")</f>
        <v/>
      </c>
      <c r="L304" s="6"/>
      <c r="M304" s="5" t="str">
        <f>IFERROR(VLOOKUP(E304,Specifications!$A$2:$D$9,2,FALSE),"")</f>
        <v/>
      </c>
      <c r="N304" s="5" t="str">
        <f>IFERROR(VLOOKUP(E304,Specifications!$A$2:$D$9,3,FALSE),"")</f>
        <v/>
      </c>
      <c r="O304" s="5" t="str">
        <f>IFERROR(VLOOKUP(E304,Specifications!$A$2:$D$9,4,FALSE),"")</f>
        <v/>
      </c>
      <c r="P304" s="8" t="str">
        <f t="shared" si="15"/>
        <v/>
      </c>
      <c r="Q304" s="9"/>
    </row>
    <row r="305" spans="1:17" ht="15">
      <c r="A305" s="5" t="str">
        <f t="shared" si="13"/>
        <v/>
      </c>
      <c r="B305" s="6"/>
      <c r="C305" s="5" t="str">
        <f>IFERROR(VLOOKUP(B305,Lists!$A$2:$B$25,2,FALSE),"")</f>
        <v/>
      </c>
      <c r="D305" s="7"/>
      <c r="E305" s="6"/>
      <c r="F305" s="6" t="str">
        <f t="shared" si="14"/>
        <v/>
      </c>
      <c r="G305" s="6"/>
      <c r="H305" s="6"/>
      <c r="I305" s="6"/>
      <c r="J305" s="7"/>
      <c r="K305" s="5" t="str" cm="1">
        <f t="array" ref="K305">IF(OR(A305="",B305="",D305="",E305=""),"",A305&amp;"_"&amp;SUBSTITUTE(B305," ","-")&amp;"_"&amp;D305&amp;"_"&amp;SUBSTITUTE(SUBSTITUTE(E305," ",""),"€","Euro")&amp;"_"&amp;IF(F305="","Unknown",F305)&amp;IF(F305="Commemorative",IF(G305="","","_"&amp;SUBSTITUTE(SUBSTITUTE(SUBSTITUTE(G305," ","-"),"/","-"),CHAR(39),"")),"")&amp;IF(I305="Duplicate","_Dub"&amp;IF(SUMPRODUCT(($B$2:B305=B305)*($D$2:D305=D305)*($E$2:E305=E305)*($F$2:F305=F305)*($G$2:G305=G305)*($I$2:I305="Duplicate"))&lt;=1,"",SUMPRODUCT(($B$2:B305=B305)*($D$2:D305=D305)*($E$2:E305=E305)*($F$2:F305=F305)*($G$2:G305=G305)*($I$2:I305="Duplicate"))-1),"")&amp;".jpeg")</f>
        <v/>
      </c>
      <c r="L305" s="6"/>
      <c r="M305" s="5" t="str">
        <f>IFERROR(VLOOKUP(E305,Specifications!$A$2:$D$9,2,FALSE),"")</f>
        <v/>
      </c>
      <c r="N305" s="5" t="str">
        <f>IFERROR(VLOOKUP(E305,Specifications!$A$2:$D$9,3,FALSE),"")</f>
        <v/>
      </c>
      <c r="O305" s="5" t="str">
        <f>IFERROR(VLOOKUP(E305,Specifications!$A$2:$D$9,4,FALSE),"")</f>
        <v/>
      </c>
      <c r="P305" s="8" t="str">
        <f t="shared" si="15"/>
        <v/>
      </c>
      <c r="Q305" s="9"/>
    </row>
    <row r="306" spans="1:17" ht="15">
      <c r="A306" s="5" t="str">
        <f t="shared" si="13"/>
        <v/>
      </c>
      <c r="B306" s="6"/>
      <c r="C306" s="5" t="str">
        <f>IFERROR(VLOOKUP(B306,Lists!$A$2:$B$25,2,FALSE),"")</f>
        <v/>
      </c>
      <c r="D306" s="7"/>
      <c r="E306" s="6"/>
      <c r="F306" s="6" t="str">
        <f t="shared" si="14"/>
        <v/>
      </c>
      <c r="G306" s="6"/>
      <c r="H306" s="6"/>
      <c r="I306" s="6"/>
      <c r="J306" s="7"/>
      <c r="K306" s="5" t="str" cm="1">
        <f t="array" ref="K306">IF(OR(A306="",B306="",D306="",E306=""),"",A306&amp;"_"&amp;SUBSTITUTE(B306," ","-")&amp;"_"&amp;D306&amp;"_"&amp;SUBSTITUTE(SUBSTITUTE(E306," ",""),"€","Euro")&amp;"_"&amp;IF(F306="","Unknown",F306)&amp;IF(F306="Commemorative",IF(G306="","","_"&amp;SUBSTITUTE(SUBSTITUTE(SUBSTITUTE(G306," ","-"),"/","-"),CHAR(39),"")),"")&amp;IF(I306="Duplicate","_Dub"&amp;IF(SUMPRODUCT(($B$2:B306=B306)*($D$2:D306=D306)*($E$2:E306=E306)*($F$2:F306=F306)*($G$2:G306=G306)*($I$2:I306="Duplicate"))&lt;=1,"",SUMPRODUCT(($B$2:B306=B306)*($D$2:D306=D306)*($E$2:E306=E306)*($F$2:F306=F306)*($G$2:G306=G306)*($I$2:I306="Duplicate"))-1),"")&amp;".jpeg")</f>
        <v/>
      </c>
      <c r="L306" s="6"/>
      <c r="M306" s="5" t="str">
        <f>IFERROR(VLOOKUP(E306,Specifications!$A$2:$D$9,2,FALSE),"")</f>
        <v/>
      </c>
      <c r="N306" s="5" t="str">
        <f>IFERROR(VLOOKUP(E306,Specifications!$A$2:$D$9,3,FALSE),"")</f>
        <v/>
      </c>
      <c r="O306" s="5" t="str">
        <f>IFERROR(VLOOKUP(E306,Specifications!$A$2:$D$9,4,FALSE),"")</f>
        <v/>
      </c>
      <c r="P306" s="8" t="str">
        <f t="shared" si="15"/>
        <v/>
      </c>
      <c r="Q306" s="9"/>
    </row>
    <row r="307" spans="1:17" ht="15">
      <c r="A307" s="5" t="str">
        <f t="shared" si="13"/>
        <v/>
      </c>
      <c r="B307" s="6"/>
      <c r="C307" s="5" t="str">
        <f>IFERROR(VLOOKUP(B307,Lists!$A$2:$B$25,2,FALSE),"")</f>
        <v/>
      </c>
      <c r="D307" s="7"/>
      <c r="E307" s="6"/>
      <c r="F307" s="6" t="str">
        <f t="shared" si="14"/>
        <v/>
      </c>
      <c r="G307" s="6"/>
      <c r="H307" s="6"/>
      <c r="I307" s="6"/>
      <c r="J307" s="7"/>
      <c r="K307" s="5" t="str" cm="1">
        <f t="array" ref="K307">IF(OR(A307="",B307="",D307="",E307=""),"",A307&amp;"_"&amp;SUBSTITUTE(B307," ","-")&amp;"_"&amp;D307&amp;"_"&amp;SUBSTITUTE(SUBSTITUTE(E307," ",""),"€","Euro")&amp;"_"&amp;IF(F307="","Unknown",F307)&amp;IF(F307="Commemorative",IF(G307="","","_"&amp;SUBSTITUTE(SUBSTITUTE(SUBSTITUTE(G307," ","-"),"/","-"),CHAR(39),"")),"")&amp;IF(I307="Duplicate","_Dub"&amp;IF(SUMPRODUCT(($B$2:B307=B307)*($D$2:D307=D307)*($E$2:E307=E307)*($F$2:F307=F307)*($G$2:G307=G307)*($I$2:I307="Duplicate"))&lt;=1,"",SUMPRODUCT(($B$2:B307=B307)*($D$2:D307=D307)*($E$2:E307=E307)*($F$2:F307=F307)*($G$2:G307=G307)*($I$2:I307="Duplicate"))-1),"")&amp;".jpeg")</f>
        <v/>
      </c>
      <c r="L307" s="6"/>
      <c r="M307" s="5" t="str">
        <f>IFERROR(VLOOKUP(E307,Specifications!$A$2:$D$9,2,FALSE),"")</f>
        <v/>
      </c>
      <c r="N307" s="5" t="str">
        <f>IFERROR(VLOOKUP(E307,Specifications!$A$2:$D$9,3,FALSE),"")</f>
        <v/>
      </c>
      <c r="O307" s="5" t="str">
        <f>IFERROR(VLOOKUP(E307,Specifications!$A$2:$D$9,4,FALSE),"")</f>
        <v/>
      </c>
      <c r="P307" s="8" t="str">
        <f t="shared" si="15"/>
        <v/>
      </c>
      <c r="Q307" s="9"/>
    </row>
    <row r="308" spans="1:17" ht="15">
      <c r="A308" s="5" t="str">
        <f t="shared" si="13"/>
        <v/>
      </c>
      <c r="B308" s="6"/>
      <c r="C308" s="5" t="str">
        <f>IFERROR(VLOOKUP(B308,Lists!$A$2:$B$25,2,FALSE),"")</f>
        <v/>
      </c>
      <c r="D308" s="7"/>
      <c r="E308" s="6"/>
      <c r="F308" s="6" t="str">
        <f t="shared" si="14"/>
        <v/>
      </c>
      <c r="G308" s="6"/>
      <c r="H308" s="6"/>
      <c r="I308" s="6"/>
      <c r="J308" s="7"/>
      <c r="K308" s="5" t="str" cm="1">
        <f t="array" ref="K308">IF(OR(A308="",B308="",D308="",E308=""),"",A308&amp;"_"&amp;SUBSTITUTE(B308," ","-")&amp;"_"&amp;D308&amp;"_"&amp;SUBSTITUTE(SUBSTITUTE(E308," ",""),"€","Euro")&amp;"_"&amp;IF(F308="","Unknown",F308)&amp;IF(F308="Commemorative",IF(G308="","","_"&amp;SUBSTITUTE(SUBSTITUTE(SUBSTITUTE(G308," ","-"),"/","-"),CHAR(39),"")),"")&amp;IF(I308="Duplicate","_Dub"&amp;IF(SUMPRODUCT(($B$2:B308=B308)*($D$2:D308=D308)*($E$2:E308=E308)*($F$2:F308=F308)*($G$2:G308=G308)*($I$2:I308="Duplicate"))&lt;=1,"",SUMPRODUCT(($B$2:B308=B308)*($D$2:D308=D308)*($E$2:E308=E308)*($F$2:F308=F308)*($G$2:G308=G308)*($I$2:I308="Duplicate"))-1),"")&amp;".jpeg")</f>
        <v/>
      </c>
      <c r="L308" s="6"/>
      <c r="M308" s="5" t="str">
        <f>IFERROR(VLOOKUP(E308,Specifications!$A$2:$D$9,2,FALSE),"")</f>
        <v/>
      </c>
      <c r="N308" s="5" t="str">
        <f>IFERROR(VLOOKUP(E308,Specifications!$A$2:$D$9,3,FALSE),"")</f>
        <v/>
      </c>
      <c r="O308" s="5" t="str">
        <f>IFERROR(VLOOKUP(E308,Specifications!$A$2:$D$9,4,FALSE),"")</f>
        <v/>
      </c>
      <c r="P308" s="8" t="str">
        <f t="shared" si="15"/>
        <v/>
      </c>
      <c r="Q308" s="9"/>
    </row>
    <row r="309" spans="1:17" ht="15">
      <c r="A309" s="5" t="str">
        <f t="shared" si="13"/>
        <v/>
      </c>
      <c r="B309" s="6"/>
      <c r="C309" s="5" t="str">
        <f>IFERROR(VLOOKUP(B309,Lists!$A$2:$B$25,2,FALSE),"")</f>
        <v/>
      </c>
      <c r="D309" s="7"/>
      <c r="E309" s="6"/>
      <c r="F309" s="6" t="str">
        <f t="shared" si="14"/>
        <v/>
      </c>
      <c r="G309" s="6"/>
      <c r="H309" s="6"/>
      <c r="I309" s="6"/>
      <c r="J309" s="7"/>
      <c r="K309" s="5" t="str" cm="1">
        <f t="array" ref="K309">IF(OR(A309="",B309="",D309="",E309=""),"",A309&amp;"_"&amp;SUBSTITUTE(B309," ","-")&amp;"_"&amp;D309&amp;"_"&amp;SUBSTITUTE(SUBSTITUTE(E309," ",""),"€","Euro")&amp;"_"&amp;IF(F309="","Unknown",F309)&amp;IF(F309="Commemorative",IF(G309="","","_"&amp;SUBSTITUTE(SUBSTITUTE(SUBSTITUTE(G309," ","-"),"/","-"),CHAR(39),"")),"")&amp;IF(I309="Duplicate","_Dub"&amp;IF(SUMPRODUCT(($B$2:B309=B309)*($D$2:D309=D309)*($E$2:E309=E309)*($F$2:F309=F309)*($G$2:G309=G309)*($I$2:I309="Duplicate"))&lt;=1,"",SUMPRODUCT(($B$2:B309=B309)*($D$2:D309=D309)*($E$2:E309=E309)*($F$2:F309=F309)*($G$2:G309=G309)*($I$2:I309="Duplicate"))-1),"")&amp;".jpeg")</f>
        <v/>
      </c>
      <c r="L309" s="6"/>
      <c r="M309" s="5" t="str">
        <f>IFERROR(VLOOKUP(E309,Specifications!$A$2:$D$9,2,FALSE),"")</f>
        <v/>
      </c>
      <c r="N309" s="5" t="str">
        <f>IFERROR(VLOOKUP(E309,Specifications!$A$2:$D$9,3,FALSE),"")</f>
        <v/>
      </c>
      <c r="O309" s="5" t="str">
        <f>IFERROR(VLOOKUP(E309,Specifications!$A$2:$D$9,4,FALSE),"")</f>
        <v/>
      </c>
      <c r="P309" s="8" t="str">
        <f t="shared" si="15"/>
        <v/>
      </c>
      <c r="Q309" s="9"/>
    </row>
    <row r="310" spans="1:17" ht="15">
      <c r="A310" s="5" t="str">
        <f t="shared" si="13"/>
        <v/>
      </c>
      <c r="B310" s="6"/>
      <c r="C310" s="5" t="str">
        <f>IFERROR(VLOOKUP(B310,Lists!$A$2:$B$25,2,FALSE),"")</f>
        <v/>
      </c>
      <c r="D310" s="7"/>
      <c r="E310" s="6"/>
      <c r="F310" s="6" t="str">
        <f t="shared" si="14"/>
        <v/>
      </c>
      <c r="G310" s="6"/>
      <c r="H310" s="6"/>
      <c r="I310" s="6"/>
      <c r="J310" s="7"/>
      <c r="K310" s="5" t="str" cm="1">
        <f t="array" ref="K310">IF(OR(A310="",B310="",D310="",E310=""),"",A310&amp;"_"&amp;SUBSTITUTE(B310," ","-")&amp;"_"&amp;D310&amp;"_"&amp;SUBSTITUTE(SUBSTITUTE(E310," ",""),"€","Euro")&amp;"_"&amp;IF(F310="","Unknown",F310)&amp;IF(F310="Commemorative",IF(G310="","","_"&amp;SUBSTITUTE(SUBSTITUTE(SUBSTITUTE(G310," ","-"),"/","-"),CHAR(39),"")),"")&amp;IF(I310="Duplicate","_Dub"&amp;IF(SUMPRODUCT(($B$2:B310=B310)*($D$2:D310=D310)*($E$2:E310=E310)*($F$2:F310=F310)*($G$2:G310=G310)*($I$2:I310="Duplicate"))&lt;=1,"",SUMPRODUCT(($B$2:B310=B310)*($D$2:D310=D310)*($E$2:E310=E310)*($F$2:F310=F310)*($G$2:G310=G310)*($I$2:I310="Duplicate"))-1),"")&amp;".jpeg")</f>
        <v/>
      </c>
      <c r="L310" s="6"/>
      <c r="M310" s="5" t="str">
        <f>IFERROR(VLOOKUP(E310,Specifications!$A$2:$D$9,2,FALSE),"")</f>
        <v/>
      </c>
      <c r="N310" s="5" t="str">
        <f>IFERROR(VLOOKUP(E310,Specifications!$A$2:$D$9,3,FALSE),"")</f>
        <v/>
      </c>
      <c r="O310" s="5" t="str">
        <f>IFERROR(VLOOKUP(E310,Specifications!$A$2:$D$9,4,FALSE),"")</f>
        <v/>
      </c>
      <c r="P310" s="8" t="str">
        <f t="shared" si="15"/>
        <v/>
      </c>
      <c r="Q310" s="9"/>
    </row>
    <row r="311" spans="1:17" ht="15">
      <c r="A311" s="5" t="str">
        <f t="shared" si="13"/>
        <v/>
      </c>
      <c r="B311" s="6"/>
      <c r="C311" s="5" t="str">
        <f>IFERROR(VLOOKUP(B311,Lists!$A$2:$B$25,2,FALSE),"")</f>
        <v/>
      </c>
      <c r="D311" s="7"/>
      <c r="E311" s="6"/>
      <c r="F311" s="6" t="str">
        <f t="shared" si="14"/>
        <v/>
      </c>
      <c r="G311" s="6"/>
      <c r="H311" s="6"/>
      <c r="I311" s="6"/>
      <c r="J311" s="7"/>
      <c r="K311" s="5" t="str" cm="1">
        <f t="array" ref="K311">IF(OR(A311="",B311="",D311="",E311=""),"",A311&amp;"_"&amp;SUBSTITUTE(B311," ","-")&amp;"_"&amp;D311&amp;"_"&amp;SUBSTITUTE(SUBSTITUTE(E311," ",""),"€","Euro")&amp;"_"&amp;IF(F311="","Unknown",F311)&amp;IF(F311="Commemorative",IF(G311="","","_"&amp;SUBSTITUTE(SUBSTITUTE(SUBSTITUTE(G311," ","-"),"/","-"),CHAR(39),"")),"")&amp;IF(I311="Duplicate","_Dub"&amp;IF(SUMPRODUCT(($B$2:B311=B311)*($D$2:D311=D311)*($E$2:E311=E311)*($F$2:F311=F311)*($G$2:G311=G311)*($I$2:I311="Duplicate"))&lt;=1,"",SUMPRODUCT(($B$2:B311=B311)*($D$2:D311=D311)*($E$2:E311=E311)*($F$2:F311=F311)*($G$2:G311=G311)*($I$2:I311="Duplicate"))-1),"")&amp;".jpeg")</f>
        <v/>
      </c>
      <c r="L311" s="6"/>
      <c r="M311" s="5" t="str">
        <f>IFERROR(VLOOKUP(E311,Specifications!$A$2:$D$9,2,FALSE),"")</f>
        <v/>
      </c>
      <c r="N311" s="5" t="str">
        <f>IFERROR(VLOOKUP(E311,Specifications!$A$2:$D$9,3,FALSE),"")</f>
        <v/>
      </c>
      <c r="O311" s="5" t="str">
        <f>IFERROR(VLOOKUP(E311,Specifications!$A$2:$D$9,4,FALSE),"")</f>
        <v/>
      </c>
      <c r="P311" s="8" t="str">
        <f t="shared" si="15"/>
        <v/>
      </c>
      <c r="Q311" s="9"/>
    </row>
    <row r="312" spans="1:17" ht="15">
      <c r="A312" s="5" t="str">
        <f t="shared" si="13"/>
        <v/>
      </c>
      <c r="B312" s="6"/>
      <c r="C312" s="5" t="str">
        <f>IFERROR(VLOOKUP(B312,Lists!$A$2:$B$25,2,FALSE),"")</f>
        <v/>
      </c>
      <c r="D312" s="7"/>
      <c r="E312" s="6"/>
      <c r="F312" s="6" t="str">
        <f t="shared" si="14"/>
        <v/>
      </c>
      <c r="G312" s="6"/>
      <c r="H312" s="6"/>
      <c r="I312" s="6"/>
      <c r="J312" s="7"/>
      <c r="K312" s="5" t="str" cm="1">
        <f t="array" ref="K312">IF(OR(A312="",B312="",D312="",E312=""),"",A312&amp;"_"&amp;SUBSTITUTE(B312," ","-")&amp;"_"&amp;D312&amp;"_"&amp;SUBSTITUTE(SUBSTITUTE(E312," ",""),"€","Euro")&amp;"_"&amp;IF(F312="","Unknown",F312)&amp;IF(F312="Commemorative",IF(G312="","","_"&amp;SUBSTITUTE(SUBSTITUTE(SUBSTITUTE(G312," ","-"),"/","-"),CHAR(39),"")),"")&amp;IF(I312="Duplicate","_Dub"&amp;IF(SUMPRODUCT(($B$2:B312=B312)*($D$2:D312=D312)*($E$2:E312=E312)*($F$2:F312=F312)*($G$2:G312=G312)*($I$2:I312="Duplicate"))&lt;=1,"",SUMPRODUCT(($B$2:B312=B312)*($D$2:D312=D312)*($E$2:E312=E312)*($F$2:F312=F312)*($G$2:G312=G312)*($I$2:I312="Duplicate"))-1),"")&amp;".jpeg")</f>
        <v/>
      </c>
      <c r="L312" s="6"/>
      <c r="M312" s="5" t="str">
        <f>IFERROR(VLOOKUP(E312,Specifications!$A$2:$D$9,2,FALSE),"")</f>
        <v/>
      </c>
      <c r="N312" s="5" t="str">
        <f>IFERROR(VLOOKUP(E312,Specifications!$A$2:$D$9,3,FALSE),"")</f>
        <v/>
      </c>
      <c r="O312" s="5" t="str">
        <f>IFERROR(VLOOKUP(E312,Specifications!$A$2:$D$9,4,FALSE),"")</f>
        <v/>
      </c>
      <c r="P312" s="8" t="str">
        <f t="shared" si="15"/>
        <v/>
      </c>
      <c r="Q312" s="9"/>
    </row>
    <row r="313" spans="1:17" ht="15">
      <c r="A313" s="5" t="str">
        <f t="shared" si="13"/>
        <v/>
      </c>
      <c r="B313" s="6"/>
      <c r="C313" s="5" t="str">
        <f>IFERROR(VLOOKUP(B313,Lists!$A$2:$B$25,2,FALSE),"")</f>
        <v/>
      </c>
      <c r="D313" s="7"/>
      <c r="E313" s="6"/>
      <c r="F313" s="6" t="str">
        <f t="shared" si="14"/>
        <v/>
      </c>
      <c r="G313" s="6"/>
      <c r="H313" s="6"/>
      <c r="I313" s="6"/>
      <c r="J313" s="7"/>
      <c r="K313" s="5" t="str" cm="1">
        <f t="array" ref="K313">IF(OR(A313="",B313="",D313="",E313=""),"",A313&amp;"_"&amp;SUBSTITUTE(B313," ","-")&amp;"_"&amp;D313&amp;"_"&amp;SUBSTITUTE(SUBSTITUTE(E313," ",""),"€","Euro")&amp;"_"&amp;IF(F313="","Unknown",F313)&amp;IF(F313="Commemorative",IF(G313="","","_"&amp;SUBSTITUTE(SUBSTITUTE(SUBSTITUTE(G313," ","-"),"/","-"),CHAR(39),"")),"")&amp;IF(I313="Duplicate","_Dub"&amp;IF(SUMPRODUCT(($B$2:B313=B313)*($D$2:D313=D313)*($E$2:E313=E313)*($F$2:F313=F313)*($G$2:G313=G313)*($I$2:I313="Duplicate"))&lt;=1,"",SUMPRODUCT(($B$2:B313=B313)*($D$2:D313=D313)*($E$2:E313=E313)*($F$2:F313=F313)*($G$2:G313=G313)*($I$2:I313="Duplicate"))-1),"")&amp;".jpeg")</f>
        <v/>
      </c>
      <c r="L313" s="6"/>
      <c r="M313" s="5" t="str">
        <f>IFERROR(VLOOKUP(E313,Specifications!$A$2:$D$9,2,FALSE),"")</f>
        <v/>
      </c>
      <c r="N313" s="5" t="str">
        <f>IFERROR(VLOOKUP(E313,Specifications!$A$2:$D$9,3,FALSE),"")</f>
        <v/>
      </c>
      <c r="O313" s="5" t="str">
        <f>IFERROR(VLOOKUP(E313,Specifications!$A$2:$D$9,4,FALSE),"")</f>
        <v/>
      </c>
      <c r="P313" s="8" t="str">
        <f t="shared" si="15"/>
        <v/>
      </c>
      <c r="Q313" s="9"/>
    </row>
    <row r="314" spans="1:17" ht="15">
      <c r="A314" s="5" t="str">
        <f t="shared" si="13"/>
        <v/>
      </c>
      <c r="B314" s="6"/>
      <c r="C314" s="5" t="str">
        <f>IFERROR(VLOOKUP(B314,Lists!$A$2:$B$25,2,FALSE),"")</f>
        <v/>
      </c>
      <c r="D314" s="7"/>
      <c r="E314" s="6"/>
      <c r="F314" s="6" t="str">
        <f t="shared" si="14"/>
        <v/>
      </c>
      <c r="G314" s="6"/>
      <c r="H314" s="6"/>
      <c r="I314" s="6"/>
      <c r="J314" s="7"/>
      <c r="K314" s="5" t="str" cm="1">
        <f t="array" ref="K314">IF(OR(A314="",B314="",D314="",E314=""),"",A314&amp;"_"&amp;SUBSTITUTE(B314," ","-")&amp;"_"&amp;D314&amp;"_"&amp;SUBSTITUTE(SUBSTITUTE(E314," ",""),"€","Euro")&amp;"_"&amp;IF(F314="","Unknown",F314)&amp;IF(F314="Commemorative",IF(G314="","","_"&amp;SUBSTITUTE(SUBSTITUTE(SUBSTITUTE(G314," ","-"),"/","-"),CHAR(39),"")),"")&amp;IF(I314="Duplicate","_Dub"&amp;IF(SUMPRODUCT(($B$2:B314=B314)*($D$2:D314=D314)*($E$2:E314=E314)*($F$2:F314=F314)*($G$2:G314=G314)*($I$2:I314="Duplicate"))&lt;=1,"",SUMPRODUCT(($B$2:B314=B314)*($D$2:D314=D314)*($E$2:E314=E314)*($F$2:F314=F314)*($G$2:G314=G314)*($I$2:I314="Duplicate"))-1),"")&amp;".jpeg")</f>
        <v/>
      </c>
      <c r="L314" s="6"/>
      <c r="M314" s="5" t="str">
        <f>IFERROR(VLOOKUP(E314,Specifications!$A$2:$D$9,2,FALSE),"")</f>
        <v/>
      </c>
      <c r="N314" s="5" t="str">
        <f>IFERROR(VLOOKUP(E314,Specifications!$A$2:$D$9,3,FALSE),"")</f>
        <v/>
      </c>
      <c r="O314" s="5" t="str">
        <f>IFERROR(VLOOKUP(E314,Specifications!$A$2:$D$9,4,FALSE),"")</f>
        <v/>
      </c>
      <c r="P314" s="8" t="str">
        <f t="shared" si="15"/>
        <v/>
      </c>
      <c r="Q314" s="9"/>
    </row>
    <row r="315" spans="1:17" ht="15">
      <c r="A315" s="5" t="str">
        <f t="shared" si="13"/>
        <v/>
      </c>
      <c r="B315" s="6"/>
      <c r="C315" s="5" t="str">
        <f>IFERROR(VLOOKUP(B315,Lists!$A$2:$B$25,2,FALSE),"")</f>
        <v/>
      </c>
      <c r="D315" s="7"/>
      <c r="E315" s="6"/>
      <c r="F315" s="6" t="str">
        <f t="shared" si="14"/>
        <v/>
      </c>
      <c r="G315" s="6"/>
      <c r="H315" s="6"/>
      <c r="I315" s="6"/>
      <c r="J315" s="7"/>
      <c r="K315" s="5" t="str" cm="1">
        <f t="array" ref="K315">IF(OR(A315="",B315="",D315="",E315=""),"",A315&amp;"_"&amp;SUBSTITUTE(B315," ","-")&amp;"_"&amp;D315&amp;"_"&amp;SUBSTITUTE(SUBSTITUTE(E315," ",""),"€","Euro")&amp;"_"&amp;IF(F315="","Unknown",F315)&amp;IF(F315="Commemorative",IF(G315="","","_"&amp;SUBSTITUTE(SUBSTITUTE(SUBSTITUTE(G315," ","-"),"/","-"),CHAR(39),"")),"")&amp;IF(I315="Duplicate","_Dub"&amp;IF(SUMPRODUCT(($B$2:B315=B315)*($D$2:D315=D315)*($E$2:E315=E315)*($F$2:F315=F315)*($G$2:G315=G315)*($I$2:I315="Duplicate"))&lt;=1,"",SUMPRODUCT(($B$2:B315=B315)*($D$2:D315=D315)*($E$2:E315=E315)*($F$2:F315=F315)*($G$2:G315=G315)*($I$2:I315="Duplicate"))-1),"")&amp;".jpeg")</f>
        <v/>
      </c>
      <c r="L315" s="6"/>
      <c r="M315" s="5" t="str">
        <f>IFERROR(VLOOKUP(E315,Specifications!$A$2:$D$9,2,FALSE),"")</f>
        <v/>
      </c>
      <c r="N315" s="5" t="str">
        <f>IFERROR(VLOOKUP(E315,Specifications!$A$2:$D$9,3,FALSE),"")</f>
        <v/>
      </c>
      <c r="O315" s="5" t="str">
        <f>IFERROR(VLOOKUP(E315,Specifications!$A$2:$D$9,4,FALSE),"")</f>
        <v/>
      </c>
      <c r="P315" s="8" t="str">
        <f t="shared" si="15"/>
        <v/>
      </c>
      <c r="Q315" s="9"/>
    </row>
    <row r="316" spans="1:17" ht="15">
      <c r="A316" s="5" t="str">
        <f t="shared" si="13"/>
        <v/>
      </c>
      <c r="B316" s="6"/>
      <c r="C316" s="5" t="str">
        <f>IFERROR(VLOOKUP(B316,Lists!$A$2:$B$25,2,FALSE),"")</f>
        <v/>
      </c>
      <c r="D316" s="7"/>
      <c r="E316" s="6"/>
      <c r="F316" s="6" t="str">
        <f t="shared" si="14"/>
        <v/>
      </c>
      <c r="G316" s="6"/>
      <c r="H316" s="6"/>
      <c r="I316" s="6"/>
      <c r="J316" s="7"/>
      <c r="K316" s="5" t="str" cm="1">
        <f t="array" ref="K316">IF(OR(A316="",B316="",D316="",E316=""),"",A316&amp;"_"&amp;SUBSTITUTE(B316," ","-")&amp;"_"&amp;D316&amp;"_"&amp;SUBSTITUTE(SUBSTITUTE(E316," ",""),"€","Euro")&amp;"_"&amp;IF(F316="","Unknown",F316)&amp;IF(F316="Commemorative",IF(G316="","","_"&amp;SUBSTITUTE(SUBSTITUTE(SUBSTITUTE(G316," ","-"),"/","-"),CHAR(39),"")),"")&amp;IF(I316="Duplicate","_Dub"&amp;IF(SUMPRODUCT(($B$2:B316=B316)*($D$2:D316=D316)*($E$2:E316=E316)*($F$2:F316=F316)*($G$2:G316=G316)*($I$2:I316="Duplicate"))&lt;=1,"",SUMPRODUCT(($B$2:B316=B316)*($D$2:D316=D316)*($E$2:E316=E316)*($F$2:F316=F316)*($G$2:G316=G316)*($I$2:I316="Duplicate"))-1),"")&amp;".jpeg")</f>
        <v/>
      </c>
      <c r="L316" s="6"/>
      <c r="M316" s="5" t="str">
        <f>IFERROR(VLOOKUP(E316,Specifications!$A$2:$D$9,2,FALSE),"")</f>
        <v/>
      </c>
      <c r="N316" s="5" t="str">
        <f>IFERROR(VLOOKUP(E316,Specifications!$A$2:$D$9,3,FALSE),"")</f>
        <v/>
      </c>
      <c r="O316" s="5" t="str">
        <f>IFERROR(VLOOKUP(E316,Specifications!$A$2:$D$9,4,FALSE),"")</f>
        <v/>
      </c>
      <c r="P316" s="8" t="str">
        <f t="shared" si="15"/>
        <v/>
      </c>
      <c r="Q316" s="9"/>
    </row>
    <row r="317" spans="1:17" ht="15">
      <c r="A317" s="5" t="str">
        <f t="shared" si="13"/>
        <v/>
      </c>
      <c r="B317" s="6"/>
      <c r="C317" s="5" t="str">
        <f>IFERROR(VLOOKUP(B317,Lists!$A$2:$B$25,2,FALSE),"")</f>
        <v/>
      </c>
      <c r="D317" s="7"/>
      <c r="E317" s="6"/>
      <c r="F317" s="6" t="str">
        <f t="shared" si="14"/>
        <v/>
      </c>
      <c r="G317" s="6"/>
      <c r="H317" s="6"/>
      <c r="I317" s="6"/>
      <c r="J317" s="7"/>
      <c r="K317" s="5" t="str" cm="1">
        <f t="array" ref="K317">IF(OR(A317="",B317="",D317="",E317=""),"",A317&amp;"_"&amp;SUBSTITUTE(B317," ","-")&amp;"_"&amp;D317&amp;"_"&amp;SUBSTITUTE(SUBSTITUTE(E317," ",""),"€","Euro")&amp;"_"&amp;IF(F317="","Unknown",F317)&amp;IF(F317="Commemorative",IF(G317="","","_"&amp;SUBSTITUTE(SUBSTITUTE(SUBSTITUTE(G317," ","-"),"/","-"),CHAR(39),"")),"")&amp;IF(I317="Duplicate","_Dub"&amp;IF(SUMPRODUCT(($B$2:B317=B317)*($D$2:D317=D317)*($E$2:E317=E317)*($F$2:F317=F317)*($G$2:G317=G317)*($I$2:I317="Duplicate"))&lt;=1,"",SUMPRODUCT(($B$2:B317=B317)*($D$2:D317=D317)*($E$2:E317=E317)*($F$2:F317=F317)*($G$2:G317=G317)*($I$2:I317="Duplicate"))-1),"")&amp;".jpeg")</f>
        <v/>
      </c>
      <c r="L317" s="6"/>
      <c r="M317" s="5" t="str">
        <f>IFERROR(VLOOKUP(E317,Specifications!$A$2:$D$9,2,FALSE),"")</f>
        <v/>
      </c>
      <c r="N317" s="5" t="str">
        <f>IFERROR(VLOOKUP(E317,Specifications!$A$2:$D$9,3,FALSE),"")</f>
        <v/>
      </c>
      <c r="O317" s="5" t="str">
        <f>IFERROR(VLOOKUP(E317,Specifications!$A$2:$D$9,4,FALSE),"")</f>
        <v/>
      </c>
      <c r="P317" s="8" t="str">
        <f t="shared" si="15"/>
        <v/>
      </c>
      <c r="Q317" s="9"/>
    </row>
    <row r="318" spans="1:17" ht="15">
      <c r="A318" s="5" t="str">
        <f t="shared" si="13"/>
        <v/>
      </c>
      <c r="B318" s="6"/>
      <c r="C318" s="5" t="str">
        <f>IFERROR(VLOOKUP(B318,Lists!$A$2:$B$25,2,FALSE),"")</f>
        <v/>
      </c>
      <c r="D318" s="7"/>
      <c r="E318" s="6"/>
      <c r="F318" s="6" t="str">
        <f t="shared" si="14"/>
        <v/>
      </c>
      <c r="G318" s="6"/>
      <c r="H318" s="6"/>
      <c r="I318" s="6"/>
      <c r="J318" s="7"/>
      <c r="K318" s="5" t="str" cm="1">
        <f t="array" ref="K318">IF(OR(A318="",B318="",D318="",E318=""),"",A318&amp;"_"&amp;SUBSTITUTE(B318," ","-")&amp;"_"&amp;D318&amp;"_"&amp;SUBSTITUTE(SUBSTITUTE(E318," ",""),"€","Euro")&amp;"_"&amp;IF(F318="","Unknown",F318)&amp;IF(F318="Commemorative",IF(G318="","","_"&amp;SUBSTITUTE(SUBSTITUTE(SUBSTITUTE(G318," ","-"),"/","-"),CHAR(39),"")),"")&amp;IF(I318="Duplicate","_Dub"&amp;IF(SUMPRODUCT(($B$2:B318=B318)*($D$2:D318=D318)*($E$2:E318=E318)*($F$2:F318=F318)*($G$2:G318=G318)*($I$2:I318="Duplicate"))&lt;=1,"",SUMPRODUCT(($B$2:B318=B318)*($D$2:D318=D318)*($E$2:E318=E318)*($F$2:F318=F318)*($G$2:G318=G318)*($I$2:I318="Duplicate"))-1),"")&amp;".jpeg")</f>
        <v/>
      </c>
      <c r="L318" s="6"/>
      <c r="M318" s="5" t="str">
        <f>IFERROR(VLOOKUP(E318,Specifications!$A$2:$D$9,2,FALSE),"")</f>
        <v/>
      </c>
      <c r="N318" s="5" t="str">
        <f>IFERROR(VLOOKUP(E318,Specifications!$A$2:$D$9,3,FALSE),"")</f>
        <v/>
      </c>
      <c r="O318" s="5" t="str">
        <f>IFERROR(VLOOKUP(E318,Specifications!$A$2:$D$9,4,FALSE),"")</f>
        <v/>
      </c>
      <c r="P318" s="8" t="str">
        <f t="shared" si="15"/>
        <v/>
      </c>
      <c r="Q318" s="9"/>
    </row>
    <row r="319" spans="1:17" ht="15">
      <c r="A319" s="5" t="str">
        <f t="shared" si="13"/>
        <v/>
      </c>
      <c r="B319" s="6"/>
      <c r="C319" s="5" t="str">
        <f>IFERROR(VLOOKUP(B319,Lists!$A$2:$B$25,2,FALSE),"")</f>
        <v/>
      </c>
      <c r="D319" s="7"/>
      <c r="E319" s="6"/>
      <c r="F319" s="6" t="str">
        <f t="shared" si="14"/>
        <v/>
      </c>
      <c r="G319" s="6"/>
      <c r="H319" s="6"/>
      <c r="I319" s="6"/>
      <c r="J319" s="7"/>
      <c r="K319" s="5" t="str" cm="1">
        <f t="array" ref="K319">IF(OR(A319="",B319="",D319="",E319=""),"",A319&amp;"_"&amp;SUBSTITUTE(B319," ","-")&amp;"_"&amp;D319&amp;"_"&amp;SUBSTITUTE(SUBSTITUTE(E319," ",""),"€","Euro")&amp;"_"&amp;IF(F319="","Unknown",F319)&amp;IF(F319="Commemorative",IF(G319="","","_"&amp;SUBSTITUTE(SUBSTITUTE(SUBSTITUTE(G319," ","-"),"/","-"),CHAR(39),"")),"")&amp;IF(I319="Duplicate","_Dub"&amp;IF(SUMPRODUCT(($B$2:B319=B319)*($D$2:D319=D319)*($E$2:E319=E319)*($F$2:F319=F319)*($G$2:G319=G319)*($I$2:I319="Duplicate"))&lt;=1,"",SUMPRODUCT(($B$2:B319=B319)*($D$2:D319=D319)*($E$2:E319=E319)*($F$2:F319=F319)*($G$2:G319=G319)*($I$2:I319="Duplicate"))-1),"")&amp;".jpeg")</f>
        <v/>
      </c>
      <c r="L319" s="6"/>
      <c r="M319" s="5" t="str">
        <f>IFERROR(VLOOKUP(E319,Specifications!$A$2:$D$9,2,FALSE),"")</f>
        <v/>
      </c>
      <c r="N319" s="5" t="str">
        <f>IFERROR(VLOOKUP(E319,Specifications!$A$2:$D$9,3,FALSE),"")</f>
        <v/>
      </c>
      <c r="O319" s="5" t="str">
        <f>IFERROR(VLOOKUP(E319,Specifications!$A$2:$D$9,4,FALSE),"")</f>
        <v/>
      </c>
      <c r="P319" s="8" t="str">
        <f t="shared" si="15"/>
        <v/>
      </c>
      <c r="Q319" s="9"/>
    </row>
    <row r="320" spans="1:17" ht="15">
      <c r="A320" s="5" t="str">
        <f t="shared" si="13"/>
        <v/>
      </c>
      <c r="B320" s="6"/>
      <c r="C320" s="5" t="str">
        <f>IFERROR(VLOOKUP(B320,Lists!$A$2:$B$25,2,FALSE),"")</f>
        <v/>
      </c>
      <c r="D320" s="7"/>
      <c r="E320" s="6"/>
      <c r="F320" s="6" t="str">
        <f t="shared" si="14"/>
        <v/>
      </c>
      <c r="G320" s="6"/>
      <c r="H320" s="6"/>
      <c r="I320" s="6"/>
      <c r="J320" s="7"/>
      <c r="K320" s="5" t="str" cm="1">
        <f t="array" ref="K320">IF(OR(A320="",B320="",D320="",E320=""),"",A320&amp;"_"&amp;SUBSTITUTE(B320," ","-")&amp;"_"&amp;D320&amp;"_"&amp;SUBSTITUTE(SUBSTITUTE(E320," ",""),"€","Euro")&amp;"_"&amp;IF(F320="","Unknown",F320)&amp;IF(F320="Commemorative",IF(G320="","","_"&amp;SUBSTITUTE(SUBSTITUTE(SUBSTITUTE(G320," ","-"),"/","-"),CHAR(39),"")),"")&amp;IF(I320="Duplicate","_Dub"&amp;IF(SUMPRODUCT(($B$2:B320=B320)*($D$2:D320=D320)*($E$2:E320=E320)*($F$2:F320=F320)*($G$2:G320=G320)*($I$2:I320="Duplicate"))&lt;=1,"",SUMPRODUCT(($B$2:B320=B320)*($D$2:D320=D320)*($E$2:E320=E320)*($F$2:F320=F320)*($G$2:G320=G320)*($I$2:I320="Duplicate"))-1),"")&amp;".jpeg")</f>
        <v/>
      </c>
      <c r="L320" s="6"/>
      <c r="M320" s="5" t="str">
        <f>IFERROR(VLOOKUP(E320,Specifications!$A$2:$D$9,2,FALSE),"")</f>
        <v/>
      </c>
      <c r="N320" s="5" t="str">
        <f>IFERROR(VLOOKUP(E320,Specifications!$A$2:$D$9,3,FALSE),"")</f>
        <v/>
      </c>
      <c r="O320" s="5" t="str">
        <f>IFERROR(VLOOKUP(E320,Specifications!$A$2:$D$9,4,FALSE),"")</f>
        <v/>
      </c>
      <c r="P320" s="8" t="str">
        <f t="shared" si="15"/>
        <v/>
      </c>
      <c r="Q320" s="9"/>
    </row>
    <row r="321" spans="1:17" ht="15">
      <c r="A321" s="5" t="str">
        <f t="shared" si="13"/>
        <v/>
      </c>
      <c r="B321" s="6"/>
      <c r="C321" s="5" t="str">
        <f>IFERROR(VLOOKUP(B321,Lists!$A$2:$B$25,2,FALSE),"")</f>
        <v/>
      </c>
      <c r="D321" s="7"/>
      <c r="E321" s="6"/>
      <c r="F321" s="6" t="str">
        <f t="shared" si="14"/>
        <v/>
      </c>
      <c r="G321" s="6"/>
      <c r="H321" s="6"/>
      <c r="I321" s="6"/>
      <c r="J321" s="7"/>
      <c r="K321" s="5" t="str" cm="1">
        <f t="array" ref="K321">IF(OR(A321="",B321="",D321="",E321=""),"",A321&amp;"_"&amp;SUBSTITUTE(B321," ","-")&amp;"_"&amp;D321&amp;"_"&amp;SUBSTITUTE(SUBSTITUTE(E321," ",""),"€","Euro")&amp;"_"&amp;IF(F321="","Unknown",F321)&amp;IF(F321="Commemorative",IF(G321="","","_"&amp;SUBSTITUTE(SUBSTITUTE(SUBSTITUTE(G321," ","-"),"/","-"),CHAR(39),"")),"")&amp;IF(I321="Duplicate","_Dub"&amp;IF(SUMPRODUCT(($B$2:B321=B321)*($D$2:D321=D321)*($E$2:E321=E321)*($F$2:F321=F321)*($G$2:G321=G321)*($I$2:I321="Duplicate"))&lt;=1,"",SUMPRODUCT(($B$2:B321=B321)*($D$2:D321=D321)*($E$2:E321=E321)*($F$2:F321=F321)*($G$2:G321=G321)*($I$2:I321="Duplicate"))-1),"")&amp;".jpeg")</f>
        <v/>
      </c>
      <c r="L321" s="6"/>
      <c r="M321" s="5" t="str">
        <f>IFERROR(VLOOKUP(E321,Specifications!$A$2:$D$9,2,FALSE),"")</f>
        <v/>
      </c>
      <c r="N321" s="5" t="str">
        <f>IFERROR(VLOOKUP(E321,Specifications!$A$2:$D$9,3,FALSE),"")</f>
        <v/>
      </c>
      <c r="O321" s="5" t="str">
        <f>IFERROR(VLOOKUP(E321,Specifications!$A$2:$D$9,4,FALSE),"")</f>
        <v/>
      </c>
      <c r="P321" s="8" t="str">
        <f t="shared" si="15"/>
        <v/>
      </c>
      <c r="Q321" s="9"/>
    </row>
    <row r="322" spans="1:17" ht="15">
      <c r="A322" s="5" t="str">
        <f t="shared" ref="A322:A385" si="16">IF(B322="","",TEXT(ROW()-1,"000"))</f>
        <v/>
      </c>
      <c r="B322" s="6"/>
      <c r="C322" s="5" t="str">
        <f>IFERROR(VLOOKUP(B322,Lists!$A$2:$B$25,2,FALSE),"")</f>
        <v/>
      </c>
      <c r="D322" s="7"/>
      <c r="E322" s="6"/>
      <c r="F322" s="6" t="str">
        <f t="shared" ref="F322:F385" si="17">IF(E322="","",IF(E322="2 €","", "Regular"))</f>
        <v/>
      </c>
      <c r="G322" s="6"/>
      <c r="H322" s="6"/>
      <c r="I322" s="6"/>
      <c r="J322" s="7"/>
      <c r="K322" s="5" t="str" cm="1">
        <f t="array" ref="K322">IF(OR(A322="",B322="",D322="",E322=""),"",A322&amp;"_"&amp;SUBSTITUTE(B322," ","-")&amp;"_"&amp;D322&amp;"_"&amp;SUBSTITUTE(SUBSTITUTE(E322," ",""),"€","Euro")&amp;"_"&amp;IF(F322="","Unknown",F322)&amp;IF(F322="Commemorative",IF(G322="","","_"&amp;SUBSTITUTE(SUBSTITUTE(SUBSTITUTE(G322," ","-"),"/","-"),CHAR(39),"")),"")&amp;IF(I322="Duplicate","_Dub"&amp;IF(SUMPRODUCT(($B$2:B322=B322)*($D$2:D322=D322)*($E$2:E322=E322)*($F$2:F322=F322)*($G$2:G322=G322)*($I$2:I322="Duplicate"))&lt;=1,"",SUMPRODUCT(($B$2:B322=B322)*($D$2:D322=D322)*($E$2:E322=E322)*($F$2:F322=F322)*($G$2:G322=G322)*($I$2:I322="Duplicate"))-1),"")&amp;".jpeg")</f>
        <v/>
      </c>
      <c r="L322" s="6"/>
      <c r="M322" s="5" t="str">
        <f>IFERROR(VLOOKUP(E322,Specifications!$A$2:$D$9,2,FALSE),"")</f>
        <v/>
      </c>
      <c r="N322" s="5" t="str">
        <f>IFERROR(VLOOKUP(E322,Specifications!$A$2:$D$9,3,FALSE),"")</f>
        <v/>
      </c>
      <c r="O322" s="5" t="str">
        <f>IFERROR(VLOOKUP(E322,Specifications!$A$2:$D$9,4,FALSE),"")</f>
        <v/>
      </c>
      <c r="P322" s="8" t="str">
        <f t="shared" ref="P322:P385" si="18">IF(OR(B322="",E322="",F322=""),"",IF(F322="Regular","Regular "&amp;E322&amp;" circulation coin of "&amp;B322&amp;".",IF(F322="Commemorative",IF(G322="","",E322&amp;" commemorative coin of "&amp;B322&amp;" – "&amp;G322&amp;"."),"")))</f>
        <v/>
      </c>
      <c r="Q322" s="9"/>
    </row>
    <row r="323" spans="1:17" ht="15">
      <c r="A323" s="5" t="str">
        <f t="shared" si="16"/>
        <v/>
      </c>
      <c r="B323" s="6"/>
      <c r="C323" s="5" t="str">
        <f>IFERROR(VLOOKUP(B323,Lists!$A$2:$B$25,2,FALSE),"")</f>
        <v/>
      </c>
      <c r="D323" s="7"/>
      <c r="E323" s="6"/>
      <c r="F323" s="6" t="str">
        <f t="shared" si="17"/>
        <v/>
      </c>
      <c r="G323" s="6"/>
      <c r="H323" s="6"/>
      <c r="I323" s="6"/>
      <c r="J323" s="7"/>
      <c r="K323" s="5" t="str" cm="1">
        <f t="array" ref="K323">IF(OR(A323="",B323="",D323="",E323=""),"",A323&amp;"_"&amp;SUBSTITUTE(B323," ","-")&amp;"_"&amp;D323&amp;"_"&amp;SUBSTITUTE(SUBSTITUTE(E323," ",""),"€","Euro")&amp;"_"&amp;IF(F323="","Unknown",F323)&amp;IF(F323="Commemorative",IF(G323="","","_"&amp;SUBSTITUTE(SUBSTITUTE(SUBSTITUTE(G323," ","-"),"/","-"),CHAR(39),"")),"")&amp;IF(I323="Duplicate","_Dub"&amp;IF(SUMPRODUCT(($B$2:B323=B323)*($D$2:D323=D323)*($E$2:E323=E323)*($F$2:F323=F323)*($G$2:G323=G323)*($I$2:I323="Duplicate"))&lt;=1,"",SUMPRODUCT(($B$2:B323=B323)*($D$2:D323=D323)*($E$2:E323=E323)*($F$2:F323=F323)*($G$2:G323=G323)*($I$2:I323="Duplicate"))-1),"")&amp;".jpeg")</f>
        <v/>
      </c>
      <c r="L323" s="6"/>
      <c r="M323" s="5" t="str">
        <f>IFERROR(VLOOKUP(E323,Specifications!$A$2:$D$9,2,FALSE),"")</f>
        <v/>
      </c>
      <c r="N323" s="5" t="str">
        <f>IFERROR(VLOOKUP(E323,Specifications!$A$2:$D$9,3,FALSE),"")</f>
        <v/>
      </c>
      <c r="O323" s="5" t="str">
        <f>IFERROR(VLOOKUP(E323,Specifications!$A$2:$D$9,4,FALSE),"")</f>
        <v/>
      </c>
      <c r="P323" s="8" t="str">
        <f t="shared" si="18"/>
        <v/>
      </c>
      <c r="Q323" s="9"/>
    </row>
    <row r="324" spans="1:17" ht="15">
      <c r="A324" s="5" t="str">
        <f t="shared" si="16"/>
        <v/>
      </c>
      <c r="B324" s="6"/>
      <c r="C324" s="5" t="str">
        <f>IFERROR(VLOOKUP(B324,Lists!$A$2:$B$25,2,FALSE),"")</f>
        <v/>
      </c>
      <c r="D324" s="7"/>
      <c r="E324" s="6"/>
      <c r="F324" s="6" t="str">
        <f t="shared" si="17"/>
        <v/>
      </c>
      <c r="G324" s="6"/>
      <c r="H324" s="6"/>
      <c r="I324" s="6"/>
      <c r="J324" s="7"/>
      <c r="K324" s="5" t="str" cm="1">
        <f t="array" ref="K324">IF(OR(A324="",B324="",D324="",E324=""),"",A324&amp;"_"&amp;SUBSTITUTE(B324," ","-")&amp;"_"&amp;D324&amp;"_"&amp;SUBSTITUTE(SUBSTITUTE(E324," ",""),"€","Euro")&amp;"_"&amp;IF(F324="","Unknown",F324)&amp;IF(F324="Commemorative",IF(G324="","","_"&amp;SUBSTITUTE(SUBSTITUTE(SUBSTITUTE(G324," ","-"),"/","-"),CHAR(39),"")),"")&amp;IF(I324="Duplicate","_Dub"&amp;IF(SUMPRODUCT(($B$2:B324=B324)*($D$2:D324=D324)*($E$2:E324=E324)*($F$2:F324=F324)*($G$2:G324=G324)*($I$2:I324="Duplicate"))&lt;=1,"",SUMPRODUCT(($B$2:B324=B324)*($D$2:D324=D324)*($E$2:E324=E324)*($F$2:F324=F324)*($G$2:G324=G324)*($I$2:I324="Duplicate"))-1),"")&amp;".jpeg")</f>
        <v/>
      </c>
      <c r="L324" s="6"/>
      <c r="M324" s="5" t="str">
        <f>IFERROR(VLOOKUP(E324,Specifications!$A$2:$D$9,2,FALSE),"")</f>
        <v/>
      </c>
      <c r="N324" s="5" t="str">
        <f>IFERROR(VLOOKUP(E324,Specifications!$A$2:$D$9,3,FALSE),"")</f>
        <v/>
      </c>
      <c r="O324" s="5" t="str">
        <f>IFERROR(VLOOKUP(E324,Specifications!$A$2:$D$9,4,FALSE),"")</f>
        <v/>
      </c>
      <c r="P324" s="8" t="str">
        <f t="shared" si="18"/>
        <v/>
      </c>
      <c r="Q324" s="9"/>
    </row>
    <row r="325" spans="1:17" ht="15">
      <c r="A325" s="5" t="str">
        <f t="shared" si="16"/>
        <v/>
      </c>
      <c r="B325" s="6"/>
      <c r="C325" s="5" t="str">
        <f>IFERROR(VLOOKUP(B325,Lists!$A$2:$B$25,2,FALSE),"")</f>
        <v/>
      </c>
      <c r="D325" s="7"/>
      <c r="E325" s="6"/>
      <c r="F325" s="6" t="str">
        <f t="shared" si="17"/>
        <v/>
      </c>
      <c r="G325" s="6"/>
      <c r="H325" s="6"/>
      <c r="I325" s="6"/>
      <c r="J325" s="7"/>
      <c r="K325" s="5" t="str" cm="1">
        <f t="array" ref="K325">IF(OR(A325="",B325="",D325="",E325=""),"",A325&amp;"_"&amp;SUBSTITUTE(B325," ","-")&amp;"_"&amp;D325&amp;"_"&amp;SUBSTITUTE(SUBSTITUTE(E325," ",""),"€","Euro")&amp;"_"&amp;IF(F325="","Unknown",F325)&amp;IF(F325="Commemorative",IF(G325="","","_"&amp;SUBSTITUTE(SUBSTITUTE(SUBSTITUTE(G325," ","-"),"/","-"),CHAR(39),"")),"")&amp;IF(I325="Duplicate","_Dub"&amp;IF(SUMPRODUCT(($B$2:B325=B325)*($D$2:D325=D325)*($E$2:E325=E325)*($F$2:F325=F325)*($G$2:G325=G325)*($I$2:I325="Duplicate"))&lt;=1,"",SUMPRODUCT(($B$2:B325=B325)*($D$2:D325=D325)*($E$2:E325=E325)*($F$2:F325=F325)*($G$2:G325=G325)*($I$2:I325="Duplicate"))-1),"")&amp;".jpeg")</f>
        <v/>
      </c>
      <c r="L325" s="6"/>
      <c r="M325" s="5" t="str">
        <f>IFERROR(VLOOKUP(E325,Specifications!$A$2:$D$9,2,FALSE),"")</f>
        <v/>
      </c>
      <c r="N325" s="5" t="str">
        <f>IFERROR(VLOOKUP(E325,Specifications!$A$2:$D$9,3,FALSE),"")</f>
        <v/>
      </c>
      <c r="O325" s="5" t="str">
        <f>IFERROR(VLOOKUP(E325,Specifications!$A$2:$D$9,4,FALSE),"")</f>
        <v/>
      </c>
      <c r="P325" s="8" t="str">
        <f t="shared" si="18"/>
        <v/>
      </c>
      <c r="Q325" s="9"/>
    </row>
    <row r="326" spans="1:17" ht="15">
      <c r="A326" s="5" t="str">
        <f t="shared" si="16"/>
        <v/>
      </c>
      <c r="B326" s="6"/>
      <c r="C326" s="5" t="str">
        <f>IFERROR(VLOOKUP(B326,Lists!$A$2:$B$25,2,FALSE),"")</f>
        <v/>
      </c>
      <c r="D326" s="7"/>
      <c r="E326" s="6"/>
      <c r="F326" s="6" t="str">
        <f t="shared" si="17"/>
        <v/>
      </c>
      <c r="G326" s="6"/>
      <c r="H326" s="6"/>
      <c r="I326" s="6"/>
      <c r="J326" s="7"/>
      <c r="K326" s="5" t="str" cm="1">
        <f t="array" ref="K326">IF(OR(A326="",B326="",D326="",E326=""),"",A326&amp;"_"&amp;SUBSTITUTE(B326," ","-")&amp;"_"&amp;D326&amp;"_"&amp;SUBSTITUTE(SUBSTITUTE(E326," ",""),"€","Euro")&amp;"_"&amp;IF(F326="","Unknown",F326)&amp;IF(F326="Commemorative",IF(G326="","","_"&amp;SUBSTITUTE(SUBSTITUTE(SUBSTITUTE(G326," ","-"),"/","-"),CHAR(39),"")),"")&amp;IF(I326="Duplicate","_Dub"&amp;IF(SUMPRODUCT(($B$2:B326=B326)*($D$2:D326=D326)*($E$2:E326=E326)*($F$2:F326=F326)*($G$2:G326=G326)*($I$2:I326="Duplicate"))&lt;=1,"",SUMPRODUCT(($B$2:B326=B326)*($D$2:D326=D326)*($E$2:E326=E326)*($F$2:F326=F326)*($G$2:G326=G326)*($I$2:I326="Duplicate"))-1),"")&amp;".jpeg")</f>
        <v/>
      </c>
      <c r="L326" s="6"/>
      <c r="M326" s="5" t="str">
        <f>IFERROR(VLOOKUP(E326,Specifications!$A$2:$D$9,2,FALSE),"")</f>
        <v/>
      </c>
      <c r="N326" s="5" t="str">
        <f>IFERROR(VLOOKUP(E326,Specifications!$A$2:$D$9,3,FALSE),"")</f>
        <v/>
      </c>
      <c r="O326" s="5" t="str">
        <f>IFERROR(VLOOKUP(E326,Specifications!$A$2:$D$9,4,FALSE),"")</f>
        <v/>
      </c>
      <c r="P326" s="8" t="str">
        <f t="shared" si="18"/>
        <v/>
      </c>
      <c r="Q326" s="9"/>
    </row>
    <row r="327" spans="1:17" ht="15">
      <c r="A327" s="5" t="str">
        <f t="shared" si="16"/>
        <v/>
      </c>
      <c r="B327" s="6"/>
      <c r="C327" s="5" t="str">
        <f>IFERROR(VLOOKUP(B327,Lists!$A$2:$B$25,2,FALSE),"")</f>
        <v/>
      </c>
      <c r="D327" s="7"/>
      <c r="E327" s="6"/>
      <c r="F327" s="6" t="str">
        <f t="shared" si="17"/>
        <v/>
      </c>
      <c r="G327" s="6"/>
      <c r="H327" s="6"/>
      <c r="I327" s="6"/>
      <c r="J327" s="7"/>
      <c r="K327" s="5" t="str" cm="1">
        <f t="array" ref="K327">IF(OR(A327="",B327="",D327="",E327=""),"",A327&amp;"_"&amp;SUBSTITUTE(B327," ","-")&amp;"_"&amp;D327&amp;"_"&amp;SUBSTITUTE(SUBSTITUTE(E327," ",""),"€","Euro")&amp;"_"&amp;IF(F327="","Unknown",F327)&amp;IF(F327="Commemorative",IF(G327="","","_"&amp;SUBSTITUTE(SUBSTITUTE(SUBSTITUTE(G327," ","-"),"/","-"),CHAR(39),"")),"")&amp;IF(I327="Duplicate","_Dub"&amp;IF(SUMPRODUCT(($B$2:B327=B327)*($D$2:D327=D327)*($E$2:E327=E327)*($F$2:F327=F327)*($G$2:G327=G327)*($I$2:I327="Duplicate"))&lt;=1,"",SUMPRODUCT(($B$2:B327=B327)*($D$2:D327=D327)*($E$2:E327=E327)*($F$2:F327=F327)*($G$2:G327=G327)*($I$2:I327="Duplicate"))-1),"")&amp;".jpeg")</f>
        <v/>
      </c>
      <c r="L327" s="6"/>
      <c r="M327" s="5" t="str">
        <f>IFERROR(VLOOKUP(E327,Specifications!$A$2:$D$9,2,FALSE),"")</f>
        <v/>
      </c>
      <c r="N327" s="5" t="str">
        <f>IFERROR(VLOOKUP(E327,Specifications!$A$2:$D$9,3,FALSE),"")</f>
        <v/>
      </c>
      <c r="O327" s="5" t="str">
        <f>IFERROR(VLOOKUP(E327,Specifications!$A$2:$D$9,4,FALSE),"")</f>
        <v/>
      </c>
      <c r="P327" s="8" t="str">
        <f t="shared" si="18"/>
        <v/>
      </c>
      <c r="Q327" s="9"/>
    </row>
    <row r="328" spans="1:17" ht="15">
      <c r="A328" s="5" t="str">
        <f t="shared" si="16"/>
        <v/>
      </c>
      <c r="B328" s="6"/>
      <c r="C328" s="5" t="str">
        <f>IFERROR(VLOOKUP(B328,Lists!$A$2:$B$25,2,FALSE),"")</f>
        <v/>
      </c>
      <c r="D328" s="7"/>
      <c r="E328" s="6"/>
      <c r="F328" s="6" t="str">
        <f t="shared" si="17"/>
        <v/>
      </c>
      <c r="G328" s="6"/>
      <c r="H328" s="6"/>
      <c r="I328" s="6"/>
      <c r="J328" s="7"/>
      <c r="K328" s="5" t="str" cm="1">
        <f t="array" ref="K328">IF(OR(A328="",B328="",D328="",E328=""),"",A328&amp;"_"&amp;SUBSTITUTE(B328," ","-")&amp;"_"&amp;D328&amp;"_"&amp;SUBSTITUTE(SUBSTITUTE(E328," ",""),"€","Euro")&amp;"_"&amp;IF(F328="","Unknown",F328)&amp;IF(F328="Commemorative",IF(G328="","","_"&amp;SUBSTITUTE(SUBSTITUTE(SUBSTITUTE(G328," ","-"),"/","-"),CHAR(39),"")),"")&amp;IF(I328="Duplicate","_Dub"&amp;IF(SUMPRODUCT(($B$2:B328=B328)*($D$2:D328=D328)*($E$2:E328=E328)*($F$2:F328=F328)*($G$2:G328=G328)*($I$2:I328="Duplicate"))&lt;=1,"",SUMPRODUCT(($B$2:B328=B328)*($D$2:D328=D328)*($E$2:E328=E328)*($F$2:F328=F328)*($G$2:G328=G328)*($I$2:I328="Duplicate"))-1),"")&amp;".jpeg")</f>
        <v/>
      </c>
      <c r="L328" s="6"/>
      <c r="M328" s="5" t="str">
        <f>IFERROR(VLOOKUP(E328,Specifications!$A$2:$D$9,2,FALSE),"")</f>
        <v/>
      </c>
      <c r="N328" s="5" t="str">
        <f>IFERROR(VLOOKUP(E328,Specifications!$A$2:$D$9,3,FALSE),"")</f>
        <v/>
      </c>
      <c r="O328" s="5" t="str">
        <f>IFERROR(VLOOKUP(E328,Specifications!$A$2:$D$9,4,FALSE),"")</f>
        <v/>
      </c>
      <c r="P328" s="8" t="str">
        <f t="shared" si="18"/>
        <v/>
      </c>
      <c r="Q328" s="9"/>
    </row>
    <row r="329" spans="1:17" ht="15">
      <c r="A329" s="5" t="str">
        <f t="shared" si="16"/>
        <v/>
      </c>
      <c r="B329" s="6"/>
      <c r="C329" s="5" t="str">
        <f>IFERROR(VLOOKUP(B329,Lists!$A$2:$B$25,2,FALSE),"")</f>
        <v/>
      </c>
      <c r="D329" s="7"/>
      <c r="E329" s="6"/>
      <c r="F329" s="6" t="str">
        <f t="shared" si="17"/>
        <v/>
      </c>
      <c r="G329" s="6"/>
      <c r="H329" s="6"/>
      <c r="I329" s="6"/>
      <c r="J329" s="7"/>
      <c r="K329" s="5" t="str" cm="1">
        <f t="array" ref="K329">IF(OR(A329="",B329="",D329="",E329=""),"",A329&amp;"_"&amp;SUBSTITUTE(B329," ","-")&amp;"_"&amp;D329&amp;"_"&amp;SUBSTITUTE(SUBSTITUTE(E329," ",""),"€","Euro")&amp;"_"&amp;IF(F329="","Unknown",F329)&amp;IF(F329="Commemorative",IF(G329="","","_"&amp;SUBSTITUTE(SUBSTITUTE(SUBSTITUTE(G329," ","-"),"/","-"),CHAR(39),"")),"")&amp;IF(I329="Duplicate","_Dub"&amp;IF(SUMPRODUCT(($B$2:B329=B329)*($D$2:D329=D329)*($E$2:E329=E329)*($F$2:F329=F329)*($G$2:G329=G329)*($I$2:I329="Duplicate"))&lt;=1,"",SUMPRODUCT(($B$2:B329=B329)*($D$2:D329=D329)*($E$2:E329=E329)*($F$2:F329=F329)*($G$2:G329=G329)*($I$2:I329="Duplicate"))-1),"")&amp;".jpeg")</f>
        <v/>
      </c>
      <c r="L329" s="6"/>
      <c r="M329" s="5" t="str">
        <f>IFERROR(VLOOKUP(E329,Specifications!$A$2:$D$9,2,FALSE),"")</f>
        <v/>
      </c>
      <c r="N329" s="5" t="str">
        <f>IFERROR(VLOOKUP(E329,Specifications!$A$2:$D$9,3,FALSE),"")</f>
        <v/>
      </c>
      <c r="O329" s="5" t="str">
        <f>IFERROR(VLOOKUP(E329,Specifications!$A$2:$D$9,4,FALSE),"")</f>
        <v/>
      </c>
      <c r="P329" s="8" t="str">
        <f t="shared" si="18"/>
        <v/>
      </c>
      <c r="Q329" s="9"/>
    </row>
    <row r="330" spans="1:17" ht="15">
      <c r="A330" s="5" t="str">
        <f t="shared" si="16"/>
        <v/>
      </c>
      <c r="B330" s="6"/>
      <c r="C330" s="5" t="str">
        <f>IFERROR(VLOOKUP(B330,Lists!$A$2:$B$25,2,FALSE),"")</f>
        <v/>
      </c>
      <c r="D330" s="7"/>
      <c r="E330" s="6"/>
      <c r="F330" s="6" t="str">
        <f t="shared" si="17"/>
        <v/>
      </c>
      <c r="G330" s="6"/>
      <c r="H330" s="6"/>
      <c r="I330" s="6"/>
      <c r="J330" s="7"/>
      <c r="K330" s="5" t="str" cm="1">
        <f t="array" ref="K330">IF(OR(A330="",B330="",D330="",E330=""),"",A330&amp;"_"&amp;SUBSTITUTE(B330," ","-")&amp;"_"&amp;D330&amp;"_"&amp;SUBSTITUTE(SUBSTITUTE(E330," ",""),"€","Euro")&amp;"_"&amp;IF(F330="","Unknown",F330)&amp;IF(F330="Commemorative",IF(G330="","","_"&amp;SUBSTITUTE(SUBSTITUTE(SUBSTITUTE(G330," ","-"),"/","-"),CHAR(39),"")),"")&amp;IF(I330="Duplicate","_Dub"&amp;IF(SUMPRODUCT(($B$2:B330=B330)*($D$2:D330=D330)*($E$2:E330=E330)*($F$2:F330=F330)*($G$2:G330=G330)*($I$2:I330="Duplicate"))&lt;=1,"",SUMPRODUCT(($B$2:B330=B330)*($D$2:D330=D330)*($E$2:E330=E330)*($F$2:F330=F330)*($G$2:G330=G330)*($I$2:I330="Duplicate"))-1),"")&amp;".jpeg")</f>
        <v/>
      </c>
      <c r="L330" s="6"/>
      <c r="M330" s="5" t="str">
        <f>IFERROR(VLOOKUP(E330,Specifications!$A$2:$D$9,2,FALSE),"")</f>
        <v/>
      </c>
      <c r="N330" s="5" t="str">
        <f>IFERROR(VLOOKUP(E330,Specifications!$A$2:$D$9,3,FALSE),"")</f>
        <v/>
      </c>
      <c r="O330" s="5" t="str">
        <f>IFERROR(VLOOKUP(E330,Specifications!$A$2:$D$9,4,FALSE),"")</f>
        <v/>
      </c>
      <c r="P330" s="8" t="str">
        <f t="shared" si="18"/>
        <v/>
      </c>
      <c r="Q330" s="9"/>
    </row>
    <row r="331" spans="1:17" ht="15">
      <c r="A331" s="5" t="str">
        <f t="shared" si="16"/>
        <v/>
      </c>
      <c r="B331" s="6"/>
      <c r="C331" s="5" t="str">
        <f>IFERROR(VLOOKUP(B331,Lists!$A$2:$B$25,2,FALSE),"")</f>
        <v/>
      </c>
      <c r="D331" s="7"/>
      <c r="E331" s="6"/>
      <c r="F331" s="6" t="str">
        <f t="shared" si="17"/>
        <v/>
      </c>
      <c r="G331" s="6"/>
      <c r="H331" s="6"/>
      <c r="I331" s="6"/>
      <c r="J331" s="7"/>
      <c r="K331" s="5" t="str" cm="1">
        <f t="array" ref="K331">IF(OR(A331="",B331="",D331="",E331=""),"",A331&amp;"_"&amp;SUBSTITUTE(B331," ","-")&amp;"_"&amp;D331&amp;"_"&amp;SUBSTITUTE(SUBSTITUTE(E331," ",""),"€","Euro")&amp;"_"&amp;IF(F331="","Unknown",F331)&amp;IF(F331="Commemorative",IF(G331="","","_"&amp;SUBSTITUTE(SUBSTITUTE(SUBSTITUTE(G331," ","-"),"/","-"),CHAR(39),"")),"")&amp;IF(I331="Duplicate","_Dub"&amp;IF(SUMPRODUCT(($B$2:B331=B331)*($D$2:D331=D331)*($E$2:E331=E331)*($F$2:F331=F331)*($G$2:G331=G331)*($I$2:I331="Duplicate"))&lt;=1,"",SUMPRODUCT(($B$2:B331=B331)*($D$2:D331=D331)*($E$2:E331=E331)*($F$2:F331=F331)*($G$2:G331=G331)*($I$2:I331="Duplicate"))-1),"")&amp;".jpeg")</f>
        <v/>
      </c>
      <c r="L331" s="6"/>
      <c r="M331" s="5" t="str">
        <f>IFERROR(VLOOKUP(E331,Specifications!$A$2:$D$9,2,FALSE),"")</f>
        <v/>
      </c>
      <c r="N331" s="5" t="str">
        <f>IFERROR(VLOOKUP(E331,Specifications!$A$2:$D$9,3,FALSE),"")</f>
        <v/>
      </c>
      <c r="O331" s="5" t="str">
        <f>IFERROR(VLOOKUP(E331,Specifications!$A$2:$D$9,4,FALSE),"")</f>
        <v/>
      </c>
      <c r="P331" s="8" t="str">
        <f t="shared" si="18"/>
        <v/>
      </c>
      <c r="Q331" s="9"/>
    </row>
    <row r="332" spans="1:17" ht="15">
      <c r="A332" s="5" t="str">
        <f t="shared" si="16"/>
        <v/>
      </c>
      <c r="B332" s="6"/>
      <c r="C332" s="5" t="str">
        <f>IFERROR(VLOOKUP(B332,Lists!$A$2:$B$25,2,FALSE),"")</f>
        <v/>
      </c>
      <c r="D332" s="7"/>
      <c r="E332" s="6"/>
      <c r="F332" s="6" t="str">
        <f t="shared" si="17"/>
        <v/>
      </c>
      <c r="G332" s="6"/>
      <c r="H332" s="6"/>
      <c r="I332" s="6"/>
      <c r="J332" s="7"/>
      <c r="K332" s="5" t="str" cm="1">
        <f t="array" ref="K332">IF(OR(A332="",B332="",D332="",E332=""),"",A332&amp;"_"&amp;SUBSTITUTE(B332," ","-")&amp;"_"&amp;D332&amp;"_"&amp;SUBSTITUTE(SUBSTITUTE(E332," ",""),"€","Euro")&amp;"_"&amp;IF(F332="","Unknown",F332)&amp;IF(F332="Commemorative",IF(G332="","","_"&amp;SUBSTITUTE(SUBSTITUTE(SUBSTITUTE(G332," ","-"),"/","-"),CHAR(39),"")),"")&amp;IF(I332="Duplicate","_Dub"&amp;IF(SUMPRODUCT(($B$2:B332=B332)*($D$2:D332=D332)*($E$2:E332=E332)*($F$2:F332=F332)*($G$2:G332=G332)*($I$2:I332="Duplicate"))&lt;=1,"",SUMPRODUCT(($B$2:B332=B332)*($D$2:D332=D332)*($E$2:E332=E332)*($F$2:F332=F332)*($G$2:G332=G332)*($I$2:I332="Duplicate"))-1),"")&amp;".jpeg")</f>
        <v/>
      </c>
      <c r="L332" s="6"/>
      <c r="M332" s="5" t="str">
        <f>IFERROR(VLOOKUP(E332,Specifications!$A$2:$D$9,2,FALSE),"")</f>
        <v/>
      </c>
      <c r="N332" s="5" t="str">
        <f>IFERROR(VLOOKUP(E332,Specifications!$A$2:$D$9,3,FALSE),"")</f>
        <v/>
      </c>
      <c r="O332" s="5" t="str">
        <f>IFERROR(VLOOKUP(E332,Specifications!$A$2:$D$9,4,FALSE),"")</f>
        <v/>
      </c>
      <c r="P332" s="8" t="str">
        <f t="shared" si="18"/>
        <v/>
      </c>
      <c r="Q332" s="9"/>
    </row>
    <row r="333" spans="1:17" ht="15">
      <c r="A333" s="5" t="str">
        <f t="shared" si="16"/>
        <v/>
      </c>
      <c r="B333" s="6"/>
      <c r="C333" s="5" t="str">
        <f>IFERROR(VLOOKUP(B333,Lists!$A$2:$B$25,2,FALSE),"")</f>
        <v/>
      </c>
      <c r="D333" s="7"/>
      <c r="E333" s="6"/>
      <c r="F333" s="6" t="str">
        <f t="shared" si="17"/>
        <v/>
      </c>
      <c r="G333" s="6"/>
      <c r="H333" s="6"/>
      <c r="I333" s="6"/>
      <c r="J333" s="7"/>
      <c r="K333" s="5" t="str" cm="1">
        <f t="array" ref="K333">IF(OR(A333="",B333="",D333="",E333=""),"",A333&amp;"_"&amp;SUBSTITUTE(B333," ","-")&amp;"_"&amp;D333&amp;"_"&amp;SUBSTITUTE(SUBSTITUTE(E333," ",""),"€","Euro")&amp;"_"&amp;IF(F333="","Unknown",F333)&amp;IF(F333="Commemorative",IF(G333="","","_"&amp;SUBSTITUTE(SUBSTITUTE(SUBSTITUTE(G333," ","-"),"/","-"),CHAR(39),"")),"")&amp;IF(I333="Duplicate","_Dub"&amp;IF(SUMPRODUCT(($B$2:B333=B333)*($D$2:D333=D333)*($E$2:E333=E333)*($F$2:F333=F333)*($G$2:G333=G333)*($I$2:I333="Duplicate"))&lt;=1,"",SUMPRODUCT(($B$2:B333=B333)*($D$2:D333=D333)*($E$2:E333=E333)*($F$2:F333=F333)*($G$2:G333=G333)*($I$2:I333="Duplicate"))-1),"")&amp;".jpeg")</f>
        <v/>
      </c>
      <c r="L333" s="6"/>
      <c r="M333" s="5" t="str">
        <f>IFERROR(VLOOKUP(E333,Specifications!$A$2:$D$9,2,FALSE),"")</f>
        <v/>
      </c>
      <c r="N333" s="5" t="str">
        <f>IFERROR(VLOOKUP(E333,Specifications!$A$2:$D$9,3,FALSE),"")</f>
        <v/>
      </c>
      <c r="O333" s="5" t="str">
        <f>IFERROR(VLOOKUP(E333,Specifications!$A$2:$D$9,4,FALSE),"")</f>
        <v/>
      </c>
      <c r="P333" s="8" t="str">
        <f t="shared" si="18"/>
        <v/>
      </c>
      <c r="Q333" s="9"/>
    </row>
    <row r="334" spans="1:17" ht="15">
      <c r="A334" s="5" t="str">
        <f t="shared" si="16"/>
        <v/>
      </c>
      <c r="B334" s="6"/>
      <c r="C334" s="5" t="str">
        <f>IFERROR(VLOOKUP(B334,Lists!$A$2:$B$25,2,FALSE),"")</f>
        <v/>
      </c>
      <c r="D334" s="7"/>
      <c r="E334" s="6"/>
      <c r="F334" s="6" t="str">
        <f t="shared" si="17"/>
        <v/>
      </c>
      <c r="G334" s="6"/>
      <c r="H334" s="6"/>
      <c r="I334" s="6"/>
      <c r="J334" s="7"/>
      <c r="K334" s="5" t="str" cm="1">
        <f t="array" ref="K334">IF(OR(A334="",B334="",D334="",E334=""),"",A334&amp;"_"&amp;SUBSTITUTE(B334," ","-")&amp;"_"&amp;D334&amp;"_"&amp;SUBSTITUTE(SUBSTITUTE(E334," ",""),"€","Euro")&amp;"_"&amp;IF(F334="","Unknown",F334)&amp;IF(F334="Commemorative",IF(G334="","","_"&amp;SUBSTITUTE(SUBSTITUTE(SUBSTITUTE(G334," ","-"),"/","-"),CHAR(39),"")),"")&amp;IF(I334="Duplicate","_Dub"&amp;IF(SUMPRODUCT(($B$2:B334=B334)*($D$2:D334=D334)*($E$2:E334=E334)*($F$2:F334=F334)*($G$2:G334=G334)*($I$2:I334="Duplicate"))&lt;=1,"",SUMPRODUCT(($B$2:B334=B334)*($D$2:D334=D334)*($E$2:E334=E334)*($F$2:F334=F334)*($G$2:G334=G334)*($I$2:I334="Duplicate"))-1),"")&amp;".jpeg")</f>
        <v/>
      </c>
      <c r="L334" s="6"/>
      <c r="M334" s="5" t="str">
        <f>IFERROR(VLOOKUP(E334,Specifications!$A$2:$D$9,2,FALSE),"")</f>
        <v/>
      </c>
      <c r="N334" s="5" t="str">
        <f>IFERROR(VLOOKUP(E334,Specifications!$A$2:$D$9,3,FALSE),"")</f>
        <v/>
      </c>
      <c r="O334" s="5" t="str">
        <f>IFERROR(VLOOKUP(E334,Specifications!$A$2:$D$9,4,FALSE),"")</f>
        <v/>
      </c>
      <c r="P334" s="8" t="str">
        <f t="shared" si="18"/>
        <v/>
      </c>
      <c r="Q334" s="9"/>
    </row>
    <row r="335" spans="1:17" ht="15">
      <c r="A335" s="5" t="str">
        <f t="shared" si="16"/>
        <v/>
      </c>
      <c r="B335" s="6"/>
      <c r="C335" s="5" t="str">
        <f>IFERROR(VLOOKUP(B335,Lists!$A$2:$B$25,2,FALSE),"")</f>
        <v/>
      </c>
      <c r="D335" s="7"/>
      <c r="E335" s="6"/>
      <c r="F335" s="6" t="str">
        <f t="shared" si="17"/>
        <v/>
      </c>
      <c r="G335" s="6"/>
      <c r="H335" s="6"/>
      <c r="I335" s="6"/>
      <c r="J335" s="7"/>
      <c r="K335" s="5" t="str" cm="1">
        <f t="array" ref="K335">IF(OR(A335="",B335="",D335="",E335=""),"",A335&amp;"_"&amp;SUBSTITUTE(B335," ","-")&amp;"_"&amp;D335&amp;"_"&amp;SUBSTITUTE(SUBSTITUTE(E335," ",""),"€","Euro")&amp;"_"&amp;IF(F335="","Unknown",F335)&amp;IF(F335="Commemorative",IF(G335="","","_"&amp;SUBSTITUTE(SUBSTITUTE(SUBSTITUTE(G335," ","-"),"/","-"),CHAR(39),"")),"")&amp;IF(I335="Duplicate","_Dub"&amp;IF(SUMPRODUCT(($B$2:B335=B335)*($D$2:D335=D335)*($E$2:E335=E335)*($F$2:F335=F335)*($G$2:G335=G335)*($I$2:I335="Duplicate"))&lt;=1,"",SUMPRODUCT(($B$2:B335=B335)*($D$2:D335=D335)*($E$2:E335=E335)*($F$2:F335=F335)*($G$2:G335=G335)*($I$2:I335="Duplicate"))-1),"")&amp;".jpeg")</f>
        <v/>
      </c>
      <c r="L335" s="6"/>
      <c r="M335" s="5" t="str">
        <f>IFERROR(VLOOKUP(E335,Specifications!$A$2:$D$9,2,FALSE),"")</f>
        <v/>
      </c>
      <c r="N335" s="5" t="str">
        <f>IFERROR(VLOOKUP(E335,Specifications!$A$2:$D$9,3,FALSE),"")</f>
        <v/>
      </c>
      <c r="O335" s="5" t="str">
        <f>IFERROR(VLOOKUP(E335,Specifications!$A$2:$D$9,4,FALSE),"")</f>
        <v/>
      </c>
      <c r="P335" s="8" t="str">
        <f t="shared" si="18"/>
        <v/>
      </c>
      <c r="Q335" s="9"/>
    </row>
    <row r="336" spans="1:17" ht="15">
      <c r="A336" s="5" t="str">
        <f t="shared" si="16"/>
        <v/>
      </c>
      <c r="B336" s="6"/>
      <c r="C336" s="5" t="str">
        <f>IFERROR(VLOOKUP(B336,Lists!$A$2:$B$25,2,FALSE),"")</f>
        <v/>
      </c>
      <c r="D336" s="7"/>
      <c r="E336" s="6"/>
      <c r="F336" s="6" t="str">
        <f t="shared" si="17"/>
        <v/>
      </c>
      <c r="G336" s="6"/>
      <c r="H336" s="6"/>
      <c r="I336" s="6"/>
      <c r="J336" s="7"/>
      <c r="K336" s="5" t="str" cm="1">
        <f t="array" ref="K336">IF(OR(A336="",B336="",D336="",E336=""),"",A336&amp;"_"&amp;SUBSTITUTE(B336," ","-")&amp;"_"&amp;D336&amp;"_"&amp;SUBSTITUTE(SUBSTITUTE(E336," ",""),"€","Euro")&amp;"_"&amp;IF(F336="","Unknown",F336)&amp;IF(F336="Commemorative",IF(G336="","","_"&amp;SUBSTITUTE(SUBSTITUTE(SUBSTITUTE(G336," ","-"),"/","-"),CHAR(39),"")),"")&amp;IF(I336="Duplicate","_Dub"&amp;IF(SUMPRODUCT(($B$2:B336=B336)*($D$2:D336=D336)*($E$2:E336=E336)*($F$2:F336=F336)*($G$2:G336=G336)*($I$2:I336="Duplicate"))&lt;=1,"",SUMPRODUCT(($B$2:B336=B336)*($D$2:D336=D336)*($E$2:E336=E336)*($F$2:F336=F336)*($G$2:G336=G336)*($I$2:I336="Duplicate"))-1),"")&amp;".jpeg")</f>
        <v/>
      </c>
      <c r="L336" s="6"/>
      <c r="M336" s="5" t="str">
        <f>IFERROR(VLOOKUP(E336,Specifications!$A$2:$D$9,2,FALSE),"")</f>
        <v/>
      </c>
      <c r="N336" s="5" t="str">
        <f>IFERROR(VLOOKUP(E336,Specifications!$A$2:$D$9,3,FALSE),"")</f>
        <v/>
      </c>
      <c r="O336" s="5" t="str">
        <f>IFERROR(VLOOKUP(E336,Specifications!$A$2:$D$9,4,FALSE),"")</f>
        <v/>
      </c>
      <c r="P336" s="8" t="str">
        <f t="shared" si="18"/>
        <v/>
      </c>
      <c r="Q336" s="9"/>
    </row>
    <row r="337" spans="1:17" ht="15">
      <c r="A337" s="5" t="str">
        <f t="shared" si="16"/>
        <v/>
      </c>
      <c r="B337" s="6"/>
      <c r="C337" s="5" t="str">
        <f>IFERROR(VLOOKUP(B337,Lists!$A$2:$B$25,2,FALSE),"")</f>
        <v/>
      </c>
      <c r="D337" s="7"/>
      <c r="E337" s="6"/>
      <c r="F337" s="6" t="str">
        <f t="shared" si="17"/>
        <v/>
      </c>
      <c r="G337" s="6"/>
      <c r="H337" s="6"/>
      <c r="I337" s="6"/>
      <c r="J337" s="7"/>
      <c r="K337" s="5" t="str" cm="1">
        <f t="array" ref="K337">IF(OR(A337="",B337="",D337="",E337=""),"",A337&amp;"_"&amp;SUBSTITUTE(B337," ","-")&amp;"_"&amp;D337&amp;"_"&amp;SUBSTITUTE(SUBSTITUTE(E337," ",""),"€","Euro")&amp;"_"&amp;IF(F337="","Unknown",F337)&amp;IF(F337="Commemorative",IF(G337="","","_"&amp;SUBSTITUTE(SUBSTITUTE(SUBSTITUTE(G337," ","-"),"/","-"),CHAR(39),"")),"")&amp;IF(I337="Duplicate","_Dub"&amp;IF(SUMPRODUCT(($B$2:B337=B337)*($D$2:D337=D337)*($E$2:E337=E337)*($F$2:F337=F337)*($G$2:G337=G337)*($I$2:I337="Duplicate"))&lt;=1,"",SUMPRODUCT(($B$2:B337=B337)*($D$2:D337=D337)*($E$2:E337=E337)*($F$2:F337=F337)*($G$2:G337=G337)*($I$2:I337="Duplicate"))-1),"")&amp;".jpeg")</f>
        <v/>
      </c>
      <c r="L337" s="6"/>
      <c r="M337" s="5" t="str">
        <f>IFERROR(VLOOKUP(E337,Specifications!$A$2:$D$9,2,FALSE),"")</f>
        <v/>
      </c>
      <c r="N337" s="5" t="str">
        <f>IFERROR(VLOOKUP(E337,Specifications!$A$2:$D$9,3,FALSE),"")</f>
        <v/>
      </c>
      <c r="O337" s="5" t="str">
        <f>IFERROR(VLOOKUP(E337,Specifications!$A$2:$D$9,4,FALSE),"")</f>
        <v/>
      </c>
      <c r="P337" s="8" t="str">
        <f t="shared" si="18"/>
        <v/>
      </c>
      <c r="Q337" s="9"/>
    </row>
    <row r="338" spans="1:17" ht="15">
      <c r="A338" s="5" t="str">
        <f t="shared" si="16"/>
        <v/>
      </c>
      <c r="B338" s="6"/>
      <c r="C338" s="5" t="str">
        <f>IFERROR(VLOOKUP(B338,Lists!$A$2:$B$25,2,FALSE),"")</f>
        <v/>
      </c>
      <c r="D338" s="7"/>
      <c r="E338" s="6"/>
      <c r="F338" s="6" t="str">
        <f t="shared" si="17"/>
        <v/>
      </c>
      <c r="G338" s="6"/>
      <c r="H338" s="6"/>
      <c r="I338" s="6"/>
      <c r="J338" s="7"/>
      <c r="K338" s="5" t="str" cm="1">
        <f t="array" ref="K338">IF(OR(A338="",B338="",D338="",E338=""),"",A338&amp;"_"&amp;SUBSTITUTE(B338," ","-")&amp;"_"&amp;D338&amp;"_"&amp;SUBSTITUTE(SUBSTITUTE(E338," ",""),"€","Euro")&amp;"_"&amp;IF(F338="","Unknown",F338)&amp;IF(F338="Commemorative",IF(G338="","","_"&amp;SUBSTITUTE(SUBSTITUTE(SUBSTITUTE(G338," ","-"),"/","-"),CHAR(39),"")),"")&amp;IF(I338="Duplicate","_Dub"&amp;IF(SUMPRODUCT(($B$2:B338=B338)*($D$2:D338=D338)*($E$2:E338=E338)*($F$2:F338=F338)*($G$2:G338=G338)*($I$2:I338="Duplicate"))&lt;=1,"",SUMPRODUCT(($B$2:B338=B338)*($D$2:D338=D338)*($E$2:E338=E338)*($F$2:F338=F338)*($G$2:G338=G338)*($I$2:I338="Duplicate"))-1),"")&amp;".jpeg")</f>
        <v/>
      </c>
      <c r="L338" s="6"/>
      <c r="M338" s="5" t="str">
        <f>IFERROR(VLOOKUP(E338,Specifications!$A$2:$D$9,2,FALSE),"")</f>
        <v/>
      </c>
      <c r="N338" s="5" t="str">
        <f>IFERROR(VLOOKUP(E338,Specifications!$A$2:$D$9,3,FALSE),"")</f>
        <v/>
      </c>
      <c r="O338" s="5" t="str">
        <f>IFERROR(VLOOKUP(E338,Specifications!$A$2:$D$9,4,FALSE),"")</f>
        <v/>
      </c>
      <c r="P338" s="8" t="str">
        <f t="shared" si="18"/>
        <v/>
      </c>
      <c r="Q338" s="9"/>
    </row>
    <row r="339" spans="1:17" ht="15">
      <c r="A339" s="5" t="str">
        <f t="shared" si="16"/>
        <v/>
      </c>
      <c r="B339" s="6"/>
      <c r="C339" s="5" t="str">
        <f>IFERROR(VLOOKUP(B339,Lists!$A$2:$B$25,2,FALSE),"")</f>
        <v/>
      </c>
      <c r="D339" s="7"/>
      <c r="E339" s="6"/>
      <c r="F339" s="6" t="str">
        <f t="shared" si="17"/>
        <v/>
      </c>
      <c r="G339" s="6"/>
      <c r="H339" s="6"/>
      <c r="I339" s="6"/>
      <c r="J339" s="7"/>
      <c r="K339" s="5" t="str" cm="1">
        <f t="array" ref="K339">IF(OR(A339="",B339="",D339="",E339=""),"",A339&amp;"_"&amp;SUBSTITUTE(B339," ","-")&amp;"_"&amp;D339&amp;"_"&amp;SUBSTITUTE(SUBSTITUTE(E339," ",""),"€","Euro")&amp;"_"&amp;IF(F339="","Unknown",F339)&amp;IF(F339="Commemorative",IF(G339="","","_"&amp;SUBSTITUTE(SUBSTITUTE(SUBSTITUTE(G339," ","-"),"/","-"),CHAR(39),"")),"")&amp;IF(I339="Duplicate","_Dub"&amp;IF(SUMPRODUCT(($B$2:B339=B339)*($D$2:D339=D339)*($E$2:E339=E339)*($F$2:F339=F339)*($G$2:G339=G339)*($I$2:I339="Duplicate"))&lt;=1,"",SUMPRODUCT(($B$2:B339=B339)*($D$2:D339=D339)*($E$2:E339=E339)*($F$2:F339=F339)*($G$2:G339=G339)*($I$2:I339="Duplicate"))-1),"")&amp;".jpeg")</f>
        <v/>
      </c>
      <c r="L339" s="6"/>
      <c r="M339" s="5" t="str">
        <f>IFERROR(VLOOKUP(E339,Specifications!$A$2:$D$9,2,FALSE),"")</f>
        <v/>
      </c>
      <c r="N339" s="5" t="str">
        <f>IFERROR(VLOOKUP(E339,Specifications!$A$2:$D$9,3,FALSE),"")</f>
        <v/>
      </c>
      <c r="O339" s="5" t="str">
        <f>IFERROR(VLOOKUP(E339,Specifications!$A$2:$D$9,4,FALSE),"")</f>
        <v/>
      </c>
      <c r="P339" s="8" t="str">
        <f t="shared" si="18"/>
        <v/>
      </c>
      <c r="Q339" s="9"/>
    </row>
    <row r="340" spans="1:17" ht="15">
      <c r="A340" s="5" t="str">
        <f t="shared" si="16"/>
        <v/>
      </c>
      <c r="B340" s="6"/>
      <c r="C340" s="5" t="str">
        <f>IFERROR(VLOOKUP(B340,Lists!$A$2:$B$25,2,FALSE),"")</f>
        <v/>
      </c>
      <c r="D340" s="7"/>
      <c r="E340" s="6"/>
      <c r="F340" s="6" t="str">
        <f t="shared" si="17"/>
        <v/>
      </c>
      <c r="G340" s="6"/>
      <c r="H340" s="6"/>
      <c r="I340" s="6"/>
      <c r="J340" s="7"/>
      <c r="K340" s="5" t="str" cm="1">
        <f t="array" ref="K340">IF(OR(A340="",B340="",D340="",E340=""),"",A340&amp;"_"&amp;SUBSTITUTE(B340," ","-")&amp;"_"&amp;D340&amp;"_"&amp;SUBSTITUTE(SUBSTITUTE(E340," ",""),"€","Euro")&amp;"_"&amp;IF(F340="","Unknown",F340)&amp;IF(F340="Commemorative",IF(G340="","","_"&amp;SUBSTITUTE(SUBSTITUTE(SUBSTITUTE(G340," ","-"),"/","-"),CHAR(39),"")),"")&amp;IF(I340="Duplicate","_Dub"&amp;IF(SUMPRODUCT(($B$2:B340=B340)*($D$2:D340=D340)*($E$2:E340=E340)*($F$2:F340=F340)*($G$2:G340=G340)*($I$2:I340="Duplicate"))&lt;=1,"",SUMPRODUCT(($B$2:B340=B340)*($D$2:D340=D340)*($E$2:E340=E340)*($F$2:F340=F340)*($G$2:G340=G340)*($I$2:I340="Duplicate"))-1),"")&amp;".jpeg")</f>
        <v/>
      </c>
      <c r="L340" s="6"/>
      <c r="M340" s="5" t="str">
        <f>IFERROR(VLOOKUP(E340,Specifications!$A$2:$D$9,2,FALSE),"")</f>
        <v/>
      </c>
      <c r="N340" s="5" t="str">
        <f>IFERROR(VLOOKUP(E340,Specifications!$A$2:$D$9,3,FALSE),"")</f>
        <v/>
      </c>
      <c r="O340" s="5" t="str">
        <f>IFERROR(VLOOKUP(E340,Specifications!$A$2:$D$9,4,FALSE),"")</f>
        <v/>
      </c>
      <c r="P340" s="8" t="str">
        <f t="shared" si="18"/>
        <v/>
      </c>
      <c r="Q340" s="9"/>
    </row>
    <row r="341" spans="1:17" ht="15">
      <c r="A341" s="5" t="str">
        <f t="shared" si="16"/>
        <v/>
      </c>
      <c r="B341" s="6"/>
      <c r="C341" s="5" t="str">
        <f>IFERROR(VLOOKUP(B341,Lists!$A$2:$B$25,2,FALSE),"")</f>
        <v/>
      </c>
      <c r="D341" s="7"/>
      <c r="E341" s="6"/>
      <c r="F341" s="6" t="str">
        <f t="shared" si="17"/>
        <v/>
      </c>
      <c r="G341" s="6"/>
      <c r="H341" s="6"/>
      <c r="I341" s="6"/>
      <c r="J341" s="7"/>
      <c r="K341" s="5" t="str" cm="1">
        <f t="array" ref="K341">IF(OR(A341="",B341="",D341="",E341=""),"",A341&amp;"_"&amp;SUBSTITUTE(B341," ","-")&amp;"_"&amp;D341&amp;"_"&amp;SUBSTITUTE(SUBSTITUTE(E341," ",""),"€","Euro")&amp;"_"&amp;IF(F341="","Unknown",F341)&amp;IF(F341="Commemorative",IF(G341="","","_"&amp;SUBSTITUTE(SUBSTITUTE(SUBSTITUTE(G341," ","-"),"/","-"),CHAR(39),"")),"")&amp;IF(I341="Duplicate","_Dub"&amp;IF(SUMPRODUCT(($B$2:B341=B341)*($D$2:D341=D341)*($E$2:E341=E341)*($F$2:F341=F341)*($G$2:G341=G341)*($I$2:I341="Duplicate"))&lt;=1,"",SUMPRODUCT(($B$2:B341=B341)*($D$2:D341=D341)*($E$2:E341=E341)*($F$2:F341=F341)*($G$2:G341=G341)*($I$2:I341="Duplicate"))-1),"")&amp;".jpeg")</f>
        <v/>
      </c>
      <c r="L341" s="6"/>
      <c r="M341" s="5" t="str">
        <f>IFERROR(VLOOKUP(E341,Specifications!$A$2:$D$9,2,FALSE),"")</f>
        <v/>
      </c>
      <c r="N341" s="5" t="str">
        <f>IFERROR(VLOOKUP(E341,Specifications!$A$2:$D$9,3,FALSE),"")</f>
        <v/>
      </c>
      <c r="O341" s="5" t="str">
        <f>IFERROR(VLOOKUP(E341,Specifications!$A$2:$D$9,4,FALSE),"")</f>
        <v/>
      </c>
      <c r="P341" s="8" t="str">
        <f t="shared" si="18"/>
        <v/>
      </c>
      <c r="Q341" s="9"/>
    </row>
    <row r="342" spans="1:17" ht="15">
      <c r="A342" s="5" t="str">
        <f t="shared" si="16"/>
        <v/>
      </c>
      <c r="B342" s="6"/>
      <c r="C342" s="5" t="str">
        <f>IFERROR(VLOOKUP(B342,Lists!$A$2:$B$25,2,FALSE),"")</f>
        <v/>
      </c>
      <c r="D342" s="7"/>
      <c r="E342" s="6"/>
      <c r="F342" s="6" t="str">
        <f t="shared" si="17"/>
        <v/>
      </c>
      <c r="G342" s="6"/>
      <c r="H342" s="6"/>
      <c r="I342" s="6"/>
      <c r="J342" s="7"/>
      <c r="K342" s="5" t="str" cm="1">
        <f t="array" ref="K342">IF(OR(A342="",B342="",D342="",E342=""),"",A342&amp;"_"&amp;SUBSTITUTE(B342," ","-")&amp;"_"&amp;D342&amp;"_"&amp;SUBSTITUTE(SUBSTITUTE(E342," ",""),"€","Euro")&amp;"_"&amp;IF(F342="","Unknown",F342)&amp;IF(F342="Commemorative",IF(G342="","","_"&amp;SUBSTITUTE(SUBSTITUTE(SUBSTITUTE(G342," ","-"),"/","-"),CHAR(39),"")),"")&amp;IF(I342="Duplicate","_Dub"&amp;IF(SUMPRODUCT(($B$2:B342=B342)*($D$2:D342=D342)*($E$2:E342=E342)*($F$2:F342=F342)*($G$2:G342=G342)*($I$2:I342="Duplicate"))&lt;=1,"",SUMPRODUCT(($B$2:B342=B342)*($D$2:D342=D342)*($E$2:E342=E342)*($F$2:F342=F342)*($G$2:G342=G342)*($I$2:I342="Duplicate"))-1),"")&amp;".jpeg")</f>
        <v/>
      </c>
      <c r="L342" s="6"/>
      <c r="M342" s="5" t="str">
        <f>IFERROR(VLOOKUP(E342,Specifications!$A$2:$D$9,2,FALSE),"")</f>
        <v/>
      </c>
      <c r="N342" s="5" t="str">
        <f>IFERROR(VLOOKUP(E342,Specifications!$A$2:$D$9,3,FALSE),"")</f>
        <v/>
      </c>
      <c r="O342" s="5" t="str">
        <f>IFERROR(VLOOKUP(E342,Specifications!$A$2:$D$9,4,FALSE),"")</f>
        <v/>
      </c>
      <c r="P342" s="8" t="str">
        <f t="shared" si="18"/>
        <v/>
      </c>
      <c r="Q342" s="9"/>
    </row>
    <row r="343" spans="1:17" ht="15">
      <c r="A343" s="5" t="str">
        <f t="shared" si="16"/>
        <v/>
      </c>
      <c r="B343" s="6"/>
      <c r="C343" s="5" t="str">
        <f>IFERROR(VLOOKUP(B343,Lists!$A$2:$B$25,2,FALSE),"")</f>
        <v/>
      </c>
      <c r="D343" s="7"/>
      <c r="E343" s="6"/>
      <c r="F343" s="6" t="str">
        <f t="shared" si="17"/>
        <v/>
      </c>
      <c r="G343" s="6"/>
      <c r="H343" s="6"/>
      <c r="I343" s="6"/>
      <c r="J343" s="7"/>
      <c r="K343" s="5" t="str" cm="1">
        <f t="array" ref="K343">IF(OR(A343="",B343="",D343="",E343=""),"",A343&amp;"_"&amp;SUBSTITUTE(B343," ","-")&amp;"_"&amp;D343&amp;"_"&amp;SUBSTITUTE(SUBSTITUTE(E343," ",""),"€","Euro")&amp;"_"&amp;IF(F343="","Unknown",F343)&amp;IF(F343="Commemorative",IF(G343="","","_"&amp;SUBSTITUTE(SUBSTITUTE(SUBSTITUTE(G343," ","-"),"/","-"),CHAR(39),"")),"")&amp;IF(I343="Duplicate","_Dub"&amp;IF(SUMPRODUCT(($B$2:B343=B343)*($D$2:D343=D343)*($E$2:E343=E343)*($F$2:F343=F343)*($G$2:G343=G343)*($I$2:I343="Duplicate"))&lt;=1,"",SUMPRODUCT(($B$2:B343=B343)*($D$2:D343=D343)*($E$2:E343=E343)*($F$2:F343=F343)*($G$2:G343=G343)*($I$2:I343="Duplicate"))-1),"")&amp;".jpeg")</f>
        <v/>
      </c>
      <c r="L343" s="6"/>
      <c r="M343" s="5" t="str">
        <f>IFERROR(VLOOKUP(E343,Specifications!$A$2:$D$9,2,FALSE),"")</f>
        <v/>
      </c>
      <c r="N343" s="5" t="str">
        <f>IFERROR(VLOOKUP(E343,Specifications!$A$2:$D$9,3,FALSE),"")</f>
        <v/>
      </c>
      <c r="O343" s="5" t="str">
        <f>IFERROR(VLOOKUP(E343,Specifications!$A$2:$D$9,4,FALSE),"")</f>
        <v/>
      </c>
      <c r="P343" s="8" t="str">
        <f t="shared" si="18"/>
        <v/>
      </c>
      <c r="Q343" s="9"/>
    </row>
    <row r="344" spans="1:17" ht="15">
      <c r="A344" s="5" t="str">
        <f t="shared" si="16"/>
        <v/>
      </c>
      <c r="B344" s="6"/>
      <c r="C344" s="5" t="str">
        <f>IFERROR(VLOOKUP(B344,Lists!$A$2:$B$25,2,FALSE),"")</f>
        <v/>
      </c>
      <c r="D344" s="7"/>
      <c r="E344" s="6"/>
      <c r="F344" s="6" t="str">
        <f t="shared" si="17"/>
        <v/>
      </c>
      <c r="G344" s="6"/>
      <c r="H344" s="6"/>
      <c r="I344" s="6"/>
      <c r="J344" s="7"/>
      <c r="K344" s="5" t="str" cm="1">
        <f t="array" ref="K344">IF(OR(A344="",B344="",D344="",E344=""),"",A344&amp;"_"&amp;SUBSTITUTE(B344," ","-")&amp;"_"&amp;D344&amp;"_"&amp;SUBSTITUTE(SUBSTITUTE(E344," ",""),"€","Euro")&amp;"_"&amp;IF(F344="","Unknown",F344)&amp;IF(F344="Commemorative",IF(G344="","","_"&amp;SUBSTITUTE(SUBSTITUTE(SUBSTITUTE(G344," ","-"),"/","-"),CHAR(39),"")),"")&amp;IF(I344="Duplicate","_Dub"&amp;IF(SUMPRODUCT(($B$2:B344=B344)*($D$2:D344=D344)*($E$2:E344=E344)*($F$2:F344=F344)*($G$2:G344=G344)*($I$2:I344="Duplicate"))&lt;=1,"",SUMPRODUCT(($B$2:B344=B344)*($D$2:D344=D344)*($E$2:E344=E344)*($F$2:F344=F344)*($G$2:G344=G344)*($I$2:I344="Duplicate"))-1),"")&amp;".jpeg")</f>
        <v/>
      </c>
      <c r="L344" s="6"/>
      <c r="M344" s="5" t="str">
        <f>IFERROR(VLOOKUP(E344,Specifications!$A$2:$D$9,2,FALSE),"")</f>
        <v/>
      </c>
      <c r="N344" s="5" t="str">
        <f>IFERROR(VLOOKUP(E344,Specifications!$A$2:$D$9,3,FALSE),"")</f>
        <v/>
      </c>
      <c r="O344" s="5" t="str">
        <f>IFERROR(VLOOKUP(E344,Specifications!$A$2:$D$9,4,FALSE),"")</f>
        <v/>
      </c>
      <c r="P344" s="8" t="str">
        <f t="shared" si="18"/>
        <v/>
      </c>
      <c r="Q344" s="9"/>
    </row>
    <row r="345" spans="1:17" ht="15">
      <c r="A345" s="5" t="str">
        <f t="shared" si="16"/>
        <v/>
      </c>
      <c r="B345" s="6"/>
      <c r="C345" s="5" t="str">
        <f>IFERROR(VLOOKUP(B345,Lists!$A$2:$B$25,2,FALSE),"")</f>
        <v/>
      </c>
      <c r="D345" s="7"/>
      <c r="E345" s="6"/>
      <c r="F345" s="6" t="str">
        <f t="shared" si="17"/>
        <v/>
      </c>
      <c r="G345" s="6"/>
      <c r="H345" s="6"/>
      <c r="I345" s="6"/>
      <c r="J345" s="7"/>
      <c r="K345" s="5" t="str" cm="1">
        <f t="array" ref="K345">IF(OR(A345="",B345="",D345="",E345=""),"",A345&amp;"_"&amp;SUBSTITUTE(B345," ","-")&amp;"_"&amp;D345&amp;"_"&amp;SUBSTITUTE(SUBSTITUTE(E345," ",""),"€","Euro")&amp;"_"&amp;IF(F345="","Unknown",F345)&amp;IF(F345="Commemorative",IF(G345="","","_"&amp;SUBSTITUTE(SUBSTITUTE(SUBSTITUTE(G345," ","-"),"/","-"),CHAR(39),"")),"")&amp;IF(I345="Duplicate","_Dub"&amp;IF(SUMPRODUCT(($B$2:B345=B345)*($D$2:D345=D345)*($E$2:E345=E345)*($F$2:F345=F345)*($G$2:G345=G345)*($I$2:I345="Duplicate"))&lt;=1,"",SUMPRODUCT(($B$2:B345=B345)*($D$2:D345=D345)*($E$2:E345=E345)*($F$2:F345=F345)*($G$2:G345=G345)*($I$2:I345="Duplicate"))-1),"")&amp;".jpeg")</f>
        <v/>
      </c>
      <c r="L345" s="6"/>
      <c r="M345" s="5" t="str">
        <f>IFERROR(VLOOKUP(E345,Specifications!$A$2:$D$9,2,FALSE),"")</f>
        <v/>
      </c>
      <c r="N345" s="5" t="str">
        <f>IFERROR(VLOOKUP(E345,Specifications!$A$2:$D$9,3,FALSE),"")</f>
        <v/>
      </c>
      <c r="O345" s="5" t="str">
        <f>IFERROR(VLOOKUP(E345,Specifications!$A$2:$D$9,4,FALSE),"")</f>
        <v/>
      </c>
      <c r="P345" s="8" t="str">
        <f t="shared" si="18"/>
        <v/>
      </c>
      <c r="Q345" s="9"/>
    </row>
    <row r="346" spans="1:17" ht="15">
      <c r="A346" s="5" t="str">
        <f t="shared" si="16"/>
        <v/>
      </c>
      <c r="B346" s="6"/>
      <c r="C346" s="5" t="str">
        <f>IFERROR(VLOOKUP(B346,Lists!$A$2:$B$25,2,FALSE),"")</f>
        <v/>
      </c>
      <c r="D346" s="7"/>
      <c r="E346" s="6"/>
      <c r="F346" s="6" t="str">
        <f t="shared" si="17"/>
        <v/>
      </c>
      <c r="G346" s="6"/>
      <c r="H346" s="6"/>
      <c r="I346" s="6"/>
      <c r="J346" s="7"/>
      <c r="K346" s="5" t="str" cm="1">
        <f t="array" ref="K346">IF(OR(A346="",B346="",D346="",E346=""),"",A346&amp;"_"&amp;SUBSTITUTE(B346," ","-")&amp;"_"&amp;D346&amp;"_"&amp;SUBSTITUTE(SUBSTITUTE(E346," ",""),"€","Euro")&amp;"_"&amp;IF(F346="","Unknown",F346)&amp;IF(F346="Commemorative",IF(G346="","","_"&amp;SUBSTITUTE(SUBSTITUTE(SUBSTITUTE(G346," ","-"),"/","-"),CHAR(39),"")),"")&amp;IF(I346="Duplicate","_Dub"&amp;IF(SUMPRODUCT(($B$2:B346=B346)*($D$2:D346=D346)*($E$2:E346=E346)*($F$2:F346=F346)*($G$2:G346=G346)*($I$2:I346="Duplicate"))&lt;=1,"",SUMPRODUCT(($B$2:B346=B346)*($D$2:D346=D346)*($E$2:E346=E346)*($F$2:F346=F346)*($G$2:G346=G346)*($I$2:I346="Duplicate"))-1),"")&amp;".jpeg")</f>
        <v/>
      </c>
      <c r="L346" s="6"/>
      <c r="M346" s="5" t="str">
        <f>IFERROR(VLOOKUP(E346,Specifications!$A$2:$D$9,2,FALSE),"")</f>
        <v/>
      </c>
      <c r="N346" s="5" t="str">
        <f>IFERROR(VLOOKUP(E346,Specifications!$A$2:$D$9,3,FALSE),"")</f>
        <v/>
      </c>
      <c r="O346" s="5" t="str">
        <f>IFERROR(VLOOKUP(E346,Specifications!$A$2:$D$9,4,FALSE),"")</f>
        <v/>
      </c>
      <c r="P346" s="8" t="str">
        <f t="shared" si="18"/>
        <v/>
      </c>
      <c r="Q346" s="9"/>
    </row>
    <row r="347" spans="1:17" ht="15">
      <c r="A347" s="5" t="str">
        <f t="shared" si="16"/>
        <v/>
      </c>
      <c r="B347" s="6"/>
      <c r="C347" s="5" t="str">
        <f>IFERROR(VLOOKUP(B347,Lists!$A$2:$B$25,2,FALSE),"")</f>
        <v/>
      </c>
      <c r="D347" s="7"/>
      <c r="E347" s="6"/>
      <c r="F347" s="6" t="str">
        <f t="shared" si="17"/>
        <v/>
      </c>
      <c r="G347" s="6"/>
      <c r="H347" s="6"/>
      <c r="I347" s="6"/>
      <c r="J347" s="7"/>
      <c r="K347" s="5" t="str" cm="1">
        <f t="array" ref="K347">IF(OR(A347="",B347="",D347="",E347=""),"",A347&amp;"_"&amp;SUBSTITUTE(B347," ","-")&amp;"_"&amp;D347&amp;"_"&amp;SUBSTITUTE(SUBSTITUTE(E347," ",""),"€","Euro")&amp;"_"&amp;IF(F347="","Unknown",F347)&amp;IF(F347="Commemorative",IF(G347="","","_"&amp;SUBSTITUTE(SUBSTITUTE(SUBSTITUTE(G347," ","-"),"/","-"),CHAR(39),"")),"")&amp;IF(I347="Duplicate","_Dub"&amp;IF(SUMPRODUCT(($B$2:B347=B347)*($D$2:D347=D347)*($E$2:E347=E347)*($F$2:F347=F347)*($G$2:G347=G347)*($I$2:I347="Duplicate"))&lt;=1,"",SUMPRODUCT(($B$2:B347=B347)*($D$2:D347=D347)*($E$2:E347=E347)*($F$2:F347=F347)*($G$2:G347=G347)*($I$2:I347="Duplicate"))-1),"")&amp;".jpeg")</f>
        <v/>
      </c>
      <c r="L347" s="6"/>
      <c r="M347" s="5" t="str">
        <f>IFERROR(VLOOKUP(E347,Specifications!$A$2:$D$9,2,FALSE),"")</f>
        <v/>
      </c>
      <c r="N347" s="5" t="str">
        <f>IFERROR(VLOOKUP(E347,Specifications!$A$2:$D$9,3,FALSE),"")</f>
        <v/>
      </c>
      <c r="O347" s="5" t="str">
        <f>IFERROR(VLOOKUP(E347,Specifications!$A$2:$D$9,4,FALSE),"")</f>
        <v/>
      </c>
      <c r="P347" s="8" t="str">
        <f t="shared" si="18"/>
        <v/>
      </c>
      <c r="Q347" s="9"/>
    </row>
    <row r="348" spans="1:17" ht="15">
      <c r="A348" s="5" t="str">
        <f t="shared" si="16"/>
        <v/>
      </c>
      <c r="B348" s="6"/>
      <c r="C348" s="5" t="str">
        <f>IFERROR(VLOOKUP(B348,Lists!$A$2:$B$25,2,FALSE),"")</f>
        <v/>
      </c>
      <c r="D348" s="7"/>
      <c r="E348" s="6"/>
      <c r="F348" s="6" t="str">
        <f t="shared" si="17"/>
        <v/>
      </c>
      <c r="G348" s="6"/>
      <c r="H348" s="6"/>
      <c r="I348" s="6"/>
      <c r="J348" s="7"/>
      <c r="K348" s="5" t="str" cm="1">
        <f t="array" ref="K348">IF(OR(A348="",B348="",D348="",E348=""),"",A348&amp;"_"&amp;SUBSTITUTE(B348," ","-")&amp;"_"&amp;D348&amp;"_"&amp;SUBSTITUTE(SUBSTITUTE(E348," ",""),"€","Euro")&amp;"_"&amp;IF(F348="","Unknown",F348)&amp;IF(F348="Commemorative",IF(G348="","","_"&amp;SUBSTITUTE(SUBSTITUTE(SUBSTITUTE(G348," ","-"),"/","-"),CHAR(39),"")),"")&amp;IF(I348="Duplicate","_Dub"&amp;IF(SUMPRODUCT(($B$2:B348=B348)*($D$2:D348=D348)*($E$2:E348=E348)*($F$2:F348=F348)*($G$2:G348=G348)*($I$2:I348="Duplicate"))&lt;=1,"",SUMPRODUCT(($B$2:B348=B348)*($D$2:D348=D348)*($E$2:E348=E348)*($F$2:F348=F348)*($G$2:G348=G348)*($I$2:I348="Duplicate"))-1),"")&amp;".jpeg")</f>
        <v/>
      </c>
      <c r="L348" s="6"/>
      <c r="M348" s="5" t="str">
        <f>IFERROR(VLOOKUP(E348,Specifications!$A$2:$D$9,2,FALSE),"")</f>
        <v/>
      </c>
      <c r="N348" s="5" t="str">
        <f>IFERROR(VLOOKUP(E348,Specifications!$A$2:$D$9,3,FALSE),"")</f>
        <v/>
      </c>
      <c r="O348" s="5" t="str">
        <f>IFERROR(VLOOKUP(E348,Specifications!$A$2:$D$9,4,FALSE),"")</f>
        <v/>
      </c>
      <c r="P348" s="8" t="str">
        <f t="shared" si="18"/>
        <v/>
      </c>
      <c r="Q348" s="9"/>
    </row>
    <row r="349" spans="1:17" ht="15">
      <c r="A349" s="5" t="str">
        <f t="shared" si="16"/>
        <v/>
      </c>
      <c r="B349" s="6"/>
      <c r="C349" s="5" t="str">
        <f>IFERROR(VLOOKUP(B349,Lists!$A$2:$B$25,2,FALSE),"")</f>
        <v/>
      </c>
      <c r="D349" s="7"/>
      <c r="E349" s="6"/>
      <c r="F349" s="6" t="str">
        <f t="shared" si="17"/>
        <v/>
      </c>
      <c r="G349" s="6"/>
      <c r="H349" s="6"/>
      <c r="I349" s="6"/>
      <c r="J349" s="7"/>
      <c r="K349" s="5" t="str" cm="1">
        <f t="array" ref="K349">IF(OR(A349="",B349="",D349="",E349=""),"",A349&amp;"_"&amp;SUBSTITUTE(B349," ","-")&amp;"_"&amp;D349&amp;"_"&amp;SUBSTITUTE(SUBSTITUTE(E349," ",""),"€","Euro")&amp;"_"&amp;IF(F349="","Unknown",F349)&amp;IF(F349="Commemorative",IF(G349="","","_"&amp;SUBSTITUTE(SUBSTITUTE(SUBSTITUTE(G349," ","-"),"/","-"),CHAR(39),"")),"")&amp;IF(I349="Duplicate","_Dub"&amp;IF(SUMPRODUCT(($B$2:B349=B349)*($D$2:D349=D349)*($E$2:E349=E349)*($F$2:F349=F349)*($G$2:G349=G349)*($I$2:I349="Duplicate"))&lt;=1,"",SUMPRODUCT(($B$2:B349=B349)*($D$2:D349=D349)*($E$2:E349=E349)*($F$2:F349=F349)*($G$2:G349=G349)*($I$2:I349="Duplicate"))-1),"")&amp;".jpeg")</f>
        <v/>
      </c>
      <c r="L349" s="6"/>
      <c r="M349" s="5" t="str">
        <f>IFERROR(VLOOKUP(E349,Specifications!$A$2:$D$9,2,FALSE),"")</f>
        <v/>
      </c>
      <c r="N349" s="5" t="str">
        <f>IFERROR(VLOOKUP(E349,Specifications!$A$2:$D$9,3,FALSE),"")</f>
        <v/>
      </c>
      <c r="O349" s="5" t="str">
        <f>IFERROR(VLOOKUP(E349,Specifications!$A$2:$D$9,4,FALSE),"")</f>
        <v/>
      </c>
      <c r="P349" s="8" t="str">
        <f t="shared" si="18"/>
        <v/>
      </c>
      <c r="Q349" s="9"/>
    </row>
    <row r="350" spans="1:17" ht="15">
      <c r="A350" s="5" t="str">
        <f t="shared" si="16"/>
        <v/>
      </c>
      <c r="B350" s="6"/>
      <c r="C350" s="5" t="str">
        <f>IFERROR(VLOOKUP(B350,Lists!$A$2:$B$25,2,FALSE),"")</f>
        <v/>
      </c>
      <c r="D350" s="7"/>
      <c r="E350" s="6"/>
      <c r="F350" s="6" t="str">
        <f t="shared" si="17"/>
        <v/>
      </c>
      <c r="G350" s="6"/>
      <c r="H350" s="6"/>
      <c r="I350" s="6"/>
      <c r="J350" s="7"/>
      <c r="K350" s="5" t="str" cm="1">
        <f t="array" ref="K350">IF(OR(A350="",B350="",D350="",E350=""),"",A350&amp;"_"&amp;SUBSTITUTE(B350," ","-")&amp;"_"&amp;D350&amp;"_"&amp;SUBSTITUTE(SUBSTITUTE(E350," ",""),"€","Euro")&amp;"_"&amp;IF(F350="","Unknown",F350)&amp;IF(F350="Commemorative",IF(G350="","","_"&amp;SUBSTITUTE(SUBSTITUTE(SUBSTITUTE(G350," ","-"),"/","-"),CHAR(39),"")),"")&amp;IF(I350="Duplicate","_Dub"&amp;IF(SUMPRODUCT(($B$2:B350=B350)*($D$2:D350=D350)*($E$2:E350=E350)*($F$2:F350=F350)*($G$2:G350=G350)*($I$2:I350="Duplicate"))&lt;=1,"",SUMPRODUCT(($B$2:B350=B350)*($D$2:D350=D350)*($E$2:E350=E350)*($F$2:F350=F350)*($G$2:G350=G350)*($I$2:I350="Duplicate"))-1),"")&amp;".jpeg")</f>
        <v/>
      </c>
      <c r="L350" s="6"/>
      <c r="M350" s="5" t="str">
        <f>IFERROR(VLOOKUP(E350,Specifications!$A$2:$D$9,2,FALSE),"")</f>
        <v/>
      </c>
      <c r="N350" s="5" t="str">
        <f>IFERROR(VLOOKUP(E350,Specifications!$A$2:$D$9,3,FALSE),"")</f>
        <v/>
      </c>
      <c r="O350" s="5" t="str">
        <f>IFERROR(VLOOKUP(E350,Specifications!$A$2:$D$9,4,FALSE),"")</f>
        <v/>
      </c>
      <c r="P350" s="8" t="str">
        <f t="shared" si="18"/>
        <v/>
      </c>
      <c r="Q350" s="9"/>
    </row>
    <row r="351" spans="1:17" ht="15">
      <c r="A351" s="5" t="str">
        <f t="shared" si="16"/>
        <v/>
      </c>
      <c r="B351" s="6"/>
      <c r="C351" s="5" t="str">
        <f>IFERROR(VLOOKUP(B351,Lists!$A$2:$B$25,2,FALSE),"")</f>
        <v/>
      </c>
      <c r="D351" s="7"/>
      <c r="E351" s="6"/>
      <c r="F351" s="6" t="str">
        <f t="shared" si="17"/>
        <v/>
      </c>
      <c r="G351" s="6"/>
      <c r="H351" s="6"/>
      <c r="I351" s="6"/>
      <c r="J351" s="7"/>
      <c r="K351" s="5" t="str" cm="1">
        <f t="array" ref="K351">IF(OR(A351="",B351="",D351="",E351=""),"",A351&amp;"_"&amp;SUBSTITUTE(B351," ","-")&amp;"_"&amp;D351&amp;"_"&amp;SUBSTITUTE(SUBSTITUTE(E351," ",""),"€","Euro")&amp;"_"&amp;IF(F351="","Unknown",F351)&amp;IF(F351="Commemorative",IF(G351="","","_"&amp;SUBSTITUTE(SUBSTITUTE(SUBSTITUTE(G351," ","-"),"/","-"),CHAR(39),"")),"")&amp;IF(I351="Duplicate","_Dub"&amp;IF(SUMPRODUCT(($B$2:B351=B351)*($D$2:D351=D351)*($E$2:E351=E351)*($F$2:F351=F351)*($G$2:G351=G351)*($I$2:I351="Duplicate"))&lt;=1,"",SUMPRODUCT(($B$2:B351=B351)*($D$2:D351=D351)*($E$2:E351=E351)*($F$2:F351=F351)*($G$2:G351=G351)*($I$2:I351="Duplicate"))-1),"")&amp;".jpeg")</f>
        <v/>
      </c>
      <c r="L351" s="6"/>
      <c r="M351" s="5" t="str">
        <f>IFERROR(VLOOKUP(E351,Specifications!$A$2:$D$9,2,FALSE),"")</f>
        <v/>
      </c>
      <c r="N351" s="5" t="str">
        <f>IFERROR(VLOOKUP(E351,Specifications!$A$2:$D$9,3,FALSE),"")</f>
        <v/>
      </c>
      <c r="O351" s="5" t="str">
        <f>IFERROR(VLOOKUP(E351,Specifications!$A$2:$D$9,4,FALSE),"")</f>
        <v/>
      </c>
      <c r="P351" s="8" t="str">
        <f t="shared" si="18"/>
        <v/>
      </c>
      <c r="Q351" s="9"/>
    </row>
    <row r="352" spans="1:17" ht="15">
      <c r="A352" s="5" t="str">
        <f t="shared" si="16"/>
        <v/>
      </c>
      <c r="B352" s="6"/>
      <c r="C352" s="5" t="str">
        <f>IFERROR(VLOOKUP(B352,Lists!$A$2:$B$25,2,FALSE),"")</f>
        <v/>
      </c>
      <c r="D352" s="7"/>
      <c r="E352" s="6"/>
      <c r="F352" s="6" t="str">
        <f t="shared" si="17"/>
        <v/>
      </c>
      <c r="G352" s="6"/>
      <c r="H352" s="6"/>
      <c r="I352" s="6"/>
      <c r="J352" s="7"/>
      <c r="K352" s="5" t="str" cm="1">
        <f t="array" ref="K352">IF(OR(A352="",B352="",D352="",E352=""),"",A352&amp;"_"&amp;SUBSTITUTE(B352," ","-")&amp;"_"&amp;D352&amp;"_"&amp;SUBSTITUTE(SUBSTITUTE(E352," ",""),"€","Euro")&amp;"_"&amp;IF(F352="","Unknown",F352)&amp;IF(F352="Commemorative",IF(G352="","","_"&amp;SUBSTITUTE(SUBSTITUTE(SUBSTITUTE(G352," ","-"),"/","-"),CHAR(39),"")),"")&amp;IF(I352="Duplicate","_Dub"&amp;IF(SUMPRODUCT(($B$2:B352=B352)*($D$2:D352=D352)*($E$2:E352=E352)*($F$2:F352=F352)*($G$2:G352=G352)*($I$2:I352="Duplicate"))&lt;=1,"",SUMPRODUCT(($B$2:B352=B352)*($D$2:D352=D352)*($E$2:E352=E352)*($F$2:F352=F352)*($G$2:G352=G352)*($I$2:I352="Duplicate"))-1),"")&amp;".jpeg")</f>
        <v/>
      </c>
      <c r="L352" s="6"/>
      <c r="M352" s="5" t="str">
        <f>IFERROR(VLOOKUP(E352,Specifications!$A$2:$D$9,2,FALSE),"")</f>
        <v/>
      </c>
      <c r="N352" s="5" t="str">
        <f>IFERROR(VLOOKUP(E352,Specifications!$A$2:$D$9,3,FALSE),"")</f>
        <v/>
      </c>
      <c r="O352" s="5" t="str">
        <f>IFERROR(VLOOKUP(E352,Specifications!$A$2:$D$9,4,FALSE),"")</f>
        <v/>
      </c>
      <c r="P352" s="8" t="str">
        <f t="shared" si="18"/>
        <v/>
      </c>
      <c r="Q352" s="9"/>
    </row>
    <row r="353" spans="1:17" ht="15">
      <c r="A353" s="5" t="str">
        <f t="shared" si="16"/>
        <v/>
      </c>
      <c r="B353" s="6"/>
      <c r="C353" s="5" t="str">
        <f>IFERROR(VLOOKUP(B353,Lists!$A$2:$B$25,2,FALSE),"")</f>
        <v/>
      </c>
      <c r="D353" s="7"/>
      <c r="E353" s="6"/>
      <c r="F353" s="6" t="str">
        <f t="shared" si="17"/>
        <v/>
      </c>
      <c r="G353" s="6"/>
      <c r="H353" s="6"/>
      <c r="I353" s="6"/>
      <c r="J353" s="7"/>
      <c r="K353" s="5" t="str" cm="1">
        <f t="array" ref="K353">IF(OR(A353="",B353="",D353="",E353=""),"",A353&amp;"_"&amp;SUBSTITUTE(B353," ","-")&amp;"_"&amp;D353&amp;"_"&amp;SUBSTITUTE(SUBSTITUTE(E353," ",""),"€","Euro")&amp;"_"&amp;IF(F353="","Unknown",F353)&amp;IF(F353="Commemorative",IF(G353="","","_"&amp;SUBSTITUTE(SUBSTITUTE(SUBSTITUTE(G353," ","-"),"/","-"),CHAR(39),"")),"")&amp;IF(I353="Duplicate","_Dub"&amp;IF(SUMPRODUCT(($B$2:B353=B353)*($D$2:D353=D353)*($E$2:E353=E353)*($F$2:F353=F353)*($G$2:G353=G353)*($I$2:I353="Duplicate"))&lt;=1,"",SUMPRODUCT(($B$2:B353=B353)*($D$2:D353=D353)*($E$2:E353=E353)*($F$2:F353=F353)*($G$2:G353=G353)*($I$2:I353="Duplicate"))-1),"")&amp;".jpeg")</f>
        <v/>
      </c>
      <c r="L353" s="6"/>
      <c r="M353" s="5" t="str">
        <f>IFERROR(VLOOKUP(E353,Specifications!$A$2:$D$9,2,FALSE),"")</f>
        <v/>
      </c>
      <c r="N353" s="5" t="str">
        <f>IFERROR(VLOOKUP(E353,Specifications!$A$2:$D$9,3,FALSE),"")</f>
        <v/>
      </c>
      <c r="O353" s="5" t="str">
        <f>IFERROR(VLOOKUP(E353,Specifications!$A$2:$D$9,4,FALSE),"")</f>
        <v/>
      </c>
      <c r="P353" s="8" t="str">
        <f t="shared" si="18"/>
        <v/>
      </c>
      <c r="Q353" s="9"/>
    </row>
    <row r="354" spans="1:17" ht="15">
      <c r="A354" s="5" t="str">
        <f t="shared" si="16"/>
        <v/>
      </c>
      <c r="B354" s="6"/>
      <c r="C354" s="5" t="str">
        <f>IFERROR(VLOOKUP(B354,Lists!$A$2:$B$25,2,FALSE),"")</f>
        <v/>
      </c>
      <c r="D354" s="7"/>
      <c r="E354" s="6"/>
      <c r="F354" s="6" t="str">
        <f t="shared" si="17"/>
        <v/>
      </c>
      <c r="G354" s="6"/>
      <c r="H354" s="6"/>
      <c r="I354" s="6"/>
      <c r="J354" s="7"/>
      <c r="K354" s="5" t="str" cm="1">
        <f t="array" ref="K354">IF(OR(A354="",B354="",D354="",E354=""),"",A354&amp;"_"&amp;SUBSTITUTE(B354," ","-")&amp;"_"&amp;D354&amp;"_"&amp;SUBSTITUTE(SUBSTITUTE(E354," ",""),"€","Euro")&amp;"_"&amp;IF(F354="","Unknown",F354)&amp;IF(F354="Commemorative",IF(G354="","","_"&amp;SUBSTITUTE(SUBSTITUTE(SUBSTITUTE(G354," ","-"),"/","-"),CHAR(39),"")),"")&amp;IF(I354="Duplicate","_Dub"&amp;IF(SUMPRODUCT(($B$2:B354=B354)*($D$2:D354=D354)*($E$2:E354=E354)*($F$2:F354=F354)*($G$2:G354=G354)*($I$2:I354="Duplicate"))&lt;=1,"",SUMPRODUCT(($B$2:B354=B354)*($D$2:D354=D354)*($E$2:E354=E354)*($F$2:F354=F354)*($G$2:G354=G354)*($I$2:I354="Duplicate"))-1),"")&amp;".jpeg")</f>
        <v/>
      </c>
      <c r="L354" s="6"/>
      <c r="M354" s="5" t="str">
        <f>IFERROR(VLOOKUP(E354,Specifications!$A$2:$D$9,2,FALSE),"")</f>
        <v/>
      </c>
      <c r="N354" s="5" t="str">
        <f>IFERROR(VLOOKUP(E354,Specifications!$A$2:$D$9,3,FALSE),"")</f>
        <v/>
      </c>
      <c r="O354" s="5" t="str">
        <f>IFERROR(VLOOKUP(E354,Specifications!$A$2:$D$9,4,FALSE),"")</f>
        <v/>
      </c>
      <c r="P354" s="8" t="str">
        <f t="shared" si="18"/>
        <v/>
      </c>
      <c r="Q354" s="9"/>
    </row>
    <row r="355" spans="1:17" ht="15">
      <c r="A355" s="5" t="str">
        <f t="shared" si="16"/>
        <v/>
      </c>
      <c r="B355" s="6"/>
      <c r="C355" s="5" t="str">
        <f>IFERROR(VLOOKUP(B355,Lists!$A$2:$B$25,2,FALSE),"")</f>
        <v/>
      </c>
      <c r="D355" s="7"/>
      <c r="E355" s="6"/>
      <c r="F355" s="6" t="str">
        <f t="shared" si="17"/>
        <v/>
      </c>
      <c r="G355" s="6"/>
      <c r="H355" s="6"/>
      <c r="I355" s="6"/>
      <c r="J355" s="7"/>
      <c r="K355" s="5" t="str" cm="1">
        <f t="array" ref="K355">IF(OR(A355="",B355="",D355="",E355=""),"",A355&amp;"_"&amp;SUBSTITUTE(B355," ","-")&amp;"_"&amp;D355&amp;"_"&amp;SUBSTITUTE(SUBSTITUTE(E355," ",""),"€","Euro")&amp;"_"&amp;IF(F355="","Unknown",F355)&amp;IF(F355="Commemorative",IF(G355="","","_"&amp;SUBSTITUTE(SUBSTITUTE(SUBSTITUTE(G355," ","-"),"/","-"),CHAR(39),"")),"")&amp;IF(I355="Duplicate","_Dub"&amp;IF(SUMPRODUCT(($B$2:B355=B355)*($D$2:D355=D355)*($E$2:E355=E355)*($F$2:F355=F355)*($G$2:G355=G355)*($I$2:I355="Duplicate"))&lt;=1,"",SUMPRODUCT(($B$2:B355=B355)*($D$2:D355=D355)*($E$2:E355=E355)*($F$2:F355=F355)*($G$2:G355=G355)*($I$2:I355="Duplicate"))-1),"")&amp;".jpeg")</f>
        <v/>
      </c>
      <c r="L355" s="6"/>
      <c r="M355" s="5" t="str">
        <f>IFERROR(VLOOKUP(E355,Specifications!$A$2:$D$9,2,FALSE),"")</f>
        <v/>
      </c>
      <c r="N355" s="5" t="str">
        <f>IFERROR(VLOOKUP(E355,Specifications!$A$2:$D$9,3,FALSE),"")</f>
        <v/>
      </c>
      <c r="O355" s="5" t="str">
        <f>IFERROR(VLOOKUP(E355,Specifications!$A$2:$D$9,4,FALSE),"")</f>
        <v/>
      </c>
      <c r="P355" s="8" t="str">
        <f t="shared" si="18"/>
        <v/>
      </c>
      <c r="Q355" s="9"/>
    </row>
    <row r="356" spans="1:17" ht="15">
      <c r="A356" s="5" t="str">
        <f t="shared" si="16"/>
        <v/>
      </c>
      <c r="B356" s="6"/>
      <c r="C356" s="5" t="str">
        <f>IFERROR(VLOOKUP(B356,Lists!$A$2:$B$25,2,FALSE),"")</f>
        <v/>
      </c>
      <c r="D356" s="7"/>
      <c r="E356" s="6"/>
      <c r="F356" s="6" t="str">
        <f t="shared" si="17"/>
        <v/>
      </c>
      <c r="G356" s="6"/>
      <c r="H356" s="6"/>
      <c r="I356" s="6"/>
      <c r="J356" s="7"/>
      <c r="K356" s="5" t="str" cm="1">
        <f t="array" ref="K356">IF(OR(A356="",B356="",D356="",E356=""),"",A356&amp;"_"&amp;SUBSTITUTE(B356," ","-")&amp;"_"&amp;D356&amp;"_"&amp;SUBSTITUTE(SUBSTITUTE(E356," ",""),"€","Euro")&amp;"_"&amp;IF(F356="","Unknown",F356)&amp;IF(F356="Commemorative",IF(G356="","","_"&amp;SUBSTITUTE(SUBSTITUTE(SUBSTITUTE(G356," ","-"),"/","-"),CHAR(39),"")),"")&amp;IF(I356="Duplicate","_Dub"&amp;IF(SUMPRODUCT(($B$2:B356=B356)*($D$2:D356=D356)*($E$2:E356=E356)*($F$2:F356=F356)*($G$2:G356=G356)*($I$2:I356="Duplicate"))&lt;=1,"",SUMPRODUCT(($B$2:B356=B356)*($D$2:D356=D356)*($E$2:E356=E356)*($F$2:F356=F356)*($G$2:G356=G356)*($I$2:I356="Duplicate"))-1),"")&amp;".jpeg")</f>
        <v/>
      </c>
      <c r="L356" s="6"/>
      <c r="M356" s="5" t="str">
        <f>IFERROR(VLOOKUP(E356,Specifications!$A$2:$D$9,2,FALSE),"")</f>
        <v/>
      </c>
      <c r="N356" s="5" t="str">
        <f>IFERROR(VLOOKUP(E356,Specifications!$A$2:$D$9,3,FALSE),"")</f>
        <v/>
      </c>
      <c r="O356" s="5" t="str">
        <f>IFERROR(VLOOKUP(E356,Specifications!$A$2:$D$9,4,FALSE),"")</f>
        <v/>
      </c>
      <c r="P356" s="8" t="str">
        <f t="shared" si="18"/>
        <v/>
      </c>
      <c r="Q356" s="9"/>
    </row>
    <row r="357" spans="1:17" ht="15">
      <c r="A357" s="5" t="str">
        <f t="shared" si="16"/>
        <v/>
      </c>
      <c r="B357" s="6"/>
      <c r="C357" s="5" t="str">
        <f>IFERROR(VLOOKUP(B357,Lists!$A$2:$B$25,2,FALSE),"")</f>
        <v/>
      </c>
      <c r="D357" s="7"/>
      <c r="E357" s="6"/>
      <c r="F357" s="6" t="str">
        <f t="shared" si="17"/>
        <v/>
      </c>
      <c r="G357" s="6"/>
      <c r="H357" s="6"/>
      <c r="I357" s="6"/>
      <c r="J357" s="7"/>
      <c r="K357" s="5" t="str" cm="1">
        <f t="array" ref="K357">IF(OR(A357="",B357="",D357="",E357=""),"",A357&amp;"_"&amp;SUBSTITUTE(B357," ","-")&amp;"_"&amp;D357&amp;"_"&amp;SUBSTITUTE(SUBSTITUTE(E357," ",""),"€","Euro")&amp;"_"&amp;IF(F357="","Unknown",F357)&amp;IF(F357="Commemorative",IF(G357="","","_"&amp;SUBSTITUTE(SUBSTITUTE(SUBSTITUTE(G357," ","-"),"/","-"),CHAR(39),"")),"")&amp;IF(I357="Duplicate","_Dub"&amp;IF(SUMPRODUCT(($B$2:B357=B357)*($D$2:D357=D357)*($E$2:E357=E357)*($F$2:F357=F357)*($G$2:G357=G357)*($I$2:I357="Duplicate"))&lt;=1,"",SUMPRODUCT(($B$2:B357=B357)*($D$2:D357=D357)*($E$2:E357=E357)*($F$2:F357=F357)*($G$2:G357=G357)*($I$2:I357="Duplicate"))-1),"")&amp;".jpeg")</f>
        <v/>
      </c>
      <c r="L357" s="6"/>
      <c r="M357" s="5" t="str">
        <f>IFERROR(VLOOKUP(E357,Specifications!$A$2:$D$9,2,FALSE),"")</f>
        <v/>
      </c>
      <c r="N357" s="5" t="str">
        <f>IFERROR(VLOOKUP(E357,Specifications!$A$2:$D$9,3,FALSE),"")</f>
        <v/>
      </c>
      <c r="O357" s="5" t="str">
        <f>IFERROR(VLOOKUP(E357,Specifications!$A$2:$D$9,4,FALSE),"")</f>
        <v/>
      </c>
      <c r="P357" s="8" t="str">
        <f t="shared" si="18"/>
        <v/>
      </c>
      <c r="Q357" s="9"/>
    </row>
    <row r="358" spans="1:17" ht="15">
      <c r="A358" s="5" t="str">
        <f t="shared" si="16"/>
        <v/>
      </c>
      <c r="B358" s="6"/>
      <c r="C358" s="5" t="str">
        <f>IFERROR(VLOOKUP(B358,Lists!$A$2:$B$25,2,FALSE),"")</f>
        <v/>
      </c>
      <c r="D358" s="7"/>
      <c r="E358" s="6"/>
      <c r="F358" s="6" t="str">
        <f t="shared" si="17"/>
        <v/>
      </c>
      <c r="G358" s="6"/>
      <c r="H358" s="6"/>
      <c r="I358" s="6"/>
      <c r="J358" s="7"/>
      <c r="K358" s="5" t="str" cm="1">
        <f t="array" ref="K358">IF(OR(A358="",B358="",D358="",E358=""),"",A358&amp;"_"&amp;SUBSTITUTE(B358," ","-")&amp;"_"&amp;D358&amp;"_"&amp;SUBSTITUTE(SUBSTITUTE(E358," ",""),"€","Euro")&amp;"_"&amp;IF(F358="","Unknown",F358)&amp;IF(F358="Commemorative",IF(G358="","","_"&amp;SUBSTITUTE(SUBSTITUTE(SUBSTITUTE(G358," ","-"),"/","-"),CHAR(39),"")),"")&amp;IF(I358="Duplicate","_Dub"&amp;IF(SUMPRODUCT(($B$2:B358=B358)*($D$2:D358=D358)*($E$2:E358=E358)*($F$2:F358=F358)*($G$2:G358=G358)*($I$2:I358="Duplicate"))&lt;=1,"",SUMPRODUCT(($B$2:B358=B358)*($D$2:D358=D358)*($E$2:E358=E358)*($F$2:F358=F358)*($G$2:G358=G358)*($I$2:I358="Duplicate"))-1),"")&amp;".jpeg")</f>
        <v/>
      </c>
      <c r="L358" s="6"/>
      <c r="M358" s="5" t="str">
        <f>IFERROR(VLOOKUP(E358,Specifications!$A$2:$D$9,2,FALSE),"")</f>
        <v/>
      </c>
      <c r="N358" s="5" t="str">
        <f>IFERROR(VLOOKUP(E358,Specifications!$A$2:$D$9,3,FALSE),"")</f>
        <v/>
      </c>
      <c r="O358" s="5" t="str">
        <f>IFERROR(VLOOKUP(E358,Specifications!$A$2:$D$9,4,FALSE),"")</f>
        <v/>
      </c>
      <c r="P358" s="8" t="str">
        <f t="shared" si="18"/>
        <v/>
      </c>
      <c r="Q358" s="9"/>
    </row>
    <row r="359" spans="1:17" ht="15">
      <c r="A359" s="5" t="str">
        <f t="shared" si="16"/>
        <v/>
      </c>
      <c r="B359" s="6"/>
      <c r="C359" s="5" t="str">
        <f>IFERROR(VLOOKUP(B359,Lists!$A$2:$B$25,2,FALSE),"")</f>
        <v/>
      </c>
      <c r="D359" s="7"/>
      <c r="E359" s="6"/>
      <c r="F359" s="6" t="str">
        <f t="shared" si="17"/>
        <v/>
      </c>
      <c r="G359" s="6"/>
      <c r="H359" s="6"/>
      <c r="I359" s="6"/>
      <c r="J359" s="7"/>
      <c r="K359" s="5" t="str" cm="1">
        <f t="array" ref="K359">IF(OR(A359="",B359="",D359="",E359=""),"",A359&amp;"_"&amp;SUBSTITUTE(B359," ","-")&amp;"_"&amp;D359&amp;"_"&amp;SUBSTITUTE(SUBSTITUTE(E359," ",""),"€","Euro")&amp;"_"&amp;IF(F359="","Unknown",F359)&amp;IF(F359="Commemorative",IF(G359="","","_"&amp;SUBSTITUTE(SUBSTITUTE(SUBSTITUTE(G359," ","-"),"/","-"),CHAR(39),"")),"")&amp;IF(I359="Duplicate","_Dub"&amp;IF(SUMPRODUCT(($B$2:B359=B359)*($D$2:D359=D359)*($E$2:E359=E359)*($F$2:F359=F359)*($G$2:G359=G359)*($I$2:I359="Duplicate"))&lt;=1,"",SUMPRODUCT(($B$2:B359=B359)*($D$2:D359=D359)*($E$2:E359=E359)*($F$2:F359=F359)*($G$2:G359=G359)*($I$2:I359="Duplicate"))-1),"")&amp;".jpeg")</f>
        <v/>
      </c>
      <c r="L359" s="6"/>
      <c r="M359" s="5" t="str">
        <f>IFERROR(VLOOKUP(E359,Specifications!$A$2:$D$9,2,FALSE),"")</f>
        <v/>
      </c>
      <c r="N359" s="5" t="str">
        <f>IFERROR(VLOOKUP(E359,Specifications!$A$2:$D$9,3,FALSE),"")</f>
        <v/>
      </c>
      <c r="O359" s="5" t="str">
        <f>IFERROR(VLOOKUP(E359,Specifications!$A$2:$D$9,4,FALSE),"")</f>
        <v/>
      </c>
      <c r="P359" s="8" t="str">
        <f t="shared" si="18"/>
        <v/>
      </c>
      <c r="Q359" s="9"/>
    </row>
    <row r="360" spans="1:17" ht="15">
      <c r="A360" s="5" t="str">
        <f t="shared" si="16"/>
        <v/>
      </c>
      <c r="B360" s="6"/>
      <c r="C360" s="5" t="str">
        <f>IFERROR(VLOOKUP(B360,Lists!$A$2:$B$25,2,FALSE),"")</f>
        <v/>
      </c>
      <c r="D360" s="7"/>
      <c r="E360" s="6"/>
      <c r="F360" s="6" t="str">
        <f t="shared" si="17"/>
        <v/>
      </c>
      <c r="G360" s="6"/>
      <c r="H360" s="6"/>
      <c r="I360" s="6"/>
      <c r="J360" s="7"/>
      <c r="K360" s="5" t="str" cm="1">
        <f t="array" ref="K360">IF(OR(A360="",B360="",D360="",E360=""),"",A360&amp;"_"&amp;SUBSTITUTE(B360," ","-")&amp;"_"&amp;D360&amp;"_"&amp;SUBSTITUTE(SUBSTITUTE(E360," ",""),"€","Euro")&amp;"_"&amp;IF(F360="","Unknown",F360)&amp;IF(F360="Commemorative",IF(G360="","","_"&amp;SUBSTITUTE(SUBSTITUTE(SUBSTITUTE(G360," ","-"),"/","-"),CHAR(39),"")),"")&amp;IF(I360="Duplicate","_Dub"&amp;IF(SUMPRODUCT(($B$2:B360=B360)*($D$2:D360=D360)*($E$2:E360=E360)*($F$2:F360=F360)*($G$2:G360=G360)*($I$2:I360="Duplicate"))&lt;=1,"",SUMPRODUCT(($B$2:B360=B360)*($D$2:D360=D360)*($E$2:E360=E360)*($F$2:F360=F360)*($G$2:G360=G360)*($I$2:I360="Duplicate"))-1),"")&amp;".jpeg")</f>
        <v/>
      </c>
      <c r="L360" s="6"/>
      <c r="M360" s="5" t="str">
        <f>IFERROR(VLOOKUP(E360,Specifications!$A$2:$D$9,2,FALSE),"")</f>
        <v/>
      </c>
      <c r="N360" s="5" t="str">
        <f>IFERROR(VLOOKUP(E360,Specifications!$A$2:$D$9,3,FALSE),"")</f>
        <v/>
      </c>
      <c r="O360" s="5" t="str">
        <f>IFERROR(VLOOKUP(E360,Specifications!$A$2:$D$9,4,FALSE),"")</f>
        <v/>
      </c>
      <c r="P360" s="8" t="str">
        <f t="shared" si="18"/>
        <v/>
      </c>
      <c r="Q360" s="9"/>
    </row>
    <row r="361" spans="1:17" ht="15">
      <c r="A361" s="5" t="str">
        <f t="shared" si="16"/>
        <v/>
      </c>
      <c r="B361" s="6"/>
      <c r="C361" s="5" t="str">
        <f>IFERROR(VLOOKUP(B361,Lists!$A$2:$B$25,2,FALSE),"")</f>
        <v/>
      </c>
      <c r="D361" s="7"/>
      <c r="E361" s="6"/>
      <c r="F361" s="6" t="str">
        <f t="shared" si="17"/>
        <v/>
      </c>
      <c r="G361" s="6"/>
      <c r="H361" s="6"/>
      <c r="I361" s="6"/>
      <c r="J361" s="7"/>
      <c r="K361" s="5" t="str" cm="1">
        <f t="array" ref="K361">IF(OR(A361="",B361="",D361="",E361=""),"",A361&amp;"_"&amp;SUBSTITUTE(B361," ","-")&amp;"_"&amp;D361&amp;"_"&amp;SUBSTITUTE(SUBSTITUTE(E361," ",""),"€","Euro")&amp;"_"&amp;IF(F361="","Unknown",F361)&amp;IF(F361="Commemorative",IF(G361="","","_"&amp;SUBSTITUTE(SUBSTITUTE(SUBSTITUTE(G361," ","-"),"/","-"),CHAR(39),"")),"")&amp;IF(I361="Duplicate","_Dub"&amp;IF(SUMPRODUCT(($B$2:B361=B361)*($D$2:D361=D361)*($E$2:E361=E361)*($F$2:F361=F361)*($G$2:G361=G361)*($I$2:I361="Duplicate"))&lt;=1,"",SUMPRODUCT(($B$2:B361=B361)*($D$2:D361=D361)*($E$2:E361=E361)*($F$2:F361=F361)*($G$2:G361=G361)*($I$2:I361="Duplicate"))-1),"")&amp;".jpeg")</f>
        <v/>
      </c>
      <c r="L361" s="6"/>
      <c r="M361" s="5" t="str">
        <f>IFERROR(VLOOKUP(E361,Specifications!$A$2:$D$9,2,FALSE),"")</f>
        <v/>
      </c>
      <c r="N361" s="5" t="str">
        <f>IFERROR(VLOOKUP(E361,Specifications!$A$2:$D$9,3,FALSE),"")</f>
        <v/>
      </c>
      <c r="O361" s="5" t="str">
        <f>IFERROR(VLOOKUP(E361,Specifications!$A$2:$D$9,4,FALSE),"")</f>
        <v/>
      </c>
      <c r="P361" s="8" t="str">
        <f t="shared" si="18"/>
        <v/>
      </c>
      <c r="Q361" s="9"/>
    </row>
    <row r="362" spans="1:17" ht="15">
      <c r="A362" s="5" t="str">
        <f t="shared" si="16"/>
        <v/>
      </c>
      <c r="B362" s="6"/>
      <c r="C362" s="5" t="str">
        <f>IFERROR(VLOOKUP(B362,Lists!$A$2:$B$25,2,FALSE),"")</f>
        <v/>
      </c>
      <c r="D362" s="7"/>
      <c r="E362" s="6"/>
      <c r="F362" s="6" t="str">
        <f t="shared" si="17"/>
        <v/>
      </c>
      <c r="G362" s="6"/>
      <c r="H362" s="6"/>
      <c r="I362" s="6"/>
      <c r="J362" s="7"/>
      <c r="K362" s="5" t="str" cm="1">
        <f t="array" ref="K362">IF(OR(A362="",B362="",D362="",E362=""),"",A362&amp;"_"&amp;SUBSTITUTE(B362," ","-")&amp;"_"&amp;D362&amp;"_"&amp;SUBSTITUTE(SUBSTITUTE(E362," ",""),"€","Euro")&amp;"_"&amp;IF(F362="","Unknown",F362)&amp;IF(F362="Commemorative",IF(G362="","","_"&amp;SUBSTITUTE(SUBSTITUTE(SUBSTITUTE(G362," ","-"),"/","-"),CHAR(39),"")),"")&amp;IF(I362="Duplicate","_Dub"&amp;IF(SUMPRODUCT(($B$2:B362=B362)*($D$2:D362=D362)*($E$2:E362=E362)*($F$2:F362=F362)*($G$2:G362=G362)*($I$2:I362="Duplicate"))&lt;=1,"",SUMPRODUCT(($B$2:B362=B362)*($D$2:D362=D362)*($E$2:E362=E362)*($F$2:F362=F362)*($G$2:G362=G362)*($I$2:I362="Duplicate"))-1),"")&amp;".jpeg")</f>
        <v/>
      </c>
      <c r="L362" s="6"/>
      <c r="M362" s="5" t="str">
        <f>IFERROR(VLOOKUP(E362,Specifications!$A$2:$D$9,2,FALSE),"")</f>
        <v/>
      </c>
      <c r="N362" s="5" t="str">
        <f>IFERROR(VLOOKUP(E362,Specifications!$A$2:$D$9,3,FALSE),"")</f>
        <v/>
      </c>
      <c r="O362" s="5" t="str">
        <f>IFERROR(VLOOKUP(E362,Specifications!$A$2:$D$9,4,FALSE),"")</f>
        <v/>
      </c>
      <c r="P362" s="8" t="str">
        <f t="shared" si="18"/>
        <v/>
      </c>
      <c r="Q362" s="9"/>
    </row>
    <row r="363" spans="1:17" ht="15">
      <c r="A363" s="5" t="str">
        <f t="shared" si="16"/>
        <v/>
      </c>
      <c r="B363" s="6"/>
      <c r="C363" s="5" t="str">
        <f>IFERROR(VLOOKUP(B363,Lists!$A$2:$B$25,2,FALSE),"")</f>
        <v/>
      </c>
      <c r="D363" s="7"/>
      <c r="E363" s="6"/>
      <c r="F363" s="6" t="str">
        <f t="shared" si="17"/>
        <v/>
      </c>
      <c r="G363" s="6"/>
      <c r="H363" s="6"/>
      <c r="I363" s="6"/>
      <c r="J363" s="7"/>
      <c r="K363" s="5" t="str" cm="1">
        <f t="array" ref="K363">IF(OR(A363="",B363="",D363="",E363=""),"",A363&amp;"_"&amp;SUBSTITUTE(B363," ","-")&amp;"_"&amp;D363&amp;"_"&amp;SUBSTITUTE(SUBSTITUTE(E363," ",""),"€","Euro")&amp;"_"&amp;IF(F363="","Unknown",F363)&amp;IF(F363="Commemorative",IF(G363="","","_"&amp;SUBSTITUTE(SUBSTITUTE(SUBSTITUTE(G363," ","-"),"/","-"),CHAR(39),"")),"")&amp;IF(I363="Duplicate","_Dub"&amp;IF(SUMPRODUCT(($B$2:B363=B363)*($D$2:D363=D363)*($E$2:E363=E363)*($F$2:F363=F363)*($G$2:G363=G363)*($I$2:I363="Duplicate"))&lt;=1,"",SUMPRODUCT(($B$2:B363=B363)*($D$2:D363=D363)*($E$2:E363=E363)*($F$2:F363=F363)*($G$2:G363=G363)*($I$2:I363="Duplicate"))-1),"")&amp;".jpeg")</f>
        <v/>
      </c>
      <c r="L363" s="6"/>
      <c r="M363" s="5" t="str">
        <f>IFERROR(VLOOKUP(E363,Specifications!$A$2:$D$9,2,FALSE),"")</f>
        <v/>
      </c>
      <c r="N363" s="5" t="str">
        <f>IFERROR(VLOOKUP(E363,Specifications!$A$2:$D$9,3,FALSE),"")</f>
        <v/>
      </c>
      <c r="O363" s="5" t="str">
        <f>IFERROR(VLOOKUP(E363,Specifications!$A$2:$D$9,4,FALSE),"")</f>
        <v/>
      </c>
      <c r="P363" s="8" t="str">
        <f t="shared" si="18"/>
        <v/>
      </c>
      <c r="Q363" s="9"/>
    </row>
    <row r="364" spans="1:17" ht="15">
      <c r="A364" s="5" t="str">
        <f t="shared" si="16"/>
        <v/>
      </c>
      <c r="B364" s="6"/>
      <c r="C364" s="5" t="str">
        <f>IFERROR(VLOOKUP(B364,Lists!$A$2:$B$25,2,FALSE),"")</f>
        <v/>
      </c>
      <c r="D364" s="7"/>
      <c r="E364" s="6"/>
      <c r="F364" s="6" t="str">
        <f t="shared" si="17"/>
        <v/>
      </c>
      <c r="G364" s="6"/>
      <c r="H364" s="6"/>
      <c r="I364" s="6"/>
      <c r="J364" s="7"/>
      <c r="K364" s="5" t="str" cm="1">
        <f t="array" ref="K364">IF(OR(A364="",B364="",D364="",E364=""),"",A364&amp;"_"&amp;SUBSTITUTE(B364," ","-")&amp;"_"&amp;D364&amp;"_"&amp;SUBSTITUTE(SUBSTITUTE(E364," ",""),"€","Euro")&amp;"_"&amp;IF(F364="","Unknown",F364)&amp;IF(F364="Commemorative",IF(G364="","","_"&amp;SUBSTITUTE(SUBSTITUTE(SUBSTITUTE(G364," ","-"),"/","-"),CHAR(39),"")),"")&amp;IF(I364="Duplicate","_Dub"&amp;IF(SUMPRODUCT(($B$2:B364=B364)*($D$2:D364=D364)*($E$2:E364=E364)*($F$2:F364=F364)*($G$2:G364=G364)*($I$2:I364="Duplicate"))&lt;=1,"",SUMPRODUCT(($B$2:B364=B364)*($D$2:D364=D364)*($E$2:E364=E364)*($F$2:F364=F364)*($G$2:G364=G364)*($I$2:I364="Duplicate"))-1),"")&amp;".jpeg")</f>
        <v/>
      </c>
      <c r="L364" s="6"/>
      <c r="M364" s="5" t="str">
        <f>IFERROR(VLOOKUP(E364,Specifications!$A$2:$D$9,2,FALSE),"")</f>
        <v/>
      </c>
      <c r="N364" s="5" t="str">
        <f>IFERROR(VLOOKUP(E364,Specifications!$A$2:$D$9,3,FALSE),"")</f>
        <v/>
      </c>
      <c r="O364" s="5" t="str">
        <f>IFERROR(VLOOKUP(E364,Specifications!$A$2:$D$9,4,FALSE),"")</f>
        <v/>
      </c>
      <c r="P364" s="8" t="str">
        <f t="shared" si="18"/>
        <v/>
      </c>
      <c r="Q364" s="9"/>
    </row>
    <row r="365" spans="1:17" ht="15">
      <c r="A365" s="5" t="str">
        <f t="shared" si="16"/>
        <v/>
      </c>
      <c r="B365" s="6"/>
      <c r="C365" s="5" t="str">
        <f>IFERROR(VLOOKUP(B365,Lists!$A$2:$B$25,2,FALSE),"")</f>
        <v/>
      </c>
      <c r="D365" s="7"/>
      <c r="E365" s="6"/>
      <c r="F365" s="6" t="str">
        <f t="shared" si="17"/>
        <v/>
      </c>
      <c r="G365" s="6"/>
      <c r="H365" s="6"/>
      <c r="I365" s="6"/>
      <c r="J365" s="7"/>
      <c r="K365" s="5" t="str" cm="1">
        <f t="array" ref="K365">IF(OR(A365="",B365="",D365="",E365=""),"",A365&amp;"_"&amp;SUBSTITUTE(B365," ","-")&amp;"_"&amp;D365&amp;"_"&amp;SUBSTITUTE(SUBSTITUTE(E365," ",""),"€","Euro")&amp;"_"&amp;IF(F365="","Unknown",F365)&amp;IF(F365="Commemorative",IF(G365="","","_"&amp;SUBSTITUTE(SUBSTITUTE(SUBSTITUTE(G365," ","-"),"/","-"),CHAR(39),"")),"")&amp;IF(I365="Duplicate","_Dub"&amp;IF(SUMPRODUCT(($B$2:B365=B365)*($D$2:D365=D365)*($E$2:E365=E365)*($F$2:F365=F365)*($G$2:G365=G365)*($I$2:I365="Duplicate"))&lt;=1,"",SUMPRODUCT(($B$2:B365=B365)*($D$2:D365=D365)*($E$2:E365=E365)*($F$2:F365=F365)*($G$2:G365=G365)*($I$2:I365="Duplicate"))-1),"")&amp;".jpeg")</f>
        <v/>
      </c>
      <c r="L365" s="6"/>
      <c r="M365" s="5" t="str">
        <f>IFERROR(VLOOKUP(E365,Specifications!$A$2:$D$9,2,FALSE),"")</f>
        <v/>
      </c>
      <c r="N365" s="5" t="str">
        <f>IFERROR(VLOOKUP(E365,Specifications!$A$2:$D$9,3,FALSE),"")</f>
        <v/>
      </c>
      <c r="O365" s="5" t="str">
        <f>IFERROR(VLOOKUP(E365,Specifications!$A$2:$D$9,4,FALSE),"")</f>
        <v/>
      </c>
      <c r="P365" s="8" t="str">
        <f t="shared" si="18"/>
        <v/>
      </c>
      <c r="Q365" s="9"/>
    </row>
    <row r="366" spans="1:17" ht="15">
      <c r="A366" s="5" t="str">
        <f t="shared" si="16"/>
        <v/>
      </c>
      <c r="B366" s="6"/>
      <c r="C366" s="5" t="str">
        <f>IFERROR(VLOOKUP(B366,Lists!$A$2:$B$25,2,FALSE),"")</f>
        <v/>
      </c>
      <c r="D366" s="7"/>
      <c r="E366" s="6"/>
      <c r="F366" s="6" t="str">
        <f t="shared" si="17"/>
        <v/>
      </c>
      <c r="G366" s="6"/>
      <c r="H366" s="6"/>
      <c r="I366" s="6"/>
      <c r="J366" s="7"/>
      <c r="K366" s="5" t="str" cm="1">
        <f t="array" ref="K366">IF(OR(A366="",B366="",D366="",E366=""),"",A366&amp;"_"&amp;SUBSTITUTE(B366," ","-")&amp;"_"&amp;D366&amp;"_"&amp;SUBSTITUTE(SUBSTITUTE(E366," ",""),"€","Euro")&amp;"_"&amp;IF(F366="","Unknown",F366)&amp;IF(F366="Commemorative",IF(G366="","","_"&amp;SUBSTITUTE(SUBSTITUTE(SUBSTITUTE(G366," ","-"),"/","-"),CHAR(39),"")),"")&amp;IF(I366="Duplicate","_Dub"&amp;IF(SUMPRODUCT(($B$2:B366=B366)*($D$2:D366=D366)*($E$2:E366=E366)*($F$2:F366=F366)*($G$2:G366=G366)*($I$2:I366="Duplicate"))&lt;=1,"",SUMPRODUCT(($B$2:B366=B366)*($D$2:D366=D366)*($E$2:E366=E366)*($F$2:F366=F366)*($G$2:G366=G366)*($I$2:I366="Duplicate"))-1),"")&amp;".jpeg")</f>
        <v/>
      </c>
      <c r="L366" s="6"/>
      <c r="M366" s="5" t="str">
        <f>IFERROR(VLOOKUP(E366,Specifications!$A$2:$D$9,2,FALSE),"")</f>
        <v/>
      </c>
      <c r="N366" s="5" t="str">
        <f>IFERROR(VLOOKUP(E366,Specifications!$A$2:$D$9,3,FALSE),"")</f>
        <v/>
      </c>
      <c r="O366" s="5" t="str">
        <f>IFERROR(VLOOKUP(E366,Specifications!$A$2:$D$9,4,FALSE),"")</f>
        <v/>
      </c>
      <c r="P366" s="8" t="str">
        <f t="shared" si="18"/>
        <v/>
      </c>
      <c r="Q366" s="9"/>
    </row>
    <row r="367" spans="1:17" ht="15">
      <c r="A367" s="5" t="str">
        <f t="shared" si="16"/>
        <v/>
      </c>
      <c r="B367" s="6"/>
      <c r="C367" s="5" t="str">
        <f>IFERROR(VLOOKUP(B367,Lists!$A$2:$B$25,2,FALSE),"")</f>
        <v/>
      </c>
      <c r="D367" s="7"/>
      <c r="E367" s="6"/>
      <c r="F367" s="6" t="str">
        <f t="shared" si="17"/>
        <v/>
      </c>
      <c r="G367" s="6"/>
      <c r="H367" s="6"/>
      <c r="I367" s="6"/>
      <c r="J367" s="7"/>
      <c r="K367" s="5" t="str" cm="1">
        <f t="array" ref="K367">IF(OR(A367="",B367="",D367="",E367=""),"",A367&amp;"_"&amp;SUBSTITUTE(B367," ","-")&amp;"_"&amp;D367&amp;"_"&amp;SUBSTITUTE(SUBSTITUTE(E367," ",""),"€","Euro")&amp;"_"&amp;IF(F367="","Unknown",F367)&amp;IF(F367="Commemorative",IF(G367="","","_"&amp;SUBSTITUTE(SUBSTITUTE(SUBSTITUTE(G367," ","-"),"/","-"),CHAR(39),"")),"")&amp;IF(I367="Duplicate","_Dub"&amp;IF(SUMPRODUCT(($B$2:B367=B367)*($D$2:D367=D367)*($E$2:E367=E367)*($F$2:F367=F367)*($G$2:G367=G367)*($I$2:I367="Duplicate"))&lt;=1,"",SUMPRODUCT(($B$2:B367=B367)*($D$2:D367=D367)*($E$2:E367=E367)*($F$2:F367=F367)*($G$2:G367=G367)*($I$2:I367="Duplicate"))-1),"")&amp;".jpeg")</f>
        <v/>
      </c>
      <c r="L367" s="6"/>
      <c r="M367" s="5" t="str">
        <f>IFERROR(VLOOKUP(E367,Specifications!$A$2:$D$9,2,FALSE),"")</f>
        <v/>
      </c>
      <c r="N367" s="5" t="str">
        <f>IFERROR(VLOOKUP(E367,Specifications!$A$2:$D$9,3,FALSE),"")</f>
        <v/>
      </c>
      <c r="O367" s="5" t="str">
        <f>IFERROR(VLOOKUP(E367,Specifications!$A$2:$D$9,4,FALSE),"")</f>
        <v/>
      </c>
      <c r="P367" s="8" t="str">
        <f t="shared" si="18"/>
        <v/>
      </c>
      <c r="Q367" s="9"/>
    </row>
    <row r="368" spans="1:17" ht="15">
      <c r="A368" s="5" t="str">
        <f t="shared" si="16"/>
        <v/>
      </c>
      <c r="B368" s="6"/>
      <c r="C368" s="5" t="str">
        <f>IFERROR(VLOOKUP(B368,Lists!$A$2:$B$25,2,FALSE),"")</f>
        <v/>
      </c>
      <c r="D368" s="7"/>
      <c r="E368" s="6"/>
      <c r="F368" s="6" t="str">
        <f t="shared" si="17"/>
        <v/>
      </c>
      <c r="G368" s="6"/>
      <c r="H368" s="6"/>
      <c r="I368" s="6"/>
      <c r="J368" s="7"/>
      <c r="K368" s="5" t="str" cm="1">
        <f t="array" ref="K368">IF(OR(A368="",B368="",D368="",E368=""),"",A368&amp;"_"&amp;SUBSTITUTE(B368," ","-")&amp;"_"&amp;D368&amp;"_"&amp;SUBSTITUTE(SUBSTITUTE(E368," ",""),"€","Euro")&amp;"_"&amp;IF(F368="","Unknown",F368)&amp;IF(F368="Commemorative",IF(G368="","","_"&amp;SUBSTITUTE(SUBSTITUTE(SUBSTITUTE(G368," ","-"),"/","-"),CHAR(39),"")),"")&amp;IF(I368="Duplicate","_Dub"&amp;IF(SUMPRODUCT(($B$2:B368=B368)*($D$2:D368=D368)*($E$2:E368=E368)*($F$2:F368=F368)*($G$2:G368=G368)*($I$2:I368="Duplicate"))&lt;=1,"",SUMPRODUCT(($B$2:B368=B368)*($D$2:D368=D368)*($E$2:E368=E368)*($F$2:F368=F368)*($G$2:G368=G368)*($I$2:I368="Duplicate"))-1),"")&amp;".jpeg")</f>
        <v/>
      </c>
      <c r="L368" s="6"/>
      <c r="M368" s="5" t="str">
        <f>IFERROR(VLOOKUP(E368,Specifications!$A$2:$D$9,2,FALSE),"")</f>
        <v/>
      </c>
      <c r="N368" s="5" t="str">
        <f>IFERROR(VLOOKUP(E368,Specifications!$A$2:$D$9,3,FALSE),"")</f>
        <v/>
      </c>
      <c r="O368" s="5" t="str">
        <f>IFERROR(VLOOKUP(E368,Specifications!$A$2:$D$9,4,FALSE),"")</f>
        <v/>
      </c>
      <c r="P368" s="8" t="str">
        <f t="shared" si="18"/>
        <v/>
      </c>
      <c r="Q368" s="9"/>
    </row>
    <row r="369" spans="1:17" ht="15">
      <c r="A369" s="5" t="str">
        <f t="shared" si="16"/>
        <v/>
      </c>
      <c r="B369" s="6"/>
      <c r="C369" s="5" t="str">
        <f>IFERROR(VLOOKUP(B369,Lists!$A$2:$B$25,2,FALSE),"")</f>
        <v/>
      </c>
      <c r="D369" s="7"/>
      <c r="E369" s="6"/>
      <c r="F369" s="6" t="str">
        <f t="shared" si="17"/>
        <v/>
      </c>
      <c r="G369" s="6"/>
      <c r="H369" s="6"/>
      <c r="I369" s="6"/>
      <c r="J369" s="7"/>
      <c r="K369" s="5" t="str" cm="1">
        <f t="array" ref="K369">IF(OR(A369="",B369="",D369="",E369=""),"",A369&amp;"_"&amp;SUBSTITUTE(B369," ","-")&amp;"_"&amp;D369&amp;"_"&amp;SUBSTITUTE(SUBSTITUTE(E369," ",""),"€","Euro")&amp;"_"&amp;IF(F369="","Unknown",F369)&amp;IF(F369="Commemorative",IF(G369="","","_"&amp;SUBSTITUTE(SUBSTITUTE(SUBSTITUTE(G369," ","-"),"/","-"),CHAR(39),"")),"")&amp;IF(I369="Duplicate","_Dub"&amp;IF(SUMPRODUCT(($B$2:B369=B369)*($D$2:D369=D369)*($E$2:E369=E369)*($F$2:F369=F369)*($G$2:G369=G369)*($I$2:I369="Duplicate"))&lt;=1,"",SUMPRODUCT(($B$2:B369=B369)*($D$2:D369=D369)*($E$2:E369=E369)*($F$2:F369=F369)*($G$2:G369=G369)*($I$2:I369="Duplicate"))-1),"")&amp;".jpeg")</f>
        <v/>
      </c>
      <c r="L369" s="6"/>
      <c r="M369" s="5" t="str">
        <f>IFERROR(VLOOKUP(E369,Specifications!$A$2:$D$9,2,FALSE),"")</f>
        <v/>
      </c>
      <c r="N369" s="5" t="str">
        <f>IFERROR(VLOOKUP(E369,Specifications!$A$2:$D$9,3,FALSE),"")</f>
        <v/>
      </c>
      <c r="O369" s="5" t="str">
        <f>IFERROR(VLOOKUP(E369,Specifications!$A$2:$D$9,4,FALSE),"")</f>
        <v/>
      </c>
      <c r="P369" s="8" t="str">
        <f t="shared" si="18"/>
        <v/>
      </c>
      <c r="Q369" s="9"/>
    </row>
    <row r="370" spans="1:17" ht="15">
      <c r="A370" s="5" t="str">
        <f t="shared" si="16"/>
        <v/>
      </c>
      <c r="B370" s="6"/>
      <c r="C370" s="5" t="str">
        <f>IFERROR(VLOOKUP(B370,Lists!$A$2:$B$25,2,FALSE),"")</f>
        <v/>
      </c>
      <c r="D370" s="7"/>
      <c r="E370" s="6"/>
      <c r="F370" s="6" t="str">
        <f t="shared" si="17"/>
        <v/>
      </c>
      <c r="G370" s="6"/>
      <c r="H370" s="6"/>
      <c r="I370" s="6"/>
      <c r="J370" s="7"/>
      <c r="K370" s="5" t="str" cm="1">
        <f t="array" ref="K370">IF(OR(A370="",B370="",D370="",E370=""),"",A370&amp;"_"&amp;SUBSTITUTE(B370," ","-")&amp;"_"&amp;D370&amp;"_"&amp;SUBSTITUTE(SUBSTITUTE(E370," ",""),"€","Euro")&amp;"_"&amp;IF(F370="","Unknown",F370)&amp;IF(F370="Commemorative",IF(G370="","","_"&amp;SUBSTITUTE(SUBSTITUTE(SUBSTITUTE(G370," ","-"),"/","-"),CHAR(39),"")),"")&amp;IF(I370="Duplicate","_Dub"&amp;IF(SUMPRODUCT(($B$2:B370=B370)*($D$2:D370=D370)*($E$2:E370=E370)*($F$2:F370=F370)*($G$2:G370=G370)*($I$2:I370="Duplicate"))&lt;=1,"",SUMPRODUCT(($B$2:B370=B370)*($D$2:D370=D370)*($E$2:E370=E370)*($F$2:F370=F370)*($G$2:G370=G370)*($I$2:I370="Duplicate"))-1),"")&amp;".jpeg")</f>
        <v/>
      </c>
      <c r="L370" s="6"/>
      <c r="M370" s="5" t="str">
        <f>IFERROR(VLOOKUP(E370,Specifications!$A$2:$D$9,2,FALSE),"")</f>
        <v/>
      </c>
      <c r="N370" s="5" t="str">
        <f>IFERROR(VLOOKUP(E370,Specifications!$A$2:$D$9,3,FALSE),"")</f>
        <v/>
      </c>
      <c r="O370" s="5" t="str">
        <f>IFERROR(VLOOKUP(E370,Specifications!$A$2:$D$9,4,FALSE),"")</f>
        <v/>
      </c>
      <c r="P370" s="8" t="str">
        <f t="shared" si="18"/>
        <v/>
      </c>
      <c r="Q370" s="9"/>
    </row>
    <row r="371" spans="1:17" ht="15">
      <c r="A371" s="5" t="str">
        <f t="shared" si="16"/>
        <v/>
      </c>
      <c r="B371" s="6"/>
      <c r="C371" s="5" t="str">
        <f>IFERROR(VLOOKUP(B371,Lists!$A$2:$B$25,2,FALSE),"")</f>
        <v/>
      </c>
      <c r="D371" s="7"/>
      <c r="E371" s="6"/>
      <c r="F371" s="6" t="str">
        <f t="shared" si="17"/>
        <v/>
      </c>
      <c r="G371" s="6"/>
      <c r="H371" s="6"/>
      <c r="I371" s="6"/>
      <c r="J371" s="7"/>
      <c r="K371" s="5" t="str" cm="1">
        <f t="array" ref="K371">IF(OR(A371="",B371="",D371="",E371=""),"",A371&amp;"_"&amp;SUBSTITUTE(B371," ","-")&amp;"_"&amp;D371&amp;"_"&amp;SUBSTITUTE(SUBSTITUTE(E371," ",""),"€","Euro")&amp;"_"&amp;IF(F371="","Unknown",F371)&amp;IF(F371="Commemorative",IF(G371="","","_"&amp;SUBSTITUTE(SUBSTITUTE(SUBSTITUTE(G371," ","-"),"/","-"),CHAR(39),"")),"")&amp;IF(I371="Duplicate","_Dub"&amp;IF(SUMPRODUCT(($B$2:B371=B371)*($D$2:D371=D371)*($E$2:E371=E371)*($F$2:F371=F371)*($G$2:G371=G371)*($I$2:I371="Duplicate"))&lt;=1,"",SUMPRODUCT(($B$2:B371=B371)*($D$2:D371=D371)*($E$2:E371=E371)*($F$2:F371=F371)*($G$2:G371=G371)*($I$2:I371="Duplicate"))-1),"")&amp;".jpeg")</f>
        <v/>
      </c>
      <c r="L371" s="6"/>
      <c r="M371" s="5" t="str">
        <f>IFERROR(VLOOKUP(E371,Specifications!$A$2:$D$9,2,FALSE),"")</f>
        <v/>
      </c>
      <c r="N371" s="5" t="str">
        <f>IFERROR(VLOOKUP(E371,Specifications!$A$2:$D$9,3,FALSE),"")</f>
        <v/>
      </c>
      <c r="O371" s="5" t="str">
        <f>IFERROR(VLOOKUP(E371,Specifications!$A$2:$D$9,4,FALSE),"")</f>
        <v/>
      </c>
      <c r="P371" s="8" t="str">
        <f t="shared" si="18"/>
        <v/>
      </c>
      <c r="Q371" s="9"/>
    </row>
    <row r="372" spans="1:17" ht="15">
      <c r="A372" s="5" t="str">
        <f t="shared" si="16"/>
        <v/>
      </c>
      <c r="B372" s="6"/>
      <c r="C372" s="5" t="str">
        <f>IFERROR(VLOOKUP(B372,Lists!$A$2:$B$25,2,FALSE),"")</f>
        <v/>
      </c>
      <c r="D372" s="7"/>
      <c r="E372" s="6"/>
      <c r="F372" s="6" t="str">
        <f t="shared" si="17"/>
        <v/>
      </c>
      <c r="G372" s="6"/>
      <c r="H372" s="6"/>
      <c r="I372" s="6"/>
      <c r="J372" s="7"/>
      <c r="K372" s="5" t="str" cm="1">
        <f t="array" ref="K372">IF(OR(A372="",B372="",D372="",E372=""),"",A372&amp;"_"&amp;SUBSTITUTE(B372," ","-")&amp;"_"&amp;D372&amp;"_"&amp;SUBSTITUTE(SUBSTITUTE(E372," ",""),"€","Euro")&amp;"_"&amp;IF(F372="","Unknown",F372)&amp;IF(F372="Commemorative",IF(G372="","","_"&amp;SUBSTITUTE(SUBSTITUTE(SUBSTITUTE(G372," ","-"),"/","-"),CHAR(39),"")),"")&amp;IF(I372="Duplicate","_Dub"&amp;IF(SUMPRODUCT(($B$2:B372=B372)*($D$2:D372=D372)*($E$2:E372=E372)*($F$2:F372=F372)*($G$2:G372=G372)*($I$2:I372="Duplicate"))&lt;=1,"",SUMPRODUCT(($B$2:B372=B372)*($D$2:D372=D372)*($E$2:E372=E372)*($F$2:F372=F372)*($G$2:G372=G372)*($I$2:I372="Duplicate"))-1),"")&amp;".jpeg")</f>
        <v/>
      </c>
      <c r="L372" s="6"/>
      <c r="M372" s="5" t="str">
        <f>IFERROR(VLOOKUP(E372,Specifications!$A$2:$D$9,2,FALSE),"")</f>
        <v/>
      </c>
      <c r="N372" s="5" t="str">
        <f>IFERROR(VLOOKUP(E372,Specifications!$A$2:$D$9,3,FALSE),"")</f>
        <v/>
      </c>
      <c r="O372" s="5" t="str">
        <f>IFERROR(VLOOKUP(E372,Specifications!$A$2:$D$9,4,FALSE),"")</f>
        <v/>
      </c>
      <c r="P372" s="8" t="str">
        <f t="shared" si="18"/>
        <v/>
      </c>
      <c r="Q372" s="9"/>
    </row>
    <row r="373" spans="1:17" ht="15">
      <c r="A373" s="5" t="str">
        <f t="shared" si="16"/>
        <v/>
      </c>
      <c r="B373" s="6"/>
      <c r="C373" s="5" t="str">
        <f>IFERROR(VLOOKUP(B373,Lists!$A$2:$B$25,2,FALSE),"")</f>
        <v/>
      </c>
      <c r="D373" s="7"/>
      <c r="E373" s="6"/>
      <c r="F373" s="6" t="str">
        <f t="shared" si="17"/>
        <v/>
      </c>
      <c r="G373" s="6"/>
      <c r="H373" s="6"/>
      <c r="I373" s="6"/>
      <c r="J373" s="7"/>
      <c r="K373" s="5" t="str" cm="1">
        <f t="array" ref="K373">IF(OR(A373="",B373="",D373="",E373=""),"",A373&amp;"_"&amp;SUBSTITUTE(B373," ","-")&amp;"_"&amp;D373&amp;"_"&amp;SUBSTITUTE(SUBSTITUTE(E373," ",""),"€","Euro")&amp;"_"&amp;IF(F373="","Unknown",F373)&amp;IF(F373="Commemorative",IF(G373="","","_"&amp;SUBSTITUTE(SUBSTITUTE(SUBSTITUTE(G373," ","-"),"/","-"),CHAR(39),"")),"")&amp;IF(I373="Duplicate","_Dub"&amp;IF(SUMPRODUCT(($B$2:B373=B373)*($D$2:D373=D373)*($E$2:E373=E373)*($F$2:F373=F373)*($G$2:G373=G373)*($I$2:I373="Duplicate"))&lt;=1,"",SUMPRODUCT(($B$2:B373=B373)*($D$2:D373=D373)*($E$2:E373=E373)*($F$2:F373=F373)*($G$2:G373=G373)*($I$2:I373="Duplicate"))-1),"")&amp;".jpeg")</f>
        <v/>
      </c>
      <c r="L373" s="6"/>
      <c r="M373" s="5" t="str">
        <f>IFERROR(VLOOKUP(E373,Specifications!$A$2:$D$9,2,FALSE),"")</f>
        <v/>
      </c>
      <c r="N373" s="5" t="str">
        <f>IFERROR(VLOOKUP(E373,Specifications!$A$2:$D$9,3,FALSE),"")</f>
        <v/>
      </c>
      <c r="O373" s="5" t="str">
        <f>IFERROR(VLOOKUP(E373,Specifications!$A$2:$D$9,4,FALSE),"")</f>
        <v/>
      </c>
      <c r="P373" s="8" t="str">
        <f t="shared" si="18"/>
        <v/>
      </c>
      <c r="Q373" s="9"/>
    </row>
    <row r="374" spans="1:17" ht="15">
      <c r="A374" s="5" t="str">
        <f t="shared" si="16"/>
        <v/>
      </c>
      <c r="B374" s="6"/>
      <c r="C374" s="5" t="str">
        <f>IFERROR(VLOOKUP(B374,Lists!$A$2:$B$25,2,FALSE),"")</f>
        <v/>
      </c>
      <c r="D374" s="7"/>
      <c r="E374" s="6"/>
      <c r="F374" s="6" t="str">
        <f t="shared" si="17"/>
        <v/>
      </c>
      <c r="G374" s="6"/>
      <c r="H374" s="6"/>
      <c r="I374" s="6"/>
      <c r="J374" s="7"/>
      <c r="K374" s="5" t="str" cm="1">
        <f t="array" ref="K374">IF(OR(A374="",B374="",D374="",E374=""),"",A374&amp;"_"&amp;SUBSTITUTE(B374," ","-")&amp;"_"&amp;D374&amp;"_"&amp;SUBSTITUTE(SUBSTITUTE(E374," ",""),"€","Euro")&amp;"_"&amp;IF(F374="","Unknown",F374)&amp;IF(F374="Commemorative",IF(G374="","","_"&amp;SUBSTITUTE(SUBSTITUTE(SUBSTITUTE(G374," ","-"),"/","-"),CHAR(39),"")),"")&amp;IF(I374="Duplicate","_Dub"&amp;IF(SUMPRODUCT(($B$2:B374=B374)*($D$2:D374=D374)*($E$2:E374=E374)*($F$2:F374=F374)*($G$2:G374=G374)*($I$2:I374="Duplicate"))&lt;=1,"",SUMPRODUCT(($B$2:B374=B374)*($D$2:D374=D374)*($E$2:E374=E374)*($F$2:F374=F374)*($G$2:G374=G374)*($I$2:I374="Duplicate"))-1),"")&amp;".jpeg")</f>
        <v/>
      </c>
      <c r="L374" s="6"/>
      <c r="M374" s="5" t="str">
        <f>IFERROR(VLOOKUP(E374,Specifications!$A$2:$D$9,2,FALSE),"")</f>
        <v/>
      </c>
      <c r="N374" s="5" t="str">
        <f>IFERROR(VLOOKUP(E374,Specifications!$A$2:$D$9,3,FALSE),"")</f>
        <v/>
      </c>
      <c r="O374" s="5" t="str">
        <f>IFERROR(VLOOKUP(E374,Specifications!$A$2:$D$9,4,FALSE),"")</f>
        <v/>
      </c>
      <c r="P374" s="8" t="str">
        <f t="shared" si="18"/>
        <v/>
      </c>
      <c r="Q374" s="9"/>
    </row>
    <row r="375" spans="1:17" ht="15">
      <c r="A375" s="5" t="str">
        <f t="shared" si="16"/>
        <v/>
      </c>
      <c r="B375" s="6"/>
      <c r="C375" s="5" t="str">
        <f>IFERROR(VLOOKUP(B375,Lists!$A$2:$B$25,2,FALSE),"")</f>
        <v/>
      </c>
      <c r="D375" s="7"/>
      <c r="E375" s="6"/>
      <c r="F375" s="6" t="str">
        <f t="shared" si="17"/>
        <v/>
      </c>
      <c r="G375" s="6"/>
      <c r="H375" s="6"/>
      <c r="I375" s="6"/>
      <c r="J375" s="7"/>
      <c r="K375" s="5" t="str" cm="1">
        <f t="array" ref="K375">IF(OR(A375="",B375="",D375="",E375=""),"",A375&amp;"_"&amp;SUBSTITUTE(B375," ","-")&amp;"_"&amp;D375&amp;"_"&amp;SUBSTITUTE(SUBSTITUTE(E375," ",""),"€","Euro")&amp;"_"&amp;IF(F375="","Unknown",F375)&amp;IF(F375="Commemorative",IF(G375="","","_"&amp;SUBSTITUTE(SUBSTITUTE(SUBSTITUTE(G375," ","-"),"/","-"),CHAR(39),"")),"")&amp;IF(I375="Duplicate","_Dub"&amp;IF(SUMPRODUCT(($B$2:B375=B375)*($D$2:D375=D375)*($E$2:E375=E375)*($F$2:F375=F375)*($G$2:G375=G375)*($I$2:I375="Duplicate"))&lt;=1,"",SUMPRODUCT(($B$2:B375=B375)*($D$2:D375=D375)*($E$2:E375=E375)*($F$2:F375=F375)*($G$2:G375=G375)*($I$2:I375="Duplicate"))-1),"")&amp;".jpeg")</f>
        <v/>
      </c>
      <c r="L375" s="6"/>
      <c r="M375" s="5" t="str">
        <f>IFERROR(VLOOKUP(E375,Specifications!$A$2:$D$9,2,FALSE),"")</f>
        <v/>
      </c>
      <c r="N375" s="5" t="str">
        <f>IFERROR(VLOOKUP(E375,Specifications!$A$2:$D$9,3,FALSE),"")</f>
        <v/>
      </c>
      <c r="O375" s="5" t="str">
        <f>IFERROR(VLOOKUP(E375,Specifications!$A$2:$D$9,4,FALSE),"")</f>
        <v/>
      </c>
      <c r="P375" s="8" t="str">
        <f t="shared" si="18"/>
        <v/>
      </c>
      <c r="Q375" s="9"/>
    </row>
    <row r="376" spans="1:17" ht="15">
      <c r="A376" s="5" t="str">
        <f t="shared" si="16"/>
        <v/>
      </c>
      <c r="B376" s="6"/>
      <c r="C376" s="5" t="str">
        <f>IFERROR(VLOOKUP(B376,Lists!$A$2:$B$25,2,FALSE),"")</f>
        <v/>
      </c>
      <c r="D376" s="7"/>
      <c r="E376" s="6"/>
      <c r="F376" s="6" t="str">
        <f t="shared" si="17"/>
        <v/>
      </c>
      <c r="G376" s="6"/>
      <c r="H376" s="6"/>
      <c r="I376" s="6"/>
      <c r="J376" s="7"/>
      <c r="K376" s="5" t="str" cm="1">
        <f t="array" ref="K376">IF(OR(A376="",B376="",D376="",E376=""),"",A376&amp;"_"&amp;SUBSTITUTE(B376," ","-")&amp;"_"&amp;D376&amp;"_"&amp;SUBSTITUTE(SUBSTITUTE(E376," ",""),"€","Euro")&amp;"_"&amp;IF(F376="","Unknown",F376)&amp;IF(F376="Commemorative",IF(G376="","","_"&amp;SUBSTITUTE(SUBSTITUTE(SUBSTITUTE(G376," ","-"),"/","-"),CHAR(39),"")),"")&amp;IF(I376="Duplicate","_Dub"&amp;IF(SUMPRODUCT(($B$2:B376=B376)*($D$2:D376=D376)*($E$2:E376=E376)*($F$2:F376=F376)*($G$2:G376=G376)*($I$2:I376="Duplicate"))&lt;=1,"",SUMPRODUCT(($B$2:B376=B376)*($D$2:D376=D376)*($E$2:E376=E376)*($F$2:F376=F376)*($G$2:G376=G376)*($I$2:I376="Duplicate"))-1),"")&amp;".jpeg")</f>
        <v/>
      </c>
      <c r="L376" s="6"/>
      <c r="M376" s="5" t="str">
        <f>IFERROR(VLOOKUP(E376,Specifications!$A$2:$D$9,2,FALSE),"")</f>
        <v/>
      </c>
      <c r="N376" s="5" t="str">
        <f>IFERROR(VLOOKUP(E376,Specifications!$A$2:$D$9,3,FALSE),"")</f>
        <v/>
      </c>
      <c r="O376" s="5" t="str">
        <f>IFERROR(VLOOKUP(E376,Specifications!$A$2:$D$9,4,FALSE),"")</f>
        <v/>
      </c>
      <c r="P376" s="8" t="str">
        <f t="shared" si="18"/>
        <v/>
      </c>
      <c r="Q376" s="9"/>
    </row>
    <row r="377" spans="1:17" ht="15">
      <c r="A377" s="5" t="str">
        <f t="shared" si="16"/>
        <v/>
      </c>
      <c r="B377" s="6"/>
      <c r="C377" s="5" t="str">
        <f>IFERROR(VLOOKUP(B377,Lists!$A$2:$B$25,2,FALSE),"")</f>
        <v/>
      </c>
      <c r="D377" s="7"/>
      <c r="E377" s="6"/>
      <c r="F377" s="6" t="str">
        <f t="shared" si="17"/>
        <v/>
      </c>
      <c r="G377" s="6"/>
      <c r="H377" s="6"/>
      <c r="I377" s="6"/>
      <c r="J377" s="7"/>
      <c r="K377" s="5" t="str" cm="1">
        <f t="array" ref="K377">IF(OR(A377="",B377="",D377="",E377=""),"",A377&amp;"_"&amp;SUBSTITUTE(B377," ","-")&amp;"_"&amp;D377&amp;"_"&amp;SUBSTITUTE(SUBSTITUTE(E377," ",""),"€","Euro")&amp;"_"&amp;IF(F377="","Unknown",F377)&amp;IF(F377="Commemorative",IF(G377="","","_"&amp;SUBSTITUTE(SUBSTITUTE(SUBSTITUTE(G377," ","-"),"/","-"),CHAR(39),"")),"")&amp;IF(I377="Duplicate","_Dub"&amp;IF(SUMPRODUCT(($B$2:B377=B377)*($D$2:D377=D377)*($E$2:E377=E377)*($F$2:F377=F377)*($G$2:G377=G377)*($I$2:I377="Duplicate"))&lt;=1,"",SUMPRODUCT(($B$2:B377=B377)*($D$2:D377=D377)*($E$2:E377=E377)*($F$2:F377=F377)*($G$2:G377=G377)*($I$2:I377="Duplicate"))-1),"")&amp;".jpeg")</f>
        <v/>
      </c>
      <c r="L377" s="6"/>
      <c r="M377" s="5" t="str">
        <f>IFERROR(VLOOKUP(E377,Specifications!$A$2:$D$9,2,FALSE),"")</f>
        <v/>
      </c>
      <c r="N377" s="5" t="str">
        <f>IFERROR(VLOOKUP(E377,Specifications!$A$2:$D$9,3,FALSE),"")</f>
        <v/>
      </c>
      <c r="O377" s="5" t="str">
        <f>IFERROR(VLOOKUP(E377,Specifications!$A$2:$D$9,4,FALSE),"")</f>
        <v/>
      </c>
      <c r="P377" s="8" t="str">
        <f t="shared" si="18"/>
        <v/>
      </c>
      <c r="Q377" s="9"/>
    </row>
    <row r="378" spans="1:17" ht="15">
      <c r="A378" s="5" t="str">
        <f t="shared" si="16"/>
        <v/>
      </c>
      <c r="B378" s="6"/>
      <c r="C378" s="5" t="str">
        <f>IFERROR(VLOOKUP(B378,Lists!$A$2:$B$25,2,FALSE),"")</f>
        <v/>
      </c>
      <c r="D378" s="7"/>
      <c r="E378" s="6"/>
      <c r="F378" s="6" t="str">
        <f t="shared" si="17"/>
        <v/>
      </c>
      <c r="G378" s="6"/>
      <c r="H378" s="6"/>
      <c r="I378" s="6"/>
      <c r="J378" s="7"/>
      <c r="K378" s="5" t="str" cm="1">
        <f t="array" ref="K378">IF(OR(A378="",B378="",D378="",E378=""),"",A378&amp;"_"&amp;SUBSTITUTE(B378," ","-")&amp;"_"&amp;D378&amp;"_"&amp;SUBSTITUTE(SUBSTITUTE(E378," ",""),"€","Euro")&amp;"_"&amp;IF(F378="","Unknown",F378)&amp;IF(F378="Commemorative",IF(G378="","","_"&amp;SUBSTITUTE(SUBSTITUTE(SUBSTITUTE(G378," ","-"),"/","-"),CHAR(39),"")),"")&amp;IF(I378="Duplicate","_Dub"&amp;IF(SUMPRODUCT(($B$2:B378=B378)*($D$2:D378=D378)*($E$2:E378=E378)*($F$2:F378=F378)*($G$2:G378=G378)*($I$2:I378="Duplicate"))&lt;=1,"",SUMPRODUCT(($B$2:B378=B378)*($D$2:D378=D378)*($E$2:E378=E378)*($F$2:F378=F378)*($G$2:G378=G378)*($I$2:I378="Duplicate"))-1),"")&amp;".jpeg")</f>
        <v/>
      </c>
      <c r="L378" s="6"/>
      <c r="M378" s="5" t="str">
        <f>IFERROR(VLOOKUP(E378,Specifications!$A$2:$D$9,2,FALSE),"")</f>
        <v/>
      </c>
      <c r="N378" s="5" t="str">
        <f>IFERROR(VLOOKUP(E378,Specifications!$A$2:$D$9,3,FALSE),"")</f>
        <v/>
      </c>
      <c r="O378" s="5" t="str">
        <f>IFERROR(VLOOKUP(E378,Specifications!$A$2:$D$9,4,FALSE),"")</f>
        <v/>
      </c>
      <c r="P378" s="8" t="str">
        <f t="shared" si="18"/>
        <v/>
      </c>
      <c r="Q378" s="9"/>
    </row>
    <row r="379" spans="1:17" ht="15">
      <c r="A379" s="5" t="str">
        <f t="shared" si="16"/>
        <v/>
      </c>
      <c r="B379" s="6"/>
      <c r="C379" s="5" t="str">
        <f>IFERROR(VLOOKUP(B379,Lists!$A$2:$B$25,2,FALSE),"")</f>
        <v/>
      </c>
      <c r="D379" s="7"/>
      <c r="E379" s="6"/>
      <c r="F379" s="6" t="str">
        <f t="shared" si="17"/>
        <v/>
      </c>
      <c r="G379" s="6"/>
      <c r="H379" s="6"/>
      <c r="I379" s="6"/>
      <c r="J379" s="7"/>
      <c r="K379" s="5" t="str" cm="1">
        <f t="array" ref="K379">IF(OR(A379="",B379="",D379="",E379=""),"",A379&amp;"_"&amp;SUBSTITUTE(B379," ","-")&amp;"_"&amp;D379&amp;"_"&amp;SUBSTITUTE(SUBSTITUTE(E379," ",""),"€","Euro")&amp;"_"&amp;IF(F379="","Unknown",F379)&amp;IF(F379="Commemorative",IF(G379="","","_"&amp;SUBSTITUTE(SUBSTITUTE(SUBSTITUTE(G379," ","-"),"/","-"),CHAR(39),"")),"")&amp;IF(I379="Duplicate","_Dub"&amp;IF(SUMPRODUCT(($B$2:B379=B379)*($D$2:D379=D379)*($E$2:E379=E379)*($F$2:F379=F379)*($G$2:G379=G379)*($I$2:I379="Duplicate"))&lt;=1,"",SUMPRODUCT(($B$2:B379=B379)*($D$2:D379=D379)*($E$2:E379=E379)*($F$2:F379=F379)*($G$2:G379=G379)*($I$2:I379="Duplicate"))-1),"")&amp;".jpeg")</f>
        <v/>
      </c>
      <c r="L379" s="6"/>
      <c r="M379" s="5" t="str">
        <f>IFERROR(VLOOKUP(E379,Specifications!$A$2:$D$9,2,FALSE),"")</f>
        <v/>
      </c>
      <c r="N379" s="5" t="str">
        <f>IFERROR(VLOOKUP(E379,Specifications!$A$2:$D$9,3,FALSE),"")</f>
        <v/>
      </c>
      <c r="O379" s="5" t="str">
        <f>IFERROR(VLOOKUP(E379,Specifications!$A$2:$D$9,4,FALSE),"")</f>
        <v/>
      </c>
      <c r="P379" s="8" t="str">
        <f t="shared" si="18"/>
        <v/>
      </c>
      <c r="Q379" s="9"/>
    </row>
    <row r="380" spans="1:17" ht="15">
      <c r="A380" s="5" t="str">
        <f t="shared" si="16"/>
        <v/>
      </c>
      <c r="B380" s="6"/>
      <c r="C380" s="5" t="str">
        <f>IFERROR(VLOOKUP(B380,Lists!$A$2:$B$25,2,FALSE),"")</f>
        <v/>
      </c>
      <c r="D380" s="7"/>
      <c r="E380" s="6"/>
      <c r="F380" s="6" t="str">
        <f t="shared" si="17"/>
        <v/>
      </c>
      <c r="G380" s="6"/>
      <c r="H380" s="6"/>
      <c r="I380" s="6"/>
      <c r="J380" s="7"/>
      <c r="K380" s="5" t="str" cm="1">
        <f t="array" ref="K380">IF(OR(A380="",B380="",D380="",E380=""),"",A380&amp;"_"&amp;SUBSTITUTE(B380," ","-")&amp;"_"&amp;D380&amp;"_"&amp;SUBSTITUTE(SUBSTITUTE(E380," ",""),"€","Euro")&amp;"_"&amp;IF(F380="","Unknown",F380)&amp;IF(F380="Commemorative",IF(G380="","","_"&amp;SUBSTITUTE(SUBSTITUTE(SUBSTITUTE(G380," ","-"),"/","-"),CHAR(39),"")),"")&amp;IF(I380="Duplicate","_Dub"&amp;IF(SUMPRODUCT(($B$2:B380=B380)*($D$2:D380=D380)*($E$2:E380=E380)*($F$2:F380=F380)*($G$2:G380=G380)*($I$2:I380="Duplicate"))&lt;=1,"",SUMPRODUCT(($B$2:B380=B380)*($D$2:D380=D380)*($E$2:E380=E380)*($F$2:F380=F380)*($G$2:G380=G380)*($I$2:I380="Duplicate"))-1),"")&amp;".jpeg")</f>
        <v/>
      </c>
      <c r="L380" s="6"/>
      <c r="M380" s="5" t="str">
        <f>IFERROR(VLOOKUP(E380,Specifications!$A$2:$D$9,2,FALSE),"")</f>
        <v/>
      </c>
      <c r="N380" s="5" t="str">
        <f>IFERROR(VLOOKUP(E380,Specifications!$A$2:$D$9,3,FALSE),"")</f>
        <v/>
      </c>
      <c r="O380" s="5" t="str">
        <f>IFERROR(VLOOKUP(E380,Specifications!$A$2:$D$9,4,FALSE),"")</f>
        <v/>
      </c>
      <c r="P380" s="8" t="str">
        <f t="shared" si="18"/>
        <v/>
      </c>
      <c r="Q380" s="9"/>
    </row>
    <row r="381" spans="1:17" ht="15">
      <c r="A381" s="5" t="str">
        <f t="shared" si="16"/>
        <v/>
      </c>
      <c r="B381" s="6"/>
      <c r="C381" s="5" t="str">
        <f>IFERROR(VLOOKUP(B381,Lists!$A$2:$B$25,2,FALSE),"")</f>
        <v/>
      </c>
      <c r="D381" s="7"/>
      <c r="E381" s="6"/>
      <c r="F381" s="6" t="str">
        <f t="shared" si="17"/>
        <v/>
      </c>
      <c r="G381" s="6"/>
      <c r="H381" s="6"/>
      <c r="I381" s="6"/>
      <c r="J381" s="7"/>
      <c r="K381" s="5" t="str" cm="1">
        <f t="array" ref="K381">IF(OR(A381="",B381="",D381="",E381=""),"",A381&amp;"_"&amp;SUBSTITUTE(B381," ","-")&amp;"_"&amp;D381&amp;"_"&amp;SUBSTITUTE(SUBSTITUTE(E381," ",""),"€","Euro")&amp;"_"&amp;IF(F381="","Unknown",F381)&amp;IF(F381="Commemorative",IF(G381="","","_"&amp;SUBSTITUTE(SUBSTITUTE(SUBSTITUTE(G381," ","-"),"/","-"),CHAR(39),"")),"")&amp;IF(I381="Duplicate","_Dub"&amp;IF(SUMPRODUCT(($B$2:B381=B381)*($D$2:D381=D381)*($E$2:E381=E381)*($F$2:F381=F381)*($G$2:G381=G381)*($I$2:I381="Duplicate"))&lt;=1,"",SUMPRODUCT(($B$2:B381=B381)*($D$2:D381=D381)*($E$2:E381=E381)*($F$2:F381=F381)*($G$2:G381=G381)*($I$2:I381="Duplicate"))-1),"")&amp;".jpeg")</f>
        <v/>
      </c>
      <c r="L381" s="6"/>
      <c r="M381" s="5" t="str">
        <f>IFERROR(VLOOKUP(E381,Specifications!$A$2:$D$9,2,FALSE),"")</f>
        <v/>
      </c>
      <c r="N381" s="5" t="str">
        <f>IFERROR(VLOOKUP(E381,Specifications!$A$2:$D$9,3,FALSE),"")</f>
        <v/>
      </c>
      <c r="O381" s="5" t="str">
        <f>IFERROR(VLOOKUP(E381,Specifications!$A$2:$D$9,4,FALSE),"")</f>
        <v/>
      </c>
      <c r="P381" s="8" t="str">
        <f t="shared" si="18"/>
        <v/>
      </c>
      <c r="Q381" s="9"/>
    </row>
    <row r="382" spans="1:17" ht="15">
      <c r="A382" s="5" t="str">
        <f t="shared" si="16"/>
        <v/>
      </c>
      <c r="B382" s="6"/>
      <c r="C382" s="5" t="str">
        <f>IFERROR(VLOOKUP(B382,Lists!$A$2:$B$25,2,FALSE),"")</f>
        <v/>
      </c>
      <c r="D382" s="7"/>
      <c r="E382" s="6"/>
      <c r="F382" s="6" t="str">
        <f t="shared" si="17"/>
        <v/>
      </c>
      <c r="G382" s="6"/>
      <c r="H382" s="6"/>
      <c r="I382" s="6"/>
      <c r="J382" s="7"/>
      <c r="K382" s="5" t="str" cm="1">
        <f t="array" ref="K382">IF(OR(A382="",B382="",D382="",E382=""),"",A382&amp;"_"&amp;SUBSTITUTE(B382," ","-")&amp;"_"&amp;D382&amp;"_"&amp;SUBSTITUTE(SUBSTITUTE(E382," ",""),"€","Euro")&amp;"_"&amp;IF(F382="","Unknown",F382)&amp;IF(F382="Commemorative",IF(G382="","","_"&amp;SUBSTITUTE(SUBSTITUTE(SUBSTITUTE(G382," ","-"),"/","-"),CHAR(39),"")),"")&amp;IF(I382="Duplicate","_Dub"&amp;IF(SUMPRODUCT(($B$2:B382=B382)*($D$2:D382=D382)*($E$2:E382=E382)*($F$2:F382=F382)*($G$2:G382=G382)*($I$2:I382="Duplicate"))&lt;=1,"",SUMPRODUCT(($B$2:B382=B382)*($D$2:D382=D382)*($E$2:E382=E382)*($F$2:F382=F382)*($G$2:G382=G382)*($I$2:I382="Duplicate"))-1),"")&amp;".jpeg")</f>
        <v/>
      </c>
      <c r="L382" s="6"/>
      <c r="M382" s="5" t="str">
        <f>IFERROR(VLOOKUP(E382,Specifications!$A$2:$D$9,2,FALSE),"")</f>
        <v/>
      </c>
      <c r="N382" s="5" t="str">
        <f>IFERROR(VLOOKUP(E382,Specifications!$A$2:$D$9,3,FALSE),"")</f>
        <v/>
      </c>
      <c r="O382" s="5" t="str">
        <f>IFERROR(VLOOKUP(E382,Specifications!$A$2:$D$9,4,FALSE),"")</f>
        <v/>
      </c>
      <c r="P382" s="8" t="str">
        <f t="shared" si="18"/>
        <v/>
      </c>
      <c r="Q382" s="9"/>
    </row>
    <row r="383" spans="1:17" ht="15">
      <c r="A383" s="5" t="str">
        <f t="shared" si="16"/>
        <v/>
      </c>
      <c r="B383" s="6"/>
      <c r="C383" s="5" t="str">
        <f>IFERROR(VLOOKUP(B383,Lists!$A$2:$B$25,2,FALSE),"")</f>
        <v/>
      </c>
      <c r="D383" s="7"/>
      <c r="E383" s="6"/>
      <c r="F383" s="6" t="str">
        <f t="shared" si="17"/>
        <v/>
      </c>
      <c r="G383" s="6"/>
      <c r="H383" s="6"/>
      <c r="I383" s="6"/>
      <c r="J383" s="7"/>
      <c r="K383" s="5" t="str" cm="1">
        <f t="array" ref="K383">IF(OR(A383="",B383="",D383="",E383=""),"",A383&amp;"_"&amp;SUBSTITUTE(B383," ","-")&amp;"_"&amp;D383&amp;"_"&amp;SUBSTITUTE(SUBSTITUTE(E383," ",""),"€","Euro")&amp;"_"&amp;IF(F383="","Unknown",F383)&amp;IF(F383="Commemorative",IF(G383="","","_"&amp;SUBSTITUTE(SUBSTITUTE(SUBSTITUTE(G383," ","-"),"/","-"),CHAR(39),"")),"")&amp;IF(I383="Duplicate","_Dub"&amp;IF(SUMPRODUCT(($B$2:B383=B383)*($D$2:D383=D383)*($E$2:E383=E383)*($F$2:F383=F383)*($G$2:G383=G383)*($I$2:I383="Duplicate"))&lt;=1,"",SUMPRODUCT(($B$2:B383=B383)*($D$2:D383=D383)*($E$2:E383=E383)*($F$2:F383=F383)*($G$2:G383=G383)*($I$2:I383="Duplicate"))-1),"")&amp;".jpeg")</f>
        <v/>
      </c>
      <c r="L383" s="6"/>
      <c r="M383" s="5" t="str">
        <f>IFERROR(VLOOKUP(E383,Specifications!$A$2:$D$9,2,FALSE),"")</f>
        <v/>
      </c>
      <c r="N383" s="5" t="str">
        <f>IFERROR(VLOOKUP(E383,Specifications!$A$2:$D$9,3,FALSE),"")</f>
        <v/>
      </c>
      <c r="O383" s="5" t="str">
        <f>IFERROR(VLOOKUP(E383,Specifications!$A$2:$D$9,4,FALSE),"")</f>
        <v/>
      </c>
      <c r="P383" s="8" t="str">
        <f t="shared" si="18"/>
        <v/>
      </c>
      <c r="Q383" s="9"/>
    </row>
    <row r="384" spans="1:17" ht="15">
      <c r="A384" s="5" t="str">
        <f t="shared" si="16"/>
        <v/>
      </c>
      <c r="B384" s="6"/>
      <c r="C384" s="5" t="str">
        <f>IFERROR(VLOOKUP(B384,Lists!$A$2:$B$25,2,FALSE),"")</f>
        <v/>
      </c>
      <c r="D384" s="7"/>
      <c r="E384" s="6"/>
      <c r="F384" s="6" t="str">
        <f t="shared" si="17"/>
        <v/>
      </c>
      <c r="G384" s="6"/>
      <c r="H384" s="6"/>
      <c r="I384" s="6"/>
      <c r="J384" s="7"/>
      <c r="K384" s="5" t="str" cm="1">
        <f t="array" ref="K384">IF(OR(A384="",B384="",D384="",E384=""),"",A384&amp;"_"&amp;SUBSTITUTE(B384," ","-")&amp;"_"&amp;D384&amp;"_"&amp;SUBSTITUTE(SUBSTITUTE(E384," ",""),"€","Euro")&amp;"_"&amp;IF(F384="","Unknown",F384)&amp;IF(F384="Commemorative",IF(G384="","","_"&amp;SUBSTITUTE(SUBSTITUTE(SUBSTITUTE(G384," ","-"),"/","-"),CHAR(39),"")),"")&amp;IF(I384="Duplicate","_Dub"&amp;IF(SUMPRODUCT(($B$2:B384=B384)*($D$2:D384=D384)*($E$2:E384=E384)*($F$2:F384=F384)*($G$2:G384=G384)*($I$2:I384="Duplicate"))&lt;=1,"",SUMPRODUCT(($B$2:B384=B384)*($D$2:D384=D384)*($E$2:E384=E384)*($F$2:F384=F384)*($G$2:G384=G384)*($I$2:I384="Duplicate"))-1),"")&amp;".jpeg")</f>
        <v/>
      </c>
      <c r="L384" s="6"/>
      <c r="M384" s="5" t="str">
        <f>IFERROR(VLOOKUP(E384,Specifications!$A$2:$D$9,2,FALSE),"")</f>
        <v/>
      </c>
      <c r="N384" s="5" t="str">
        <f>IFERROR(VLOOKUP(E384,Specifications!$A$2:$D$9,3,FALSE),"")</f>
        <v/>
      </c>
      <c r="O384" s="5" t="str">
        <f>IFERROR(VLOOKUP(E384,Specifications!$A$2:$D$9,4,FALSE),"")</f>
        <v/>
      </c>
      <c r="P384" s="8" t="str">
        <f t="shared" si="18"/>
        <v/>
      </c>
      <c r="Q384" s="9"/>
    </row>
    <row r="385" spans="1:17" ht="15">
      <c r="A385" s="5" t="str">
        <f t="shared" si="16"/>
        <v/>
      </c>
      <c r="B385" s="6"/>
      <c r="C385" s="5" t="str">
        <f>IFERROR(VLOOKUP(B385,Lists!$A$2:$B$25,2,FALSE),"")</f>
        <v/>
      </c>
      <c r="D385" s="7"/>
      <c r="E385" s="6"/>
      <c r="F385" s="6" t="str">
        <f t="shared" si="17"/>
        <v/>
      </c>
      <c r="G385" s="6"/>
      <c r="H385" s="6"/>
      <c r="I385" s="6"/>
      <c r="J385" s="7"/>
      <c r="K385" s="5" t="str" cm="1">
        <f t="array" ref="K385">IF(OR(A385="",B385="",D385="",E385=""),"",A385&amp;"_"&amp;SUBSTITUTE(B385," ","-")&amp;"_"&amp;D385&amp;"_"&amp;SUBSTITUTE(SUBSTITUTE(E385," ",""),"€","Euro")&amp;"_"&amp;IF(F385="","Unknown",F385)&amp;IF(F385="Commemorative",IF(G385="","","_"&amp;SUBSTITUTE(SUBSTITUTE(SUBSTITUTE(G385," ","-"),"/","-"),CHAR(39),"")),"")&amp;IF(I385="Duplicate","_Dub"&amp;IF(SUMPRODUCT(($B$2:B385=B385)*($D$2:D385=D385)*($E$2:E385=E385)*($F$2:F385=F385)*($G$2:G385=G385)*($I$2:I385="Duplicate"))&lt;=1,"",SUMPRODUCT(($B$2:B385=B385)*($D$2:D385=D385)*($E$2:E385=E385)*($F$2:F385=F385)*($G$2:G385=G385)*($I$2:I385="Duplicate"))-1),"")&amp;".jpeg")</f>
        <v/>
      </c>
      <c r="L385" s="6"/>
      <c r="M385" s="5" t="str">
        <f>IFERROR(VLOOKUP(E385,Specifications!$A$2:$D$9,2,FALSE),"")</f>
        <v/>
      </c>
      <c r="N385" s="5" t="str">
        <f>IFERROR(VLOOKUP(E385,Specifications!$A$2:$D$9,3,FALSE),"")</f>
        <v/>
      </c>
      <c r="O385" s="5" t="str">
        <f>IFERROR(VLOOKUP(E385,Specifications!$A$2:$D$9,4,FALSE),"")</f>
        <v/>
      </c>
      <c r="P385" s="8" t="str">
        <f t="shared" si="18"/>
        <v/>
      </c>
      <c r="Q385" s="9"/>
    </row>
    <row r="386" spans="1:17" ht="15">
      <c r="A386" s="5" t="str">
        <f t="shared" ref="A386:A449" si="19">IF(B386="","",TEXT(ROW()-1,"000"))</f>
        <v/>
      </c>
      <c r="B386" s="6"/>
      <c r="C386" s="5" t="str">
        <f>IFERROR(VLOOKUP(B386,Lists!$A$2:$B$25,2,FALSE),"")</f>
        <v/>
      </c>
      <c r="D386" s="7"/>
      <c r="E386" s="6"/>
      <c r="F386" s="6" t="str">
        <f t="shared" ref="F386:F449" si="20">IF(E386="","",IF(E386="2 €","", "Regular"))</f>
        <v/>
      </c>
      <c r="G386" s="6"/>
      <c r="H386" s="6"/>
      <c r="I386" s="6"/>
      <c r="J386" s="7"/>
      <c r="K386" s="5" t="str" cm="1">
        <f t="array" ref="K386">IF(OR(A386="",B386="",D386="",E386=""),"",A386&amp;"_"&amp;SUBSTITUTE(B386," ","-")&amp;"_"&amp;D386&amp;"_"&amp;SUBSTITUTE(SUBSTITUTE(E386," ",""),"€","Euro")&amp;"_"&amp;IF(F386="","Unknown",F386)&amp;IF(F386="Commemorative",IF(G386="","","_"&amp;SUBSTITUTE(SUBSTITUTE(SUBSTITUTE(G386," ","-"),"/","-"),CHAR(39),"")),"")&amp;IF(I386="Duplicate","_Dub"&amp;IF(SUMPRODUCT(($B$2:B386=B386)*($D$2:D386=D386)*($E$2:E386=E386)*($F$2:F386=F386)*($G$2:G386=G386)*($I$2:I386="Duplicate"))&lt;=1,"",SUMPRODUCT(($B$2:B386=B386)*($D$2:D386=D386)*($E$2:E386=E386)*($F$2:F386=F386)*($G$2:G386=G386)*($I$2:I386="Duplicate"))-1),"")&amp;".jpeg")</f>
        <v/>
      </c>
      <c r="L386" s="6"/>
      <c r="M386" s="5" t="str">
        <f>IFERROR(VLOOKUP(E386,Specifications!$A$2:$D$9,2,FALSE),"")</f>
        <v/>
      </c>
      <c r="N386" s="5" t="str">
        <f>IFERROR(VLOOKUP(E386,Specifications!$A$2:$D$9,3,FALSE),"")</f>
        <v/>
      </c>
      <c r="O386" s="5" t="str">
        <f>IFERROR(VLOOKUP(E386,Specifications!$A$2:$D$9,4,FALSE),"")</f>
        <v/>
      </c>
      <c r="P386" s="8" t="str">
        <f t="shared" ref="P386:P449" si="21">IF(OR(B386="",E386="",F386=""),"",IF(F386="Regular","Regular "&amp;E386&amp;" circulation coin of "&amp;B386&amp;".",IF(F386="Commemorative",IF(G386="","",E386&amp;" commemorative coin of "&amp;B386&amp;" – "&amp;G386&amp;"."),"")))</f>
        <v/>
      </c>
      <c r="Q386" s="9"/>
    </row>
    <row r="387" spans="1:17" ht="15">
      <c r="A387" s="5" t="str">
        <f t="shared" si="19"/>
        <v/>
      </c>
      <c r="B387" s="6"/>
      <c r="C387" s="5" t="str">
        <f>IFERROR(VLOOKUP(B387,Lists!$A$2:$B$25,2,FALSE),"")</f>
        <v/>
      </c>
      <c r="D387" s="7"/>
      <c r="E387" s="6"/>
      <c r="F387" s="6" t="str">
        <f t="shared" si="20"/>
        <v/>
      </c>
      <c r="G387" s="6"/>
      <c r="H387" s="6"/>
      <c r="I387" s="6"/>
      <c r="J387" s="7"/>
      <c r="K387" s="5" t="str" cm="1">
        <f t="array" ref="K387">IF(OR(A387="",B387="",D387="",E387=""),"",A387&amp;"_"&amp;SUBSTITUTE(B387," ","-")&amp;"_"&amp;D387&amp;"_"&amp;SUBSTITUTE(SUBSTITUTE(E387," ",""),"€","Euro")&amp;"_"&amp;IF(F387="","Unknown",F387)&amp;IF(F387="Commemorative",IF(G387="","","_"&amp;SUBSTITUTE(SUBSTITUTE(SUBSTITUTE(G387," ","-"),"/","-"),CHAR(39),"")),"")&amp;IF(I387="Duplicate","_Dub"&amp;IF(SUMPRODUCT(($B$2:B387=B387)*($D$2:D387=D387)*($E$2:E387=E387)*($F$2:F387=F387)*($G$2:G387=G387)*($I$2:I387="Duplicate"))&lt;=1,"",SUMPRODUCT(($B$2:B387=B387)*($D$2:D387=D387)*($E$2:E387=E387)*($F$2:F387=F387)*($G$2:G387=G387)*($I$2:I387="Duplicate"))-1),"")&amp;".jpeg")</f>
        <v/>
      </c>
      <c r="L387" s="6"/>
      <c r="M387" s="5" t="str">
        <f>IFERROR(VLOOKUP(E387,Specifications!$A$2:$D$9,2,FALSE),"")</f>
        <v/>
      </c>
      <c r="N387" s="5" t="str">
        <f>IFERROR(VLOOKUP(E387,Specifications!$A$2:$D$9,3,FALSE),"")</f>
        <v/>
      </c>
      <c r="O387" s="5" t="str">
        <f>IFERROR(VLOOKUP(E387,Specifications!$A$2:$D$9,4,FALSE),"")</f>
        <v/>
      </c>
      <c r="P387" s="8" t="str">
        <f t="shared" si="21"/>
        <v/>
      </c>
      <c r="Q387" s="9"/>
    </row>
    <row r="388" spans="1:17" ht="15">
      <c r="A388" s="5" t="str">
        <f t="shared" si="19"/>
        <v/>
      </c>
      <c r="B388" s="6"/>
      <c r="C388" s="5" t="str">
        <f>IFERROR(VLOOKUP(B388,Lists!$A$2:$B$25,2,FALSE),"")</f>
        <v/>
      </c>
      <c r="D388" s="7"/>
      <c r="E388" s="6"/>
      <c r="F388" s="6" t="str">
        <f t="shared" si="20"/>
        <v/>
      </c>
      <c r="G388" s="6"/>
      <c r="H388" s="6"/>
      <c r="I388" s="6"/>
      <c r="J388" s="7"/>
      <c r="K388" s="5" t="str" cm="1">
        <f t="array" ref="K388">IF(OR(A388="",B388="",D388="",E388=""),"",A388&amp;"_"&amp;SUBSTITUTE(B388," ","-")&amp;"_"&amp;D388&amp;"_"&amp;SUBSTITUTE(SUBSTITUTE(E388," ",""),"€","Euro")&amp;"_"&amp;IF(F388="","Unknown",F388)&amp;IF(F388="Commemorative",IF(G388="","","_"&amp;SUBSTITUTE(SUBSTITUTE(SUBSTITUTE(G388," ","-"),"/","-"),CHAR(39),"")),"")&amp;IF(I388="Duplicate","_Dub"&amp;IF(SUMPRODUCT(($B$2:B388=B388)*($D$2:D388=D388)*($E$2:E388=E388)*($F$2:F388=F388)*($G$2:G388=G388)*($I$2:I388="Duplicate"))&lt;=1,"",SUMPRODUCT(($B$2:B388=B388)*($D$2:D388=D388)*($E$2:E388=E388)*($F$2:F388=F388)*($G$2:G388=G388)*($I$2:I388="Duplicate"))-1),"")&amp;".jpeg")</f>
        <v/>
      </c>
      <c r="L388" s="6"/>
      <c r="M388" s="5" t="str">
        <f>IFERROR(VLOOKUP(E388,Specifications!$A$2:$D$9,2,FALSE),"")</f>
        <v/>
      </c>
      <c r="N388" s="5" t="str">
        <f>IFERROR(VLOOKUP(E388,Specifications!$A$2:$D$9,3,FALSE),"")</f>
        <v/>
      </c>
      <c r="O388" s="5" t="str">
        <f>IFERROR(VLOOKUP(E388,Specifications!$A$2:$D$9,4,FALSE),"")</f>
        <v/>
      </c>
      <c r="P388" s="8" t="str">
        <f t="shared" si="21"/>
        <v/>
      </c>
      <c r="Q388" s="9"/>
    </row>
    <row r="389" spans="1:17" ht="15">
      <c r="A389" s="5" t="str">
        <f t="shared" si="19"/>
        <v/>
      </c>
      <c r="B389" s="6"/>
      <c r="C389" s="5" t="str">
        <f>IFERROR(VLOOKUP(B389,Lists!$A$2:$B$25,2,FALSE),"")</f>
        <v/>
      </c>
      <c r="D389" s="7"/>
      <c r="E389" s="6"/>
      <c r="F389" s="6" t="str">
        <f t="shared" si="20"/>
        <v/>
      </c>
      <c r="G389" s="6"/>
      <c r="H389" s="6"/>
      <c r="I389" s="6"/>
      <c r="J389" s="7"/>
      <c r="K389" s="5" t="str" cm="1">
        <f t="array" ref="K389">IF(OR(A389="",B389="",D389="",E389=""),"",A389&amp;"_"&amp;SUBSTITUTE(B389," ","-")&amp;"_"&amp;D389&amp;"_"&amp;SUBSTITUTE(SUBSTITUTE(E389," ",""),"€","Euro")&amp;"_"&amp;IF(F389="","Unknown",F389)&amp;IF(F389="Commemorative",IF(G389="","","_"&amp;SUBSTITUTE(SUBSTITUTE(SUBSTITUTE(G389," ","-"),"/","-"),CHAR(39),"")),"")&amp;IF(I389="Duplicate","_Dub"&amp;IF(SUMPRODUCT(($B$2:B389=B389)*($D$2:D389=D389)*($E$2:E389=E389)*($F$2:F389=F389)*($G$2:G389=G389)*($I$2:I389="Duplicate"))&lt;=1,"",SUMPRODUCT(($B$2:B389=B389)*($D$2:D389=D389)*($E$2:E389=E389)*($F$2:F389=F389)*($G$2:G389=G389)*($I$2:I389="Duplicate"))-1),"")&amp;".jpeg")</f>
        <v/>
      </c>
      <c r="L389" s="6"/>
      <c r="M389" s="5" t="str">
        <f>IFERROR(VLOOKUP(E389,Specifications!$A$2:$D$9,2,FALSE),"")</f>
        <v/>
      </c>
      <c r="N389" s="5" t="str">
        <f>IFERROR(VLOOKUP(E389,Specifications!$A$2:$D$9,3,FALSE),"")</f>
        <v/>
      </c>
      <c r="O389" s="5" t="str">
        <f>IFERROR(VLOOKUP(E389,Specifications!$A$2:$D$9,4,FALSE),"")</f>
        <v/>
      </c>
      <c r="P389" s="8" t="str">
        <f t="shared" si="21"/>
        <v/>
      </c>
      <c r="Q389" s="9"/>
    </row>
    <row r="390" spans="1:17" ht="15">
      <c r="A390" s="5" t="str">
        <f t="shared" si="19"/>
        <v/>
      </c>
      <c r="B390" s="6"/>
      <c r="C390" s="5" t="str">
        <f>IFERROR(VLOOKUP(B390,Lists!$A$2:$B$25,2,FALSE),"")</f>
        <v/>
      </c>
      <c r="D390" s="7"/>
      <c r="E390" s="6"/>
      <c r="F390" s="6" t="str">
        <f t="shared" si="20"/>
        <v/>
      </c>
      <c r="G390" s="6"/>
      <c r="H390" s="6"/>
      <c r="I390" s="6"/>
      <c r="J390" s="7"/>
      <c r="K390" s="5" t="str" cm="1">
        <f t="array" ref="K390">IF(OR(A390="",B390="",D390="",E390=""),"",A390&amp;"_"&amp;SUBSTITUTE(B390," ","-")&amp;"_"&amp;D390&amp;"_"&amp;SUBSTITUTE(SUBSTITUTE(E390," ",""),"€","Euro")&amp;"_"&amp;IF(F390="","Unknown",F390)&amp;IF(F390="Commemorative",IF(G390="","","_"&amp;SUBSTITUTE(SUBSTITUTE(SUBSTITUTE(G390," ","-"),"/","-"),CHAR(39),"")),"")&amp;IF(I390="Duplicate","_Dub"&amp;IF(SUMPRODUCT(($B$2:B390=B390)*($D$2:D390=D390)*($E$2:E390=E390)*($F$2:F390=F390)*($G$2:G390=G390)*($I$2:I390="Duplicate"))&lt;=1,"",SUMPRODUCT(($B$2:B390=B390)*($D$2:D390=D390)*($E$2:E390=E390)*($F$2:F390=F390)*($G$2:G390=G390)*($I$2:I390="Duplicate"))-1),"")&amp;".jpeg")</f>
        <v/>
      </c>
      <c r="L390" s="6"/>
      <c r="M390" s="5" t="str">
        <f>IFERROR(VLOOKUP(E390,Specifications!$A$2:$D$9,2,FALSE),"")</f>
        <v/>
      </c>
      <c r="N390" s="5" t="str">
        <f>IFERROR(VLOOKUP(E390,Specifications!$A$2:$D$9,3,FALSE),"")</f>
        <v/>
      </c>
      <c r="O390" s="5" t="str">
        <f>IFERROR(VLOOKUP(E390,Specifications!$A$2:$D$9,4,FALSE),"")</f>
        <v/>
      </c>
      <c r="P390" s="8" t="str">
        <f t="shared" si="21"/>
        <v/>
      </c>
      <c r="Q390" s="9"/>
    </row>
    <row r="391" spans="1:17" ht="15">
      <c r="A391" s="5" t="str">
        <f t="shared" si="19"/>
        <v/>
      </c>
      <c r="B391" s="6"/>
      <c r="C391" s="5" t="str">
        <f>IFERROR(VLOOKUP(B391,Lists!$A$2:$B$25,2,FALSE),"")</f>
        <v/>
      </c>
      <c r="D391" s="7"/>
      <c r="E391" s="6"/>
      <c r="F391" s="6" t="str">
        <f t="shared" si="20"/>
        <v/>
      </c>
      <c r="G391" s="6"/>
      <c r="H391" s="6"/>
      <c r="I391" s="6"/>
      <c r="J391" s="7"/>
      <c r="K391" s="5" t="str" cm="1">
        <f t="array" ref="K391">IF(OR(A391="",B391="",D391="",E391=""),"",A391&amp;"_"&amp;SUBSTITUTE(B391," ","-")&amp;"_"&amp;D391&amp;"_"&amp;SUBSTITUTE(SUBSTITUTE(E391," ",""),"€","Euro")&amp;"_"&amp;IF(F391="","Unknown",F391)&amp;IF(F391="Commemorative",IF(G391="","","_"&amp;SUBSTITUTE(SUBSTITUTE(SUBSTITUTE(G391," ","-"),"/","-"),CHAR(39),"")),"")&amp;IF(I391="Duplicate","_Dub"&amp;IF(SUMPRODUCT(($B$2:B391=B391)*($D$2:D391=D391)*($E$2:E391=E391)*($F$2:F391=F391)*($G$2:G391=G391)*($I$2:I391="Duplicate"))&lt;=1,"",SUMPRODUCT(($B$2:B391=B391)*($D$2:D391=D391)*($E$2:E391=E391)*($F$2:F391=F391)*($G$2:G391=G391)*($I$2:I391="Duplicate"))-1),"")&amp;".jpeg")</f>
        <v/>
      </c>
      <c r="L391" s="6"/>
      <c r="M391" s="5" t="str">
        <f>IFERROR(VLOOKUP(E391,Specifications!$A$2:$D$9,2,FALSE),"")</f>
        <v/>
      </c>
      <c r="N391" s="5" t="str">
        <f>IFERROR(VLOOKUP(E391,Specifications!$A$2:$D$9,3,FALSE),"")</f>
        <v/>
      </c>
      <c r="O391" s="5" t="str">
        <f>IFERROR(VLOOKUP(E391,Specifications!$A$2:$D$9,4,FALSE),"")</f>
        <v/>
      </c>
      <c r="P391" s="8" t="str">
        <f t="shared" si="21"/>
        <v/>
      </c>
      <c r="Q391" s="9"/>
    </row>
    <row r="392" spans="1:17" ht="15">
      <c r="A392" s="5" t="str">
        <f t="shared" si="19"/>
        <v/>
      </c>
      <c r="B392" s="6"/>
      <c r="C392" s="5" t="str">
        <f>IFERROR(VLOOKUP(B392,Lists!$A$2:$B$25,2,FALSE),"")</f>
        <v/>
      </c>
      <c r="D392" s="7"/>
      <c r="E392" s="6"/>
      <c r="F392" s="6" t="str">
        <f t="shared" si="20"/>
        <v/>
      </c>
      <c r="G392" s="6"/>
      <c r="H392" s="6"/>
      <c r="I392" s="6"/>
      <c r="J392" s="7"/>
      <c r="K392" s="5" t="str" cm="1">
        <f t="array" ref="K392">IF(OR(A392="",B392="",D392="",E392=""),"",A392&amp;"_"&amp;SUBSTITUTE(B392," ","-")&amp;"_"&amp;D392&amp;"_"&amp;SUBSTITUTE(SUBSTITUTE(E392," ",""),"€","Euro")&amp;"_"&amp;IF(F392="","Unknown",F392)&amp;IF(F392="Commemorative",IF(G392="","","_"&amp;SUBSTITUTE(SUBSTITUTE(SUBSTITUTE(G392," ","-"),"/","-"),CHAR(39),"")),"")&amp;IF(I392="Duplicate","_Dub"&amp;IF(SUMPRODUCT(($B$2:B392=B392)*($D$2:D392=D392)*($E$2:E392=E392)*($F$2:F392=F392)*($G$2:G392=G392)*($I$2:I392="Duplicate"))&lt;=1,"",SUMPRODUCT(($B$2:B392=B392)*($D$2:D392=D392)*($E$2:E392=E392)*($F$2:F392=F392)*($G$2:G392=G392)*($I$2:I392="Duplicate"))-1),"")&amp;".jpeg")</f>
        <v/>
      </c>
      <c r="L392" s="6"/>
      <c r="M392" s="5" t="str">
        <f>IFERROR(VLOOKUP(E392,Specifications!$A$2:$D$9,2,FALSE),"")</f>
        <v/>
      </c>
      <c r="N392" s="5" t="str">
        <f>IFERROR(VLOOKUP(E392,Specifications!$A$2:$D$9,3,FALSE),"")</f>
        <v/>
      </c>
      <c r="O392" s="5" t="str">
        <f>IFERROR(VLOOKUP(E392,Specifications!$A$2:$D$9,4,FALSE),"")</f>
        <v/>
      </c>
      <c r="P392" s="8" t="str">
        <f t="shared" si="21"/>
        <v/>
      </c>
      <c r="Q392" s="9"/>
    </row>
    <row r="393" spans="1:17" ht="15">
      <c r="A393" s="5" t="str">
        <f t="shared" si="19"/>
        <v/>
      </c>
      <c r="B393" s="6"/>
      <c r="C393" s="5" t="str">
        <f>IFERROR(VLOOKUP(B393,Lists!$A$2:$B$25,2,FALSE),"")</f>
        <v/>
      </c>
      <c r="D393" s="7"/>
      <c r="E393" s="6"/>
      <c r="F393" s="6" t="str">
        <f t="shared" si="20"/>
        <v/>
      </c>
      <c r="G393" s="6"/>
      <c r="H393" s="6"/>
      <c r="I393" s="6"/>
      <c r="J393" s="7"/>
      <c r="K393" s="5" t="str" cm="1">
        <f t="array" ref="K393">IF(OR(A393="",B393="",D393="",E393=""),"",A393&amp;"_"&amp;SUBSTITUTE(B393," ","-")&amp;"_"&amp;D393&amp;"_"&amp;SUBSTITUTE(SUBSTITUTE(E393," ",""),"€","Euro")&amp;"_"&amp;IF(F393="","Unknown",F393)&amp;IF(F393="Commemorative",IF(G393="","","_"&amp;SUBSTITUTE(SUBSTITUTE(SUBSTITUTE(G393," ","-"),"/","-"),CHAR(39),"")),"")&amp;IF(I393="Duplicate","_Dub"&amp;IF(SUMPRODUCT(($B$2:B393=B393)*($D$2:D393=D393)*($E$2:E393=E393)*($F$2:F393=F393)*($G$2:G393=G393)*($I$2:I393="Duplicate"))&lt;=1,"",SUMPRODUCT(($B$2:B393=B393)*($D$2:D393=D393)*($E$2:E393=E393)*($F$2:F393=F393)*($G$2:G393=G393)*($I$2:I393="Duplicate"))-1),"")&amp;".jpeg")</f>
        <v/>
      </c>
      <c r="L393" s="6"/>
      <c r="M393" s="5" t="str">
        <f>IFERROR(VLOOKUP(E393,Specifications!$A$2:$D$9,2,FALSE),"")</f>
        <v/>
      </c>
      <c r="N393" s="5" t="str">
        <f>IFERROR(VLOOKUP(E393,Specifications!$A$2:$D$9,3,FALSE),"")</f>
        <v/>
      </c>
      <c r="O393" s="5" t="str">
        <f>IFERROR(VLOOKUP(E393,Specifications!$A$2:$D$9,4,FALSE),"")</f>
        <v/>
      </c>
      <c r="P393" s="8" t="str">
        <f t="shared" si="21"/>
        <v/>
      </c>
      <c r="Q393" s="9"/>
    </row>
    <row r="394" spans="1:17" ht="15">
      <c r="A394" s="5" t="str">
        <f t="shared" si="19"/>
        <v/>
      </c>
      <c r="B394" s="6"/>
      <c r="C394" s="5" t="str">
        <f>IFERROR(VLOOKUP(B394,Lists!$A$2:$B$25,2,FALSE),"")</f>
        <v/>
      </c>
      <c r="D394" s="7"/>
      <c r="E394" s="6"/>
      <c r="F394" s="6" t="str">
        <f t="shared" si="20"/>
        <v/>
      </c>
      <c r="G394" s="6"/>
      <c r="H394" s="6"/>
      <c r="I394" s="6"/>
      <c r="J394" s="7"/>
      <c r="K394" s="5" t="str" cm="1">
        <f t="array" ref="K394">IF(OR(A394="",B394="",D394="",E394=""),"",A394&amp;"_"&amp;SUBSTITUTE(B394," ","-")&amp;"_"&amp;D394&amp;"_"&amp;SUBSTITUTE(SUBSTITUTE(E394," ",""),"€","Euro")&amp;"_"&amp;IF(F394="","Unknown",F394)&amp;IF(F394="Commemorative",IF(G394="","","_"&amp;SUBSTITUTE(SUBSTITUTE(SUBSTITUTE(G394," ","-"),"/","-"),CHAR(39),"")),"")&amp;IF(I394="Duplicate","_Dub"&amp;IF(SUMPRODUCT(($B$2:B394=B394)*($D$2:D394=D394)*($E$2:E394=E394)*($F$2:F394=F394)*($G$2:G394=G394)*($I$2:I394="Duplicate"))&lt;=1,"",SUMPRODUCT(($B$2:B394=B394)*($D$2:D394=D394)*($E$2:E394=E394)*($F$2:F394=F394)*($G$2:G394=G394)*($I$2:I394="Duplicate"))-1),"")&amp;".jpeg")</f>
        <v/>
      </c>
      <c r="L394" s="6"/>
      <c r="M394" s="5" t="str">
        <f>IFERROR(VLOOKUP(E394,Specifications!$A$2:$D$9,2,FALSE),"")</f>
        <v/>
      </c>
      <c r="N394" s="5" t="str">
        <f>IFERROR(VLOOKUP(E394,Specifications!$A$2:$D$9,3,FALSE),"")</f>
        <v/>
      </c>
      <c r="O394" s="5" t="str">
        <f>IFERROR(VLOOKUP(E394,Specifications!$A$2:$D$9,4,FALSE),"")</f>
        <v/>
      </c>
      <c r="P394" s="8" t="str">
        <f t="shared" si="21"/>
        <v/>
      </c>
      <c r="Q394" s="9"/>
    </row>
    <row r="395" spans="1:17" ht="15">
      <c r="A395" s="5" t="str">
        <f t="shared" si="19"/>
        <v/>
      </c>
      <c r="B395" s="6"/>
      <c r="C395" s="5" t="str">
        <f>IFERROR(VLOOKUP(B395,Lists!$A$2:$B$25,2,FALSE),"")</f>
        <v/>
      </c>
      <c r="D395" s="7"/>
      <c r="E395" s="6"/>
      <c r="F395" s="6" t="str">
        <f t="shared" si="20"/>
        <v/>
      </c>
      <c r="G395" s="6"/>
      <c r="H395" s="6"/>
      <c r="I395" s="6"/>
      <c r="J395" s="7"/>
      <c r="K395" s="5" t="str" cm="1">
        <f t="array" ref="K395">IF(OR(A395="",B395="",D395="",E395=""),"",A395&amp;"_"&amp;SUBSTITUTE(B395," ","-")&amp;"_"&amp;D395&amp;"_"&amp;SUBSTITUTE(SUBSTITUTE(E395," ",""),"€","Euro")&amp;"_"&amp;IF(F395="","Unknown",F395)&amp;IF(F395="Commemorative",IF(G395="","","_"&amp;SUBSTITUTE(SUBSTITUTE(SUBSTITUTE(G395," ","-"),"/","-"),CHAR(39),"")),"")&amp;IF(I395="Duplicate","_Dub"&amp;IF(SUMPRODUCT(($B$2:B395=B395)*($D$2:D395=D395)*($E$2:E395=E395)*($F$2:F395=F395)*($G$2:G395=G395)*($I$2:I395="Duplicate"))&lt;=1,"",SUMPRODUCT(($B$2:B395=B395)*($D$2:D395=D395)*($E$2:E395=E395)*($F$2:F395=F395)*($G$2:G395=G395)*($I$2:I395="Duplicate"))-1),"")&amp;".jpeg")</f>
        <v/>
      </c>
      <c r="L395" s="6"/>
      <c r="M395" s="5" t="str">
        <f>IFERROR(VLOOKUP(E395,Specifications!$A$2:$D$9,2,FALSE),"")</f>
        <v/>
      </c>
      <c r="N395" s="5" t="str">
        <f>IFERROR(VLOOKUP(E395,Specifications!$A$2:$D$9,3,FALSE),"")</f>
        <v/>
      </c>
      <c r="O395" s="5" t="str">
        <f>IFERROR(VLOOKUP(E395,Specifications!$A$2:$D$9,4,FALSE),"")</f>
        <v/>
      </c>
      <c r="P395" s="8" t="str">
        <f t="shared" si="21"/>
        <v/>
      </c>
      <c r="Q395" s="9"/>
    </row>
    <row r="396" spans="1:17" ht="15">
      <c r="A396" s="5" t="str">
        <f t="shared" si="19"/>
        <v/>
      </c>
      <c r="B396" s="6"/>
      <c r="C396" s="5" t="str">
        <f>IFERROR(VLOOKUP(B396,Lists!$A$2:$B$25,2,FALSE),"")</f>
        <v/>
      </c>
      <c r="D396" s="7"/>
      <c r="E396" s="6"/>
      <c r="F396" s="6" t="str">
        <f t="shared" si="20"/>
        <v/>
      </c>
      <c r="G396" s="6"/>
      <c r="H396" s="6"/>
      <c r="I396" s="6"/>
      <c r="J396" s="7"/>
      <c r="K396" s="5" t="str" cm="1">
        <f t="array" ref="K396">IF(OR(A396="",B396="",D396="",E396=""),"",A396&amp;"_"&amp;SUBSTITUTE(B396," ","-")&amp;"_"&amp;D396&amp;"_"&amp;SUBSTITUTE(SUBSTITUTE(E396," ",""),"€","Euro")&amp;"_"&amp;IF(F396="","Unknown",F396)&amp;IF(F396="Commemorative",IF(G396="","","_"&amp;SUBSTITUTE(SUBSTITUTE(SUBSTITUTE(G396," ","-"),"/","-"),CHAR(39),"")),"")&amp;IF(I396="Duplicate","_Dub"&amp;IF(SUMPRODUCT(($B$2:B396=B396)*($D$2:D396=D396)*($E$2:E396=E396)*($F$2:F396=F396)*($G$2:G396=G396)*($I$2:I396="Duplicate"))&lt;=1,"",SUMPRODUCT(($B$2:B396=B396)*($D$2:D396=D396)*($E$2:E396=E396)*($F$2:F396=F396)*($G$2:G396=G396)*($I$2:I396="Duplicate"))-1),"")&amp;".jpeg")</f>
        <v/>
      </c>
      <c r="L396" s="6"/>
      <c r="M396" s="5" t="str">
        <f>IFERROR(VLOOKUP(E396,Specifications!$A$2:$D$9,2,FALSE),"")</f>
        <v/>
      </c>
      <c r="N396" s="5" t="str">
        <f>IFERROR(VLOOKUP(E396,Specifications!$A$2:$D$9,3,FALSE),"")</f>
        <v/>
      </c>
      <c r="O396" s="5" t="str">
        <f>IFERROR(VLOOKUP(E396,Specifications!$A$2:$D$9,4,FALSE),"")</f>
        <v/>
      </c>
      <c r="P396" s="8" t="str">
        <f t="shared" si="21"/>
        <v/>
      </c>
      <c r="Q396" s="9"/>
    </row>
    <row r="397" spans="1:17" ht="15">
      <c r="A397" s="5" t="str">
        <f t="shared" si="19"/>
        <v/>
      </c>
      <c r="B397" s="6"/>
      <c r="C397" s="5" t="str">
        <f>IFERROR(VLOOKUP(B397,Lists!$A$2:$B$25,2,FALSE),"")</f>
        <v/>
      </c>
      <c r="D397" s="7"/>
      <c r="E397" s="6"/>
      <c r="F397" s="6" t="str">
        <f t="shared" si="20"/>
        <v/>
      </c>
      <c r="G397" s="6"/>
      <c r="H397" s="6"/>
      <c r="I397" s="6"/>
      <c r="J397" s="7"/>
      <c r="K397" s="5" t="str" cm="1">
        <f t="array" ref="K397">IF(OR(A397="",B397="",D397="",E397=""),"",A397&amp;"_"&amp;SUBSTITUTE(B397," ","-")&amp;"_"&amp;D397&amp;"_"&amp;SUBSTITUTE(SUBSTITUTE(E397," ",""),"€","Euro")&amp;"_"&amp;IF(F397="","Unknown",F397)&amp;IF(F397="Commemorative",IF(G397="","","_"&amp;SUBSTITUTE(SUBSTITUTE(SUBSTITUTE(G397," ","-"),"/","-"),CHAR(39),"")),"")&amp;IF(I397="Duplicate","_Dub"&amp;IF(SUMPRODUCT(($B$2:B397=B397)*($D$2:D397=D397)*($E$2:E397=E397)*($F$2:F397=F397)*($G$2:G397=G397)*($I$2:I397="Duplicate"))&lt;=1,"",SUMPRODUCT(($B$2:B397=B397)*($D$2:D397=D397)*($E$2:E397=E397)*($F$2:F397=F397)*($G$2:G397=G397)*($I$2:I397="Duplicate"))-1),"")&amp;".jpeg")</f>
        <v/>
      </c>
      <c r="L397" s="6"/>
      <c r="M397" s="5" t="str">
        <f>IFERROR(VLOOKUP(E397,Specifications!$A$2:$D$9,2,FALSE),"")</f>
        <v/>
      </c>
      <c r="N397" s="5" t="str">
        <f>IFERROR(VLOOKUP(E397,Specifications!$A$2:$D$9,3,FALSE),"")</f>
        <v/>
      </c>
      <c r="O397" s="5" t="str">
        <f>IFERROR(VLOOKUP(E397,Specifications!$A$2:$D$9,4,FALSE),"")</f>
        <v/>
      </c>
      <c r="P397" s="8" t="str">
        <f t="shared" si="21"/>
        <v/>
      </c>
      <c r="Q397" s="9"/>
    </row>
    <row r="398" spans="1:17" ht="15">
      <c r="A398" s="5" t="str">
        <f t="shared" si="19"/>
        <v/>
      </c>
      <c r="B398" s="6"/>
      <c r="C398" s="5" t="str">
        <f>IFERROR(VLOOKUP(B398,Lists!$A$2:$B$25,2,FALSE),"")</f>
        <v/>
      </c>
      <c r="D398" s="7"/>
      <c r="E398" s="6"/>
      <c r="F398" s="6" t="str">
        <f t="shared" si="20"/>
        <v/>
      </c>
      <c r="G398" s="6"/>
      <c r="H398" s="6"/>
      <c r="I398" s="6"/>
      <c r="J398" s="7"/>
      <c r="K398" s="5" t="str" cm="1">
        <f t="array" ref="K398">IF(OR(A398="",B398="",D398="",E398=""),"",A398&amp;"_"&amp;SUBSTITUTE(B398," ","-")&amp;"_"&amp;D398&amp;"_"&amp;SUBSTITUTE(SUBSTITUTE(E398," ",""),"€","Euro")&amp;"_"&amp;IF(F398="","Unknown",F398)&amp;IF(F398="Commemorative",IF(G398="","","_"&amp;SUBSTITUTE(SUBSTITUTE(SUBSTITUTE(G398," ","-"),"/","-"),CHAR(39),"")),"")&amp;IF(I398="Duplicate","_Dub"&amp;IF(SUMPRODUCT(($B$2:B398=B398)*($D$2:D398=D398)*($E$2:E398=E398)*($F$2:F398=F398)*($G$2:G398=G398)*($I$2:I398="Duplicate"))&lt;=1,"",SUMPRODUCT(($B$2:B398=B398)*($D$2:D398=D398)*($E$2:E398=E398)*($F$2:F398=F398)*($G$2:G398=G398)*($I$2:I398="Duplicate"))-1),"")&amp;".jpeg")</f>
        <v/>
      </c>
      <c r="L398" s="6"/>
      <c r="M398" s="5" t="str">
        <f>IFERROR(VLOOKUP(E398,Specifications!$A$2:$D$9,2,FALSE),"")</f>
        <v/>
      </c>
      <c r="N398" s="5" t="str">
        <f>IFERROR(VLOOKUP(E398,Specifications!$A$2:$D$9,3,FALSE),"")</f>
        <v/>
      </c>
      <c r="O398" s="5" t="str">
        <f>IFERROR(VLOOKUP(E398,Specifications!$A$2:$D$9,4,FALSE),"")</f>
        <v/>
      </c>
      <c r="P398" s="8" t="str">
        <f t="shared" si="21"/>
        <v/>
      </c>
      <c r="Q398" s="9"/>
    </row>
    <row r="399" spans="1:17" ht="15">
      <c r="A399" s="5" t="str">
        <f t="shared" si="19"/>
        <v/>
      </c>
      <c r="B399" s="6"/>
      <c r="C399" s="5" t="str">
        <f>IFERROR(VLOOKUP(B399,Lists!$A$2:$B$25,2,FALSE),"")</f>
        <v/>
      </c>
      <c r="D399" s="7"/>
      <c r="E399" s="6"/>
      <c r="F399" s="6" t="str">
        <f t="shared" si="20"/>
        <v/>
      </c>
      <c r="G399" s="6"/>
      <c r="H399" s="6"/>
      <c r="I399" s="6"/>
      <c r="J399" s="7"/>
      <c r="K399" s="5" t="str" cm="1">
        <f t="array" ref="K399">IF(OR(A399="",B399="",D399="",E399=""),"",A399&amp;"_"&amp;SUBSTITUTE(B399," ","-")&amp;"_"&amp;D399&amp;"_"&amp;SUBSTITUTE(SUBSTITUTE(E399," ",""),"€","Euro")&amp;"_"&amp;IF(F399="","Unknown",F399)&amp;IF(F399="Commemorative",IF(G399="","","_"&amp;SUBSTITUTE(SUBSTITUTE(SUBSTITUTE(G399," ","-"),"/","-"),CHAR(39),"")),"")&amp;IF(I399="Duplicate","_Dub"&amp;IF(SUMPRODUCT(($B$2:B399=B399)*($D$2:D399=D399)*($E$2:E399=E399)*($F$2:F399=F399)*($G$2:G399=G399)*($I$2:I399="Duplicate"))&lt;=1,"",SUMPRODUCT(($B$2:B399=B399)*($D$2:D399=D399)*($E$2:E399=E399)*($F$2:F399=F399)*($G$2:G399=G399)*($I$2:I399="Duplicate"))-1),"")&amp;".jpeg")</f>
        <v/>
      </c>
      <c r="L399" s="6"/>
      <c r="M399" s="5" t="str">
        <f>IFERROR(VLOOKUP(E399,Specifications!$A$2:$D$9,2,FALSE),"")</f>
        <v/>
      </c>
      <c r="N399" s="5" t="str">
        <f>IFERROR(VLOOKUP(E399,Specifications!$A$2:$D$9,3,FALSE),"")</f>
        <v/>
      </c>
      <c r="O399" s="5" t="str">
        <f>IFERROR(VLOOKUP(E399,Specifications!$A$2:$D$9,4,FALSE),"")</f>
        <v/>
      </c>
      <c r="P399" s="8" t="str">
        <f t="shared" si="21"/>
        <v/>
      </c>
      <c r="Q399" s="9"/>
    </row>
    <row r="400" spans="1:17" ht="15">
      <c r="A400" s="5" t="str">
        <f t="shared" si="19"/>
        <v/>
      </c>
      <c r="B400" s="6"/>
      <c r="C400" s="5" t="str">
        <f>IFERROR(VLOOKUP(B400,Lists!$A$2:$B$25,2,FALSE),"")</f>
        <v/>
      </c>
      <c r="D400" s="7"/>
      <c r="E400" s="6"/>
      <c r="F400" s="6" t="str">
        <f t="shared" si="20"/>
        <v/>
      </c>
      <c r="G400" s="6"/>
      <c r="H400" s="6"/>
      <c r="I400" s="6"/>
      <c r="J400" s="7"/>
      <c r="K400" s="5" t="str" cm="1">
        <f t="array" ref="K400">IF(OR(A400="",B400="",D400="",E400=""),"",A400&amp;"_"&amp;SUBSTITUTE(B400," ","-")&amp;"_"&amp;D400&amp;"_"&amp;SUBSTITUTE(SUBSTITUTE(E400," ",""),"€","Euro")&amp;"_"&amp;IF(F400="","Unknown",F400)&amp;IF(F400="Commemorative",IF(G400="","","_"&amp;SUBSTITUTE(SUBSTITUTE(SUBSTITUTE(G400," ","-"),"/","-"),CHAR(39),"")),"")&amp;IF(I400="Duplicate","_Dub"&amp;IF(SUMPRODUCT(($B$2:B400=B400)*($D$2:D400=D400)*($E$2:E400=E400)*($F$2:F400=F400)*($G$2:G400=G400)*($I$2:I400="Duplicate"))&lt;=1,"",SUMPRODUCT(($B$2:B400=B400)*($D$2:D400=D400)*($E$2:E400=E400)*($F$2:F400=F400)*($G$2:G400=G400)*($I$2:I400="Duplicate"))-1),"")&amp;".jpeg")</f>
        <v/>
      </c>
      <c r="L400" s="6"/>
      <c r="M400" s="5" t="str">
        <f>IFERROR(VLOOKUP(E400,Specifications!$A$2:$D$9,2,FALSE),"")</f>
        <v/>
      </c>
      <c r="N400" s="5" t="str">
        <f>IFERROR(VLOOKUP(E400,Specifications!$A$2:$D$9,3,FALSE),"")</f>
        <v/>
      </c>
      <c r="O400" s="5" t="str">
        <f>IFERROR(VLOOKUP(E400,Specifications!$A$2:$D$9,4,FALSE),"")</f>
        <v/>
      </c>
      <c r="P400" s="8" t="str">
        <f t="shared" si="21"/>
        <v/>
      </c>
      <c r="Q400" s="9"/>
    </row>
    <row r="401" spans="1:17" ht="15">
      <c r="A401" s="5" t="str">
        <f t="shared" si="19"/>
        <v/>
      </c>
      <c r="B401" s="6"/>
      <c r="C401" s="5" t="str">
        <f>IFERROR(VLOOKUP(B401,Lists!$A$2:$B$25,2,FALSE),"")</f>
        <v/>
      </c>
      <c r="D401" s="7"/>
      <c r="E401" s="6"/>
      <c r="F401" s="6" t="str">
        <f t="shared" si="20"/>
        <v/>
      </c>
      <c r="G401" s="6"/>
      <c r="H401" s="6"/>
      <c r="I401" s="6"/>
      <c r="J401" s="7"/>
      <c r="K401" s="5" t="str" cm="1">
        <f t="array" ref="K401">IF(OR(A401="",B401="",D401="",E401=""),"",A401&amp;"_"&amp;SUBSTITUTE(B401," ","-")&amp;"_"&amp;D401&amp;"_"&amp;SUBSTITUTE(SUBSTITUTE(E401," ",""),"€","Euro")&amp;"_"&amp;IF(F401="","Unknown",F401)&amp;IF(F401="Commemorative",IF(G401="","","_"&amp;SUBSTITUTE(SUBSTITUTE(SUBSTITUTE(G401," ","-"),"/","-"),CHAR(39),"")),"")&amp;IF(I401="Duplicate","_Dub"&amp;IF(SUMPRODUCT(($B$2:B401=B401)*($D$2:D401=D401)*($E$2:E401=E401)*($F$2:F401=F401)*($G$2:G401=G401)*($I$2:I401="Duplicate"))&lt;=1,"",SUMPRODUCT(($B$2:B401=B401)*($D$2:D401=D401)*($E$2:E401=E401)*($F$2:F401=F401)*($G$2:G401=G401)*($I$2:I401="Duplicate"))-1),"")&amp;".jpeg")</f>
        <v/>
      </c>
      <c r="L401" s="6"/>
      <c r="M401" s="5" t="str">
        <f>IFERROR(VLOOKUP(E401,Specifications!$A$2:$D$9,2,FALSE),"")</f>
        <v/>
      </c>
      <c r="N401" s="5" t="str">
        <f>IFERROR(VLOOKUP(E401,Specifications!$A$2:$D$9,3,FALSE),"")</f>
        <v/>
      </c>
      <c r="O401" s="5" t="str">
        <f>IFERROR(VLOOKUP(E401,Specifications!$A$2:$D$9,4,FALSE),"")</f>
        <v/>
      </c>
      <c r="P401" s="8" t="str">
        <f t="shared" si="21"/>
        <v/>
      </c>
      <c r="Q401" s="9"/>
    </row>
    <row r="402" spans="1:17" ht="15">
      <c r="A402" s="5" t="str">
        <f t="shared" si="19"/>
        <v/>
      </c>
      <c r="B402" s="6"/>
      <c r="C402" s="5" t="str">
        <f>IFERROR(VLOOKUP(B402,Lists!$A$2:$B$25,2,FALSE),"")</f>
        <v/>
      </c>
      <c r="D402" s="7"/>
      <c r="E402" s="6"/>
      <c r="F402" s="6" t="str">
        <f t="shared" si="20"/>
        <v/>
      </c>
      <c r="G402" s="6"/>
      <c r="H402" s="6"/>
      <c r="I402" s="6"/>
      <c r="J402" s="7"/>
      <c r="K402" s="5" t="str" cm="1">
        <f t="array" ref="K402">IF(OR(A402="",B402="",D402="",E402=""),"",A402&amp;"_"&amp;SUBSTITUTE(B402," ","-")&amp;"_"&amp;D402&amp;"_"&amp;SUBSTITUTE(SUBSTITUTE(E402," ",""),"€","Euro")&amp;"_"&amp;IF(F402="","Unknown",F402)&amp;IF(F402="Commemorative",IF(G402="","","_"&amp;SUBSTITUTE(SUBSTITUTE(SUBSTITUTE(G402," ","-"),"/","-"),CHAR(39),"")),"")&amp;IF(I402="Duplicate","_Dub"&amp;IF(SUMPRODUCT(($B$2:B402=B402)*($D$2:D402=D402)*($E$2:E402=E402)*($F$2:F402=F402)*($G$2:G402=G402)*($I$2:I402="Duplicate"))&lt;=1,"",SUMPRODUCT(($B$2:B402=B402)*($D$2:D402=D402)*($E$2:E402=E402)*($F$2:F402=F402)*($G$2:G402=G402)*($I$2:I402="Duplicate"))-1),"")&amp;".jpeg")</f>
        <v/>
      </c>
      <c r="L402" s="6"/>
      <c r="M402" s="5" t="str">
        <f>IFERROR(VLOOKUP(E402,Specifications!$A$2:$D$9,2,FALSE),"")</f>
        <v/>
      </c>
      <c r="N402" s="5" t="str">
        <f>IFERROR(VLOOKUP(E402,Specifications!$A$2:$D$9,3,FALSE),"")</f>
        <v/>
      </c>
      <c r="O402" s="5" t="str">
        <f>IFERROR(VLOOKUP(E402,Specifications!$A$2:$D$9,4,FALSE),"")</f>
        <v/>
      </c>
      <c r="P402" s="8" t="str">
        <f t="shared" si="21"/>
        <v/>
      </c>
      <c r="Q402" s="9"/>
    </row>
    <row r="403" spans="1:17" ht="15">
      <c r="A403" s="5" t="str">
        <f t="shared" si="19"/>
        <v/>
      </c>
      <c r="B403" s="6"/>
      <c r="C403" s="5" t="str">
        <f>IFERROR(VLOOKUP(B403,Lists!$A$2:$B$25,2,FALSE),"")</f>
        <v/>
      </c>
      <c r="D403" s="7"/>
      <c r="E403" s="6"/>
      <c r="F403" s="6" t="str">
        <f t="shared" si="20"/>
        <v/>
      </c>
      <c r="G403" s="6"/>
      <c r="H403" s="6"/>
      <c r="I403" s="6"/>
      <c r="J403" s="7"/>
      <c r="K403" s="5" t="str" cm="1">
        <f t="array" ref="K403">IF(OR(A403="",B403="",D403="",E403=""),"",A403&amp;"_"&amp;SUBSTITUTE(B403," ","-")&amp;"_"&amp;D403&amp;"_"&amp;SUBSTITUTE(SUBSTITUTE(E403," ",""),"€","Euro")&amp;"_"&amp;IF(F403="","Unknown",F403)&amp;IF(F403="Commemorative",IF(G403="","","_"&amp;SUBSTITUTE(SUBSTITUTE(SUBSTITUTE(G403," ","-"),"/","-"),CHAR(39),"")),"")&amp;IF(I403="Duplicate","_Dub"&amp;IF(SUMPRODUCT(($B$2:B403=B403)*($D$2:D403=D403)*($E$2:E403=E403)*($F$2:F403=F403)*($G$2:G403=G403)*($I$2:I403="Duplicate"))&lt;=1,"",SUMPRODUCT(($B$2:B403=B403)*($D$2:D403=D403)*($E$2:E403=E403)*($F$2:F403=F403)*($G$2:G403=G403)*($I$2:I403="Duplicate"))-1),"")&amp;".jpeg")</f>
        <v/>
      </c>
      <c r="L403" s="6"/>
      <c r="M403" s="5" t="str">
        <f>IFERROR(VLOOKUP(E403,Specifications!$A$2:$D$9,2,FALSE),"")</f>
        <v/>
      </c>
      <c r="N403" s="5" t="str">
        <f>IFERROR(VLOOKUP(E403,Specifications!$A$2:$D$9,3,FALSE),"")</f>
        <v/>
      </c>
      <c r="O403" s="5" t="str">
        <f>IFERROR(VLOOKUP(E403,Specifications!$A$2:$D$9,4,FALSE),"")</f>
        <v/>
      </c>
      <c r="P403" s="8" t="str">
        <f t="shared" si="21"/>
        <v/>
      </c>
      <c r="Q403" s="9"/>
    </row>
    <row r="404" spans="1:17" ht="15">
      <c r="A404" s="5" t="str">
        <f t="shared" si="19"/>
        <v/>
      </c>
      <c r="B404" s="6"/>
      <c r="C404" s="5" t="str">
        <f>IFERROR(VLOOKUP(B404,Lists!$A$2:$B$25,2,FALSE),"")</f>
        <v/>
      </c>
      <c r="D404" s="7"/>
      <c r="E404" s="6"/>
      <c r="F404" s="6" t="str">
        <f t="shared" si="20"/>
        <v/>
      </c>
      <c r="G404" s="6"/>
      <c r="H404" s="6"/>
      <c r="I404" s="6"/>
      <c r="J404" s="7"/>
      <c r="K404" s="5" t="str" cm="1">
        <f t="array" ref="K404">IF(OR(A404="",B404="",D404="",E404=""),"",A404&amp;"_"&amp;SUBSTITUTE(B404," ","-")&amp;"_"&amp;D404&amp;"_"&amp;SUBSTITUTE(SUBSTITUTE(E404," ",""),"€","Euro")&amp;"_"&amp;IF(F404="","Unknown",F404)&amp;IF(F404="Commemorative",IF(G404="","","_"&amp;SUBSTITUTE(SUBSTITUTE(SUBSTITUTE(G404," ","-"),"/","-"),CHAR(39),"")),"")&amp;IF(I404="Duplicate","_Dub"&amp;IF(SUMPRODUCT(($B$2:B404=B404)*($D$2:D404=D404)*($E$2:E404=E404)*($F$2:F404=F404)*($G$2:G404=G404)*($I$2:I404="Duplicate"))&lt;=1,"",SUMPRODUCT(($B$2:B404=B404)*($D$2:D404=D404)*($E$2:E404=E404)*($F$2:F404=F404)*($G$2:G404=G404)*($I$2:I404="Duplicate"))-1),"")&amp;".jpeg")</f>
        <v/>
      </c>
      <c r="L404" s="6"/>
      <c r="M404" s="5" t="str">
        <f>IFERROR(VLOOKUP(E404,Specifications!$A$2:$D$9,2,FALSE),"")</f>
        <v/>
      </c>
      <c r="N404" s="5" t="str">
        <f>IFERROR(VLOOKUP(E404,Specifications!$A$2:$D$9,3,FALSE),"")</f>
        <v/>
      </c>
      <c r="O404" s="5" t="str">
        <f>IFERROR(VLOOKUP(E404,Specifications!$A$2:$D$9,4,FALSE),"")</f>
        <v/>
      </c>
      <c r="P404" s="8" t="str">
        <f t="shared" si="21"/>
        <v/>
      </c>
      <c r="Q404" s="9"/>
    </row>
    <row r="405" spans="1:17" ht="15">
      <c r="A405" s="5" t="str">
        <f t="shared" si="19"/>
        <v/>
      </c>
      <c r="B405" s="6"/>
      <c r="C405" s="5" t="str">
        <f>IFERROR(VLOOKUP(B405,Lists!$A$2:$B$25,2,FALSE),"")</f>
        <v/>
      </c>
      <c r="D405" s="7"/>
      <c r="E405" s="6"/>
      <c r="F405" s="6" t="str">
        <f t="shared" si="20"/>
        <v/>
      </c>
      <c r="G405" s="6"/>
      <c r="H405" s="6"/>
      <c r="I405" s="6"/>
      <c r="J405" s="7"/>
      <c r="K405" s="5" t="str" cm="1">
        <f t="array" ref="K405">IF(OR(A405="",B405="",D405="",E405=""),"",A405&amp;"_"&amp;SUBSTITUTE(B405," ","-")&amp;"_"&amp;D405&amp;"_"&amp;SUBSTITUTE(SUBSTITUTE(E405," ",""),"€","Euro")&amp;"_"&amp;IF(F405="","Unknown",F405)&amp;IF(F405="Commemorative",IF(G405="","","_"&amp;SUBSTITUTE(SUBSTITUTE(SUBSTITUTE(G405," ","-"),"/","-"),CHAR(39),"")),"")&amp;IF(I405="Duplicate","_Dub"&amp;IF(SUMPRODUCT(($B$2:B405=B405)*($D$2:D405=D405)*($E$2:E405=E405)*($F$2:F405=F405)*($G$2:G405=G405)*($I$2:I405="Duplicate"))&lt;=1,"",SUMPRODUCT(($B$2:B405=B405)*($D$2:D405=D405)*($E$2:E405=E405)*($F$2:F405=F405)*($G$2:G405=G405)*($I$2:I405="Duplicate"))-1),"")&amp;".jpeg")</f>
        <v/>
      </c>
      <c r="L405" s="6"/>
      <c r="M405" s="5" t="str">
        <f>IFERROR(VLOOKUP(E405,Specifications!$A$2:$D$9,2,FALSE),"")</f>
        <v/>
      </c>
      <c r="N405" s="5" t="str">
        <f>IFERROR(VLOOKUP(E405,Specifications!$A$2:$D$9,3,FALSE),"")</f>
        <v/>
      </c>
      <c r="O405" s="5" t="str">
        <f>IFERROR(VLOOKUP(E405,Specifications!$A$2:$D$9,4,FALSE),"")</f>
        <v/>
      </c>
      <c r="P405" s="8" t="str">
        <f t="shared" si="21"/>
        <v/>
      </c>
      <c r="Q405" s="9"/>
    </row>
    <row r="406" spans="1:17" ht="15">
      <c r="A406" s="5" t="str">
        <f t="shared" si="19"/>
        <v/>
      </c>
      <c r="B406" s="6"/>
      <c r="C406" s="5" t="str">
        <f>IFERROR(VLOOKUP(B406,Lists!$A$2:$B$25,2,FALSE),"")</f>
        <v/>
      </c>
      <c r="D406" s="7"/>
      <c r="E406" s="6"/>
      <c r="F406" s="6" t="str">
        <f t="shared" si="20"/>
        <v/>
      </c>
      <c r="G406" s="6"/>
      <c r="H406" s="6"/>
      <c r="I406" s="6"/>
      <c r="J406" s="7"/>
      <c r="K406" s="5" t="str" cm="1">
        <f t="array" ref="K406">IF(OR(A406="",B406="",D406="",E406=""),"",A406&amp;"_"&amp;SUBSTITUTE(B406," ","-")&amp;"_"&amp;D406&amp;"_"&amp;SUBSTITUTE(SUBSTITUTE(E406," ",""),"€","Euro")&amp;"_"&amp;IF(F406="","Unknown",F406)&amp;IF(F406="Commemorative",IF(G406="","","_"&amp;SUBSTITUTE(SUBSTITUTE(SUBSTITUTE(G406," ","-"),"/","-"),CHAR(39),"")),"")&amp;IF(I406="Duplicate","_Dub"&amp;IF(SUMPRODUCT(($B$2:B406=B406)*($D$2:D406=D406)*($E$2:E406=E406)*($F$2:F406=F406)*($G$2:G406=G406)*($I$2:I406="Duplicate"))&lt;=1,"",SUMPRODUCT(($B$2:B406=B406)*($D$2:D406=D406)*($E$2:E406=E406)*($F$2:F406=F406)*($G$2:G406=G406)*($I$2:I406="Duplicate"))-1),"")&amp;".jpeg")</f>
        <v/>
      </c>
      <c r="L406" s="6"/>
      <c r="M406" s="5" t="str">
        <f>IFERROR(VLOOKUP(E406,Specifications!$A$2:$D$9,2,FALSE),"")</f>
        <v/>
      </c>
      <c r="N406" s="5" t="str">
        <f>IFERROR(VLOOKUP(E406,Specifications!$A$2:$D$9,3,FALSE),"")</f>
        <v/>
      </c>
      <c r="O406" s="5" t="str">
        <f>IFERROR(VLOOKUP(E406,Specifications!$A$2:$D$9,4,FALSE),"")</f>
        <v/>
      </c>
      <c r="P406" s="8" t="str">
        <f t="shared" si="21"/>
        <v/>
      </c>
      <c r="Q406" s="9"/>
    </row>
    <row r="407" spans="1:17" ht="15">
      <c r="A407" s="5" t="str">
        <f t="shared" si="19"/>
        <v/>
      </c>
      <c r="B407" s="6"/>
      <c r="C407" s="5" t="str">
        <f>IFERROR(VLOOKUP(B407,Lists!$A$2:$B$25,2,FALSE),"")</f>
        <v/>
      </c>
      <c r="D407" s="7"/>
      <c r="E407" s="6"/>
      <c r="F407" s="6" t="str">
        <f t="shared" si="20"/>
        <v/>
      </c>
      <c r="G407" s="6"/>
      <c r="H407" s="6"/>
      <c r="I407" s="6"/>
      <c r="J407" s="7"/>
      <c r="K407" s="5" t="str" cm="1">
        <f t="array" ref="K407">IF(OR(A407="",B407="",D407="",E407=""),"",A407&amp;"_"&amp;SUBSTITUTE(B407," ","-")&amp;"_"&amp;D407&amp;"_"&amp;SUBSTITUTE(SUBSTITUTE(E407," ",""),"€","Euro")&amp;"_"&amp;IF(F407="","Unknown",F407)&amp;IF(F407="Commemorative",IF(G407="","","_"&amp;SUBSTITUTE(SUBSTITUTE(SUBSTITUTE(G407," ","-"),"/","-"),CHAR(39),"")),"")&amp;IF(I407="Duplicate","_Dub"&amp;IF(SUMPRODUCT(($B$2:B407=B407)*($D$2:D407=D407)*($E$2:E407=E407)*($F$2:F407=F407)*($G$2:G407=G407)*($I$2:I407="Duplicate"))&lt;=1,"",SUMPRODUCT(($B$2:B407=B407)*($D$2:D407=D407)*($E$2:E407=E407)*($F$2:F407=F407)*($G$2:G407=G407)*($I$2:I407="Duplicate"))-1),"")&amp;".jpeg")</f>
        <v/>
      </c>
      <c r="L407" s="6"/>
      <c r="M407" s="5" t="str">
        <f>IFERROR(VLOOKUP(E407,Specifications!$A$2:$D$9,2,FALSE),"")</f>
        <v/>
      </c>
      <c r="N407" s="5" t="str">
        <f>IFERROR(VLOOKUP(E407,Specifications!$A$2:$D$9,3,FALSE),"")</f>
        <v/>
      </c>
      <c r="O407" s="5" t="str">
        <f>IFERROR(VLOOKUP(E407,Specifications!$A$2:$D$9,4,FALSE),"")</f>
        <v/>
      </c>
      <c r="P407" s="8" t="str">
        <f t="shared" si="21"/>
        <v/>
      </c>
      <c r="Q407" s="9"/>
    </row>
    <row r="408" spans="1:17" ht="15">
      <c r="A408" s="5" t="str">
        <f t="shared" si="19"/>
        <v/>
      </c>
      <c r="B408" s="6"/>
      <c r="C408" s="5" t="str">
        <f>IFERROR(VLOOKUP(B408,Lists!$A$2:$B$25,2,FALSE),"")</f>
        <v/>
      </c>
      <c r="D408" s="7"/>
      <c r="E408" s="6"/>
      <c r="F408" s="6" t="str">
        <f t="shared" si="20"/>
        <v/>
      </c>
      <c r="G408" s="6"/>
      <c r="H408" s="6"/>
      <c r="I408" s="6"/>
      <c r="J408" s="7"/>
      <c r="K408" s="5" t="str" cm="1">
        <f t="array" ref="K408">IF(OR(A408="",B408="",D408="",E408=""),"",A408&amp;"_"&amp;SUBSTITUTE(B408," ","-")&amp;"_"&amp;D408&amp;"_"&amp;SUBSTITUTE(SUBSTITUTE(E408," ",""),"€","Euro")&amp;"_"&amp;IF(F408="","Unknown",F408)&amp;IF(F408="Commemorative",IF(G408="","","_"&amp;SUBSTITUTE(SUBSTITUTE(SUBSTITUTE(G408," ","-"),"/","-"),CHAR(39),"")),"")&amp;IF(I408="Duplicate","_Dub"&amp;IF(SUMPRODUCT(($B$2:B408=B408)*($D$2:D408=D408)*($E$2:E408=E408)*($F$2:F408=F408)*($G$2:G408=G408)*($I$2:I408="Duplicate"))&lt;=1,"",SUMPRODUCT(($B$2:B408=B408)*($D$2:D408=D408)*($E$2:E408=E408)*($F$2:F408=F408)*($G$2:G408=G408)*($I$2:I408="Duplicate"))-1),"")&amp;".jpeg")</f>
        <v/>
      </c>
      <c r="L408" s="6"/>
      <c r="M408" s="5" t="str">
        <f>IFERROR(VLOOKUP(E408,Specifications!$A$2:$D$9,2,FALSE),"")</f>
        <v/>
      </c>
      <c r="N408" s="5" t="str">
        <f>IFERROR(VLOOKUP(E408,Specifications!$A$2:$D$9,3,FALSE),"")</f>
        <v/>
      </c>
      <c r="O408" s="5" t="str">
        <f>IFERROR(VLOOKUP(E408,Specifications!$A$2:$D$9,4,FALSE),"")</f>
        <v/>
      </c>
      <c r="P408" s="8" t="str">
        <f t="shared" si="21"/>
        <v/>
      </c>
      <c r="Q408" s="9"/>
    </row>
    <row r="409" spans="1:17" ht="15">
      <c r="A409" s="5" t="str">
        <f t="shared" si="19"/>
        <v/>
      </c>
      <c r="B409" s="6"/>
      <c r="C409" s="5" t="str">
        <f>IFERROR(VLOOKUP(B409,Lists!$A$2:$B$25,2,FALSE),"")</f>
        <v/>
      </c>
      <c r="D409" s="7"/>
      <c r="E409" s="6"/>
      <c r="F409" s="6" t="str">
        <f t="shared" si="20"/>
        <v/>
      </c>
      <c r="G409" s="6"/>
      <c r="H409" s="6"/>
      <c r="I409" s="6"/>
      <c r="J409" s="7"/>
      <c r="K409" s="5" t="str" cm="1">
        <f t="array" ref="K409">IF(OR(A409="",B409="",D409="",E409=""),"",A409&amp;"_"&amp;SUBSTITUTE(B409," ","-")&amp;"_"&amp;D409&amp;"_"&amp;SUBSTITUTE(SUBSTITUTE(E409," ",""),"€","Euro")&amp;"_"&amp;IF(F409="","Unknown",F409)&amp;IF(F409="Commemorative",IF(G409="","","_"&amp;SUBSTITUTE(SUBSTITUTE(SUBSTITUTE(G409," ","-"),"/","-"),CHAR(39),"")),"")&amp;IF(I409="Duplicate","_Dub"&amp;IF(SUMPRODUCT(($B$2:B409=B409)*($D$2:D409=D409)*($E$2:E409=E409)*($F$2:F409=F409)*($G$2:G409=G409)*($I$2:I409="Duplicate"))&lt;=1,"",SUMPRODUCT(($B$2:B409=B409)*($D$2:D409=D409)*($E$2:E409=E409)*($F$2:F409=F409)*($G$2:G409=G409)*($I$2:I409="Duplicate"))-1),"")&amp;".jpeg")</f>
        <v/>
      </c>
      <c r="L409" s="6"/>
      <c r="M409" s="5" t="str">
        <f>IFERROR(VLOOKUP(E409,Specifications!$A$2:$D$9,2,FALSE),"")</f>
        <v/>
      </c>
      <c r="N409" s="5" t="str">
        <f>IFERROR(VLOOKUP(E409,Specifications!$A$2:$D$9,3,FALSE),"")</f>
        <v/>
      </c>
      <c r="O409" s="5" t="str">
        <f>IFERROR(VLOOKUP(E409,Specifications!$A$2:$D$9,4,FALSE),"")</f>
        <v/>
      </c>
      <c r="P409" s="8" t="str">
        <f t="shared" si="21"/>
        <v/>
      </c>
      <c r="Q409" s="9"/>
    </row>
    <row r="410" spans="1:17" ht="15">
      <c r="A410" s="5" t="str">
        <f t="shared" si="19"/>
        <v/>
      </c>
      <c r="B410" s="6"/>
      <c r="C410" s="5" t="str">
        <f>IFERROR(VLOOKUP(B410,Lists!$A$2:$B$25,2,FALSE),"")</f>
        <v/>
      </c>
      <c r="D410" s="7"/>
      <c r="E410" s="6"/>
      <c r="F410" s="6" t="str">
        <f t="shared" si="20"/>
        <v/>
      </c>
      <c r="G410" s="6"/>
      <c r="H410" s="6"/>
      <c r="I410" s="6"/>
      <c r="J410" s="7"/>
      <c r="K410" s="5" t="str" cm="1">
        <f t="array" ref="K410">IF(OR(A410="",B410="",D410="",E410=""),"",A410&amp;"_"&amp;SUBSTITUTE(B410," ","-")&amp;"_"&amp;D410&amp;"_"&amp;SUBSTITUTE(SUBSTITUTE(E410," ",""),"€","Euro")&amp;"_"&amp;IF(F410="","Unknown",F410)&amp;IF(F410="Commemorative",IF(G410="","","_"&amp;SUBSTITUTE(SUBSTITUTE(SUBSTITUTE(G410," ","-"),"/","-"),CHAR(39),"")),"")&amp;IF(I410="Duplicate","_Dub"&amp;IF(SUMPRODUCT(($B$2:B410=B410)*($D$2:D410=D410)*($E$2:E410=E410)*($F$2:F410=F410)*($G$2:G410=G410)*($I$2:I410="Duplicate"))&lt;=1,"",SUMPRODUCT(($B$2:B410=B410)*($D$2:D410=D410)*($E$2:E410=E410)*($F$2:F410=F410)*($G$2:G410=G410)*($I$2:I410="Duplicate"))-1),"")&amp;".jpeg")</f>
        <v/>
      </c>
      <c r="L410" s="6"/>
      <c r="M410" s="5" t="str">
        <f>IFERROR(VLOOKUP(E410,Specifications!$A$2:$D$9,2,FALSE),"")</f>
        <v/>
      </c>
      <c r="N410" s="5" t="str">
        <f>IFERROR(VLOOKUP(E410,Specifications!$A$2:$D$9,3,FALSE),"")</f>
        <v/>
      </c>
      <c r="O410" s="5" t="str">
        <f>IFERROR(VLOOKUP(E410,Specifications!$A$2:$D$9,4,FALSE),"")</f>
        <v/>
      </c>
      <c r="P410" s="8" t="str">
        <f t="shared" si="21"/>
        <v/>
      </c>
      <c r="Q410" s="9"/>
    </row>
    <row r="411" spans="1:17" ht="15">
      <c r="A411" s="5" t="str">
        <f t="shared" si="19"/>
        <v/>
      </c>
      <c r="B411" s="6"/>
      <c r="C411" s="5" t="str">
        <f>IFERROR(VLOOKUP(B411,Lists!$A$2:$B$25,2,FALSE),"")</f>
        <v/>
      </c>
      <c r="D411" s="7"/>
      <c r="E411" s="6"/>
      <c r="F411" s="6" t="str">
        <f t="shared" si="20"/>
        <v/>
      </c>
      <c r="G411" s="6"/>
      <c r="H411" s="6"/>
      <c r="I411" s="6"/>
      <c r="J411" s="7"/>
      <c r="K411" s="5" t="str" cm="1">
        <f t="array" ref="K411">IF(OR(A411="",B411="",D411="",E411=""),"",A411&amp;"_"&amp;SUBSTITUTE(B411," ","-")&amp;"_"&amp;D411&amp;"_"&amp;SUBSTITUTE(SUBSTITUTE(E411," ",""),"€","Euro")&amp;"_"&amp;IF(F411="","Unknown",F411)&amp;IF(F411="Commemorative",IF(G411="","","_"&amp;SUBSTITUTE(SUBSTITUTE(SUBSTITUTE(G411," ","-"),"/","-"),CHAR(39),"")),"")&amp;IF(I411="Duplicate","_Dub"&amp;IF(SUMPRODUCT(($B$2:B411=B411)*($D$2:D411=D411)*($E$2:E411=E411)*($F$2:F411=F411)*($G$2:G411=G411)*($I$2:I411="Duplicate"))&lt;=1,"",SUMPRODUCT(($B$2:B411=B411)*($D$2:D411=D411)*($E$2:E411=E411)*($F$2:F411=F411)*($G$2:G411=G411)*($I$2:I411="Duplicate"))-1),"")&amp;".jpeg")</f>
        <v/>
      </c>
      <c r="L411" s="6"/>
      <c r="M411" s="5" t="str">
        <f>IFERROR(VLOOKUP(E411,Specifications!$A$2:$D$9,2,FALSE),"")</f>
        <v/>
      </c>
      <c r="N411" s="5" t="str">
        <f>IFERROR(VLOOKUP(E411,Specifications!$A$2:$D$9,3,FALSE),"")</f>
        <v/>
      </c>
      <c r="O411" s="5" t="str">
        <f>IFERROR(VLOOKUP(E411,Specifications!$A$2:$D$9,4,FALSE),"")</f>
        <v/>
      </c>
      <c r="P411" s="8" t="str">
        <f t="shared" si="21"/>
        <v/>
      </c>
      <c r="Q411" s="9"/>
    </row>
    <row r="412" spans="1:17" ht="15">
      <c r="A412" s="5" t="str">
        <f t="shared" si="19"/>
        <v/>
      </c>
      <c r="B412" s="6"/>
      <c r="C412" s="5" t="str">
        <f>IFERROR(VLOOKUP(B412,Lists!$A$2:$B$25,2,FALSE),"")</f>
        <v/>
      </c>
      <c r="D412" s="7"/>
      <c r="E412" s="6"/>
      <c r="F412" s="6" t="str">
        <f t="shared" si="20"/>
        <v/>
      </c>
      <c r="G412" s="6"/>
      <c r="H412" s="6"/>
      <c r="I412" s="6"/>
      <c r="J412" s="7"/>
      <c r="K412" s="5" t="str" cm="1">
        <f t="array" ref="K412">IF(OR(A412="",B412="",D412="",E412=""),"",A412&amp;"_"&amp;SUBSTITUTE(B412," ","-")&amp;"_"&amp;D412&amp;"_"&amp;SUBSTITUTE(SUBSTITUTE(E412," ",""),"€","Euro")&amp;"_"&amp;IF(F412="","Unknown",F412)&amp;IF(F412="Commemorative",IF(G412="","","_"&amp;SUBSTITUTE(SUBSTITUTE(SUBSTITUTE(G412," ","-"),"/","-"),CHAR(39),"")),"")&amp;IF(I412="Duplicate","_Dub"&amp;IF(SUMPRODUCT(($B$2:B412=B412)*($D$2:D412=D412)*($E$2:E412=E412)*($F$2:F412=F412)*($G$2:G412=G412)*($I$2:I412="Duplicate"))&lt;=1,"",SUMPRODUCT(($B$2:B412=B412)*($D$2:D412=D412)*($E$2:E412=E412)*($F$2:F412=F412)*($G$2:G412=G412)*($I$2:I412="Duplicate"))-1),"")&amp;".jpeg")</f>
        <v/>
      </c>
      <c r="L412" s="6"/>
      <c r="M412" s="5" t="str">
        <f>IFERROR(VLOOKUP(E412,Specifications!$A$2:$D$9,2,FALSE),"")</f>
        <v/>
      </c>
      <c r="N412" s="5" t="str">
        <f>IFERROR(VLOOKUP(E412,Specifications!$A$2:$D$9,3,FALSE),"")</f>
        <v/>
      </c>
      <c r="O412" s="5" t="str">
        <f>IFERROR(VLOOKUP(E412,Specifications!$A$2:$D$9,4,FALSE),"")</f>
        <v/>
      </c>
      <c r="P412" s="8" t="str">
        <f t="shared" si="21"/>
        <v/>
      </c>
      <c r="Q412" s="9"/>
    </row>
    <row r="413" spans="1:17" ht="15">
      <c r="A413" s="5" t="str">
        <f t="shared" si="19"/>
        <v/>
      </c>
      <c r="B413" s="6"/>
      <c r="C413" s="5" t="str">
        <f>IFERROR(VLOOKUP(B413,Lists!$A$2:$B$25,2,FALSE),"")</f>
        <v/>
      </c>
      <c r="D413" s="7"/>
      <c r="E413" s="6"/>
      <c r="F413" s="6" t="str">
        <f t="shared" si="20"/>
        <v/>
      </c>
      <c r="G413" s="6"/>
      <c r="H413" s="6"/>
      <c r="I413" s="6"/>
      <c r="J413" s="7"/>
      <c r="K413" s="5" t="str" cm="1">
        <f t="array" ref="K413">IF(OR(A413="",B413="",D413="",E413=""),"",A413&amp;"_"&amp;SUBSTITUTE(B413," ","-")&amp;"_"&amp;D413&amp;"_"&amp;SUBSTITUTE(SUBSTITUTE(E413," ",""),"€","Euro")&amp;"_"&amp;IF(F413="","Unknown",F413)&amp;IF(F413="Commemorative",IF(G413="","","_"&amp;SUBSTITUTE(SUBSTITUTE(SUBSTITUTE(G413," ","-"),"/","-"),CHAR(39),"")),"")&amp;IF(I413="Duplicate","_Dub"&amp;IF(SUMPRODUCT(($B$2:B413=B413)*($D$2:D413=D413)*($E$2:E413=E413)*($F$2:F413=F413)*($G$2:G413=G413)*($I$2:I413="Duplicate"))&lt;=1,"",SUMPRODUCT(($B$2:B413=B413)*($D$2:D413=D413)*($E$2:E413=E413)*($F$2:F413=F413)*($G$2:G413=G413)*($I$2:I413="Duplicate"))-1),"")&amp;".jpeg")</f>
        <v/>
      </c>
      <c r="L413" s="6"/>
      <c r="M413" s="5" t="str">
        <f>IFERROR(VLOOKUP(E413,Specifications!$A$2:$D$9,2,FALSE),"")</f>
        <v/>
      </c>
      <c r="N413" s="5" t="str">
        <f>IFERROR(VLOOKUP(E413,Specifications!$A$2:$D$9,3,FALSE),"")</f>
        <v/>
      </c>
      <c r="O413" s="5" t="str">
        <f>IFERROR(VLOOKUP(E413,Specifications!$A$2:$D$9,4,FALSE),"")</f>
        <v/>
      </c>
      <c r="P413" s="8" t="str">
        <f t="shared" si="21"/>
        <v/>
      </c>
      <c r="Q413" s="9"/>
    </row>
    <row r="414" spans="1:17" ht="15">
      <c r="A414" s="5" t="str">
        <f t="shared" si="19"/>
        <v/>
      </c>
      <c r="B414" s="6"/>
      <c r="C414" s="5" t="str">
        <f>IFERROR(VLOOKUP(B414,Lists!$A$2:$B$25,2,FALSE),"")</f>
        <v/>
      </c>
      <c r="D414" s="7"/>
      <c r="E414" s="6"/>
      <c r="F414" s="6" t="str">
        <f t="shared" si="20"/>
        <v/>
      </c>
      <c r="G414" s="6"/>
      <c r="H414" s="6"/>
      <c r="I414" s="6"/>
      <c r="J414" s="7"/>
      <c r="K414" s="5" t="str" cm="1">
        <f t="array" ref="K414">IF(OR(A414="",B414="",D414="",E414=""),"",A414&amp;"_"&amp;SUBSTITUTE(B414," ","-")&amp;"_"&amp;D414&amp;"_"&amp;SUBSTITUTE(SUBSTITUTE(E414," ",""),"€","Euro")&amp;"_"&amp;IF(F414="","Unknown",F414)&amp;IF(F414="Commemorative",IF(G414="","","_"&amp;SUBSTITUTE(SUBSTITUTE(SUBSTITUTE(G414," ","-"),"/","-"),CHAR(39),"")),"")&amp;IF(I414="Duplicate","_Dub"&amp;IF(SUMPRODUCT(($B$2:B414=B414)*($D$2:D414=D414)*($E$2:E414=E414)*($F$2:F414=F414)*($G$2:G414=G414)*($I$2:I414="Duplicate"))&lt;=1,"",SUMPRODUCT(($B$2:B414=B414)*($D$2:D414=D414)*($E$2:E414=E414)*($F$2:F414=F414)*($G$2:G414=G414)*($I$2:I414="Duplicate"))-1),"")&amp;".jpeg")</f>
        <v/>
      </c>
      <c r="L414" s="6"/>
      <c r="M414" s="5" t="str">
        <f>IFERROR(VLOOKUP(E414,Specifications!$A$2:$D$9,2,FALSE),"")</f>
        <v/>
      </c>
      <c r="N414" s="5" t="str">
        <f>IFERROR(VLOOKUP(E414,Specifications!$A$2:$D$9,3,FALSE),"")</f>
        <v/>
      </c>
      <c r="O414" s="5" t="str">
        <f>IFERROR(VLOOKUP(E414,Specifications!$A$2:$D$9,4,FALSE),"")</f>
        <v/>
      </c>
      <c r="P414" s="8" t="str">
        <f t="shared" si="21"/>
        <v/>
      </c>
      <c r="Q414" s="9"/>
    </row>
    <row r="415" spans="1:17" ht="15">
      <c r="A415" s="5" t="str">
        <f t="shared" si="19"/>
        <v/>
      </c>
      <c r="B415" s="6"/>
      <c r="C415" s="5" t="str">
        <f>IFERROR(VLOOKUP(B415,Lists!$A$2:$B$25,2,FALSE),"")</f>
        <v/>
      </c>
      <c r="D415" s="7"/>
      <c r="E415" s="6"/>
      <c r="F415" s="6" t="str">
        <f t="shared" si="20"/>
        <v/>
      </c>
      <c r="G415" s="6"/>
      <c r="H415" s="6"/>
      <c r="I415" s="6"/>
      <c r="J415" s="7"/>
      <c r="K415" s="5" t="str" cm="1">
        <f t="array" ref="K415">IF(OR(A415="",B415="",D415="",E415=""),"",A415&amp;"_"&amp;SUBSTITUTE(B415," ","-")&amp;"_"&amp;D415&amp;"_"&amp;SUBSTITUTE(SUBSTITUTE(E415," ",""),"€","Euro")&amp;"_"&amp;IF(F415="","Unknown",F415)&amp;IF(F415="Commemorative",IF(G415="","","_"&amp;SUBSTITUTE(SUBSTITUTE(SUBSTITUTE(G415," ","-"),"/","-"),CHAR(39),"")),"")&amp;IF(I415="Duplicate","_Dub"&amp;IF(SUMPRODUCT(($B$2:B415=B415)*($D$2:D415=D415)*($E$2:E415=E415)*($F$2:F415=F415)*($G$2:G415=G415)*($I$2:I415="Duplicate"))&lt;=1,"",SUMPRODUCT(($B$2:B415=B415)*($D$2:D415=D415)*($E$2:E415=E415)*($F$2:F415=F415)*($G$2:G415=G415)*($I$2:I415="Duplicate"))-1),"")&amp;".jpeg")</f>
        <v/>
      </c>
      <c r="L415" s="6"/>
      <c r="M415" s="5" t="str">
        <f>IFERROR(VLOOKUP(E415,Specifications!$A$2:$D$9,2,FALSE),"")</f>
        <v/>
      </c>
      <c r="N415" s="5" t="str">
        <f>IFERROR(VLOOKUP(E415,Specifications!$A$2:$D$9,3,FALSE),"")</f>
        <v/>
      </c>
      <c r="O415" s="5" t="str">
        <f>IFERROR(VLOOKUP(E415,Specifications!$A$2:$D$9,4,FALSE),"")</f>
        <v/>
      </c>
      <c r="P415" s="8" t="str">
        <f t="shared" si="21"/>
        <v/>
      </c>
      <c r="Q415" s="9"/>
    </row>
    <row r="416" spans="1:17" ht="15">
      <c r="A416" s="5" t="str">
        <f t="shared" si="19"/>
        <v/>
      </c>
      <c r="B416" s="6"/>
      <c r="C416" s="5" t="str">
        <f>IFERROR(VLOOKUP(B416,Lists!$A$2:$B$25,2,FALSE),"")</f>
        <v/>
      </c>
      <c r="D416" s="7"/>
      <c r="E416" s="6"/>
      <c r="F416" s="6" t="str">
        <f t="shared" si="20"/>
        <v/>
      </c>
      <c r="G416" s="6"/>
      <c r="H416" s="6"/>
      <c r="I416" s="6"/>
      <c r="J416" s="7"/>
      <c r="K416" s="5" t="str" cm="1">
        <f t="array" ref="K416">IF(OR(A416="",B416="",D416="",E416=""),"",A416&amp;"_"&amp;SUBSTITUTE(B416," ","-")&amp;"_"&amp;D416&amp;"_"&amp;SUBSTITUTE(SUBSTITUTE(E416," ",""),"€","Euro")&amp;"_"&amp;IF(F416="","Unknown",F416)&amp;IF(F416="Commemorative",IF(G416="","","_"&amp;SUBSTITUTE(SUBSTITUTE(SUBSTITUTE(G416," ","-"),"/","-"),CHAR(39),"")),"")&amp;IF(I416="Duplicate","_Dub"&amp;IF(SUMPRODUCT(($B$2:B416=B416)*($D$2:D416=D416)*($E$2:E416=E416)*($F$2:F416=F416)*($G$2:G416=G416)*($I$2:I416="Duplicate"))&lt;=1,"",SUMPRODUCT(($B$2:B416=B416)*($D$2:D416=D416)*($E$2:E416=E416)*($F$2:F416=F416)*($G$2:G416=G416)*($I$2:I416="Duplicate"))-1),"")&amp;".jpeg")</f>
        <v/>
      </c>
      <c r="L416" s="6"/>
      <c r="M416" s="5" t="str">
        <f>IFERROR(VLOOKUP(E416,Specifications!$A$2:$D$9,2,FALSE),"")</f>
        <v/>
      </c>
      <c r="N416" s="5" t="str">
        <f>IFERROR(VLOOKUP(E416,Specifications!$A$2:$D$9,3,FALSE),"")</f>
        <v/>
      </c>
      <c r="O416" s="5" t="str">
        <f>IFERROR(VLOOKUP(E416,Specifications!$A$2:$D$9,4,FALSE),"")</f>
        <v/>
      </c>
      <c r="P416" s="8" t="str">
        <f t="shared" si="21"/>
        <v/>
      </c>
      <c r="Q416" s="9"/>
    </row>
    <row r="417" spans="1:17" ht="15">
      <c r="A417" s="5" t="str">
        <f t="shared" si="19"/>
        <v/>
      </c>
      <c r="B417" s="6"/>
      <c r="C417" s="5" t="str">
        <f>IFERROR(VLOOKUP(B417,Lists!$A$2:$B$25,2,FALSE),"")</f>
        <v/>
      </c>
      <c r="D417" s="7"/>
      <c r="E417" s="6"/>
      <c r="F417" s="6" t="str">
        <f t="shared" si="20"/>
        <v/>
      </c>
      <c r="G417" s="6"/>
      <c r="H417" s="6"/>
      <c r="I417" s="6"/>
      <c r="J417" s="7"/>
      <c r="K417" s="5" t="str" cm="1">
        <f t="array" ref="K417">IF(OR(A417="",B417="",D417="",E417=""),"",A417&amp;"_"&amp;SUBSTITUTE(B417," ","-")&amp;"_"&amp;D417&amp;"_"&amp;SUBSTITUTE(SUBSTITUTE(E417," ",""),"€","Euro")&amp;"_"&amp;IF(F417="","Unknown",F417)&amp;IF(F417="Commemorative",IF(G417="","","_"&amp;SUBSTITUTE(SUBSTITUTE(SUBSTITUTE(G417," ","-"),"/","-"),CHAR(39),"")),"")&amp;IF(I417="Duplicate","_Dub"&amp;IF(SUMPRODUCT(($B$2:B417=B417)*($D$2:D417=D417)*($E$2:E417=E417)*($F$2:F417=F417)*($G$2:G417=G417)*($I$2:I417="Duplicate"))&lt;=1,"",SUMPRODUCT(($B$2:B417=B417)*($D$2:D417=D417)*($E$2:E417=E417)*($F$2:F417=F417)*($G$2:G417=G417)*($I$2:I417="Duplicate"))-1),"")&amp;".jpeg")</f>
        <v/>
      </c>
      <c r="L417" s="6"/>
      <c r="M417" s="5" t="str">
        <f>IFERROR(VLOOKUP(E417,Specifications!$A$2:$D$9,2,FALSE),"")</f>
        <v/>
      </c>
      <c r="N417" s="5" t="str">
        <f>IFERROR(VLOOKUP(E417,Specifications!$A$2:$D$9,3,FALSE),"")</f>
        <v/>
      </c>
      <c r="O417" s="5" t="str">
        <f>IFERROR(VLOOKUP(E417,Specifications!$A$2:$D$9,4,FALSE),"")</f>
        <v/>
      </c>
      <c r="P417" s="8" t="str">
        <f t="shared" si="21"/>
        <v/>
      </c>
      <c r="Q417" s="9"/>
    </row>
    <row r="418" spans="1:17" ht="15">
      <c r="A418" s="5" t="str">
        <f t="shared" si="19"/>
        <v/>
      </c>
      <c r="B418" s="6"/>
      <c r="C418" s="5" t="str">
        <f>IFERROR(VLOOKUP(B418,Lists!$A$2:$B$25,2,FALSE),"")</f>
        <v/>
      </c>
      <c r="D418" s="7"/>
      <c r="E418" s="6"/>
      <c r="F418" s="6" t="str">
        <f t="shared" si="20"/>
        <v/>
      </c>
      <c r="G418" s="6"/>
      <c r="H418" s="6"/>
      <c r="I418" s="6"/>
      <c r="J418" s="7"/>
      <c r="K418" s="5" t="str" cm="1">
        <f t="array" ref="K418">IF(OR(A418="",B418="",D418="",E418=""),"",A418&amp;"_"&amp;SUBSTITUTE(B418," ","-")&amp;"_"&amp;D418&amp;"_"&amp;SUBSTITUTE(SUBSTITUTE(E418," ",""),"€","Euro")&amp;"_"&amp;IF(F418="","Unknown",F418)&amp;IF(F418="Commemorative",IF(G418="","","_"&amp;SUBSTITUTE(SUBSTITUTE(SUBSTITUTE(G418," ","-"),"/","-"),CHAR(39),"")),"")&amp;IF(I418="Duplicate","_Dub"&amp;IF(SUMPRODUCT(($B$2:B418=B418)*($D$2:D418=D418)*($E$2:E418=E418)*($F$2:F418=F418)*($G$2:G418=G418)*($I$2:I418="Duplicate"))&lt;=1,"",SUMPRODUCT(($B$2:B418=B418)*($D$2:D418=D418)*($E$2:E418=E418)*($F$2:F418=F418)*($G$2:G418=G418)*($I$2:I418="Duplicate"))-1),"")&amp;".jpeg")</f>
        <v/>
      </c>
      <c r="L418" s="6"/>
      <c r="M418" s="5" t="str">
        <f>IFERROR(VLOOKUP(E418,Specifications!$A$2:$D$9,2,FALSE),"")</f>
        <v/>
      </c>
      <c r="N418" s="5" t="str">
        <f>IFERROR(VLOOKUP(E418,Specifications!$A$2:$D$9,3,FALSE),"")</f>
        <v/>
      </c>
      <c r="O418" s="5" t="str">
        <f>IFERROR(VLOOKUP(E418,Specifications!$A$2:$D$9,4,FALSE),"")</f>
        <v/>
      </c>
      <c r="P418" s="8" t="str">
        <f t="shared" si="21"/>
        <v/>
      </c>
      <c r="Q418" s="9"/>
    </row>
    <row r="419" spans="1:17" ht="15">
      <c r="A419" s="5" t="str">
        <f t="shared" si="19"/>
        <v/>
      </c>
      <c r="B419" s="6"/>
      <c r="C419" s="5" t="str">
        <f>IFERROR(VLOOKUP(B419,Lists!$A$2:$B$25,2,FALSE),"")</f>
        <v/>
      </c>
      <c r="D419" s="7"/>
      <c r="E419" s="6"/>
      <c r="F419" s="6" t="str">
        <f t="shared" si="20"/>
        <v/>
      </c>
      <c r="G419" s="6"/>
      <c r="H419" s="6"/>
      <c r="I419" s="6"/>
      <c r="J419" s="7"/>
      <c r="K419" s="5" t="str" cm="1">
        <f t="array" ref="K419">IF(OR(A419="",B419="",D419="",E419=""),"",A419&amp;"_"&amp;SUBSTITUTE(B419," ","-")&amp;"_"&amp;D419&amp;"_"&amp;SUBSTITUTE(SUBSTITUTE(E419," ",""),"€","Euro")&amp;"_"&amp;IF(F419="","Unknown",F419)&amp;IF(F419="Commemorative",IF(G419="","","_"&amp;SUBSTITUTE(SUBSTITUTE(SUBSTITUTE(G419," ","-"),"/","-"),CHAR(39),"")),"")&amp;IF(I419="Duplicate","_Dub"&amp;IF(SUMPRODUCT(($B$2:B419=B419)*($D$2:D419=D419)*($E$2:E419=E419)*($F$2:F419=F419)*($G$2:G419=G419)*($I$2:I419="Duplicate"))&lt;=1,"",SUMPRODUCT(($B$2:B419=B419)*($D$2:D419=D419)*($E$2:E419=E419)*($F$2:F419=F419)*($G$2:G419=G419)*($I$2:I419="Duplicate"))-1),"")&amp;".jpeg")</f>
        <v/>
      </c>
      <c r="L419" s="6"/>
      <c r="M419" s="5" t="str">
        <f>IFERROR(VLOOKUP(E419,Specifications!$A$2:$D$9,2,FALSE),"")</f>
        <v/>
      </c>
      <c r="N419" s="5" t="str">
        <f>IFERROR(VLOOKUP(E419,Specifications!$A$2:$D$9,3,FALSE),"")</f>
        <v/>
      </c>
      <c r="O419" s="5" t="str">
        <f>IFERROR(VLOOKUP(E419,Specifications!$A$2:$D$9,4,FALSE),"")</f>
        <v/>
      </c>
      <c r="P419" s="8" t="str">
        <f t="shared" si="21"/>
        <v/>
      </c>
      <c r="Q419" s="9"/>
    </row>
    <row r="420" spans="1:17" ht="15">
      <c r="A420" s="5" t="str">
        <f t="shared" si="19"/>
        <v/>
      </c>
      <c r="B420" s="6"/>
      <c r="C420" s="5" t="str">
        <f>IFERROR(VLOOKUP(B420,Lists!$A$2:$B$25,2,FALSE),"")</f>
        <v/>
      </c>
      <c r="D420" s="7"/>
      <c r="E420" s="6"/>
      <c r="F420" s="6" t="str">
        <f t="shared" si="20"/>
        <v/>
      </c>
      <c r="G420" s="6"/>
      <c r="H420" s="6"/>
      <c r="I420" s="6"/>
      <c r="J420" s="7"/>
      <c r="K420" s="5" t="str" cm="1">
        <f t="array" ref="K420">IF(OR(A420="",B420="",D420="",E420=""),"",A420&amp;"_"&amp;SUBSTITUTE(B420," ","-")&amp;"_"&amp;D420&amp;"_"&amp;SUBSTITUTE(SUBSTITUTE(E420," ",""),"€","Euro")&amp;"_"&amp;IF(F420="","Unknown",F420)&amp;IF(F420="Commemorative",IF(G420="","","_"&amp;SUBSTITUTE(SUBSTITUTE(SUBSTITUTE(G420," ","-"),"/","-"),CHAR(39),"")),"")&amp;IF(I420="Duplicate","_Dub"&amp;IF(SUMPRODUCT(($B$2:B420=B420)*($D$2:D420=D420)*($E$2:E420=E420)*($F$2:F420=F420)*($G$2:G420=G420)*($I$2:I420="Duplicate"))&lt;=1,"",SUMPRODUCT(($B$2:B420=B420)*($D$2:D420=D420)*($E$2:E420=E420)*($F$2:F420=F420)*($G$2:G420=G420)*($I$2:I420="Duplicate"))-1),"")&amp;".jpeg")</f>
        <v/>
      </c>
      <c r="L420" s="6"/>
      <c r="M420" s="5" t="str">
        <f>IFERROR(VLOOKUP(E420,Specifications!$A$2:$D$9,2,FALSE),"")</f>
        <v/>
      </c>
      <c r="N420" s="5" t="str">
        <f>IFERROR(VLOOKUP(E420,Specifications!$A$2:$D$9,3,FALSE),"")</f>
        <v/>
      </c>
      <c r="O420" s="5" t="str">
        <f>IFERROR(VLOOKUP(E420,Specifications!$A$2:$D$9,4,FALSE),"")</f>
        <v/>
      </c>
      <c r="P420" s="8" t="str">
        <f t="shared" si="21"/>
        <v/>
      </c>
      <c r="Q420" s="9"/>
    </row>
    <row r="421" spans="1:17" ht="15">
      <c r="A421" s="5" t="str">
        <f t="shared" si="19"/>
        <v/>
      </c>
      <c r="B421" s="6"/>
      <c r="C421" s="5" t="str">
        <f>IFERROR(VLOOKUP(B421,Lists!$A$2:$B$25,2,FALSE),"")</f>
        <v/>
      </c>
      <c r="D421" s="7"/>
      <c r="E421" s="6"/>
      <c r="F421" s="6" t="str">
        <f t="shared" si="20"/>
        <v/>
      </c>
      <c r="G421" s="6"/>
      <c r="H421" s="6"/>
      <c r="I421" s="6"/>
      <c r="J421" s="7"/>
      <c r="K421" s="5" t="str" cm="1">
        <f t="array" ref="K421">IF(OR(A421="",B421="",D421="",E421=""),"",A421&amp;"_"&amp;SUBSTITUTE(B421," ","-")&amp;"_"&amp;D421&amp;"_"&amp;SUBSTITUTE(SUBSTITUTE(E421," ",""),"€","Euro")&amp;"_"&amp;IF(F421="","Unknown",F421)&amp;IF(F421="Commemorative",IF(G421="","","_"&amp;SUBSTITUTE(SUBSTITUTE(SUBSTITUTE(G421," ","-"),"/","-"),CHAR(39),"")),"")&amp;IF(I421="Duplicate","_Dub"&amp;IF(SUMPRODUCT(($B$2:B421=B421)*($D$2:D421=D421)*($E$2:E421=E421)*($F$2:F421=F421)*($G$2:G421=G421)*($I$2:I421="Duplicate"))&lt;=1,"",SUMPRODUCT(($B$2:B421=B421)*($D$2:D421=D421)*($E$2:E421=E421)*($F$2:F421=F421)*($G$2:G421=G421)*($I$2:I421="Duplicate"))-1),"")&amp;".jpeg")</f>
        <v/>
      </c>
      <c r="L421" s="6"/>
      <c r="M421" s="5" t="str">
        <f>IFERROR(VLOOKUP(E421,Specifications!$A$2:$D$9,2,FALSE),"")</f>
        <v/>
      </c>
      <c r="N421" s="5" t="str">
        <f>IFERROR(VLOOKUP(E421,Specifications!$A$2:$D$9,3,FALSE),"")</f>
        <v/>
      </c>
      <c r="O421" s="5" t="str">
        <f>IFERROR(VLOOKUP(E421,Specifications!$A$2:$D$9,4,FALSE),"")</f>
        <v/>
      </c>
      <c r="P421" s="8" t="str">
        <f t="shared" si="21"/>
        <v/>
      </c>
      <c r="Q421" s="9"/>
    </row>
    <row r="422" spans="1:17" ht="15">
      <c r="A422" s="5" t="str">
        <f t="shared" si="19"/>
        <v/>
      </c>
      <c r="B422" s="6"/>
      <c r="C422" s="5" t="str">
        <f>IFERROR(VLOOKUP(B422,Lists!$A$2:$B$25,2,FALSE),"")</f>
        <v/>
      </c>
      <c r="D422" s="7"/>
      <c r="E422" s="6"/>
      <c r="F422" s="6" t="str">
        <f t="shared" si="20"/>
        <v/>
      </c>
      <c r="G422" s="6"/>
      <c r="H422" s="6"/>
      <c r="I422" s="6"/>
      <c r="J422" s="7"/>
      <c r="K422" s="5" t="str" cm="1">
        <f t="array" ref="K422">IF(OR(A422="",B422="",D422="",E422=""),"",A422&amp;"_"&amp;SUBSTITUTE(B422," ","-")&amp;"_"&amp;D422&amp;"_"&amp;SUBSTITUTE(SUBSTITUTE(E422," ",""),"€","Euro")&amp;"_"&amp;IF(F422="","Unknown",F422)&amp;IF(F422="Commemorative",IF(G422="","","_"&amp;SUBSTITUTE(SUBSTITUTE(SUBSTITUTE(G422," ","-"),"/","-"),CHAR(39),"")),"")&amp;IF(I422="Duplicate","_Dub"&amp;IF(SUMPRODUCT(($B$2:B422=B422)*($D$2:D422=D422)*($E$2:E422=E422)*($F$2:F422=F422)*($G$2:G422=G422)*($I$2:I422="Duplicate"))&lt;=1,"",SUMPRODUCT(($B$2:B422=B422)*($D$2:D422=D422)*($E$2:E422=E422)*($F$2:F422=F422)*($G$2:G422=G422)*($I$2:I422="Duplicate"))-1),"")&amp;".jpeg")</f>
        <v/>
      </c>
      <c r="L422" s="6"/>
      <c r="M422" s="5" t="str">
        <f>IFERROR(VLOOKUP(E422,Specifications!$A$2:$D$9,2,FALSE),"")</f>
        <v/>
      </c>
      <c r="N422" s="5" t="str">
        <f>IFERROR(VLOOKUP(E422,Specifications!$A$2:$D$9,3,FALSE),"")</f>
        <v/>
      </c>
      <c r="O422" s="5" t="str">
        <f>IFERROR(VLOOKUP(E422,Specifications!$A$2:$D$9,4,FALSE),"")</f>
        <v/>
      </c>
      <c r="P422" s="8" t="str">
        <f t="shared" si="21"/>
        <v/>
      </c>
      <c r="Q422" s="9"/>
    </row>
    <row r="423" spans="1:17" ht="15">
      <c r="A423" s="5" t="str">
        <f t="shared" si="19"/>
        <v/>
      </c>
      <c r="B423" s="6"/>
      <c r="C423" s="5" t="str">
        <f>IFERROR(VLOOKUP(B423,Lists!$A$2:$B$25,2,FALSE),"")</f>
        <v/>
      </c>
      <c r="D423" s="7"/>
      <c r="E423" s="6"/>
      <c r="F423" s="6" t="str">
        <f t="shared" si="20"/>
        <v/>
      </c>
      <c r="G423" s="6"/>
      <c r="H423" s="6"/>
      <c r="I423" s="6"/>
      <c r="J423" s="7"/>
      <c r="K423" s="5" t="str" cm="1">
        <f t="array" ref="K423">IF(OR(A423="",B423="",D423="",E423=""),"",A423&amp;"_"&amp;SUBSTITUTE(B423," ","-")&amp;"_"&amp;D423&amp;"_"&amp;SUBSTITUTE(SUBSTITUTE(E423," ",""),"€","Euro")&amp;"_"&amp;IF(F423="","Unknown",F423)&amp;IF(F423="Commemorative",IF(G423="","","_"&amp;SUBSTITUTE(SUBSTITUTE(SUBSTITUTE(G423," ","-"),"/","-"),CHAR(39),"")),"")&amp;IF(I423="Duplicate","_Dub"&amp;IF(SUMPRODUCT(($B$2:B423=B423)*($D$2:D423=D423)*($E$2:E423=E423)*($F$2:F423=F423)*($G$2:G423=G423)*($I$2:I423="Duplicate"))&lt;=1,"",SUMPRODUCT(($B$2:B423=B423)*($D$2:D423=D423)*($E$2:E423=E423)*($F$2:F423=F423)*($G$2:G423=G423)*($I$2:I423="Duplicate"))-1),"")&amp;".jpeg")</f>
        <v/>
      </c>
      <c r="L423" s="6"/>
      <c r="M423" s="5" t="str">
        <f>IFERROR(VLOOKUP(E423,Specifications!$A$2:$D$9,2,FALSE),"")</f>
        <v/>
      </c>
      <c r="N423" s="5" t="str">
        <f>IFERROR(VLOOKUP(E423,Specifications!$A$2:$D$9,3,FALSE),"")</f>
        <v/>
      </c>
      <c r="O423" s="5" t="str">
        <f>IFERROR(VLOOKUP(E423,Specifications!$A$2:$D$9,4,FALSE),"")</f>
        <v/>
      </c>
      <c r="P423" s="8" t="str">
        <f t="shared" si="21"/>
        <v/>
      </c>
      <c r="Q423" s="9"/>
    </row>
    <row r="424" spans="1:17" ht="15">
      <c r="A424" s="5" t="str">
        <f t="shared" si="19"/>
        <v/>
      </c>
      <c r="B424" s="6"/>
      <c r="C424" s="5" t="str">
        <f>IFERROR(VLOOKUP(B424,Lists!$A$2:$B$25,2,FALSE),"")</f>
        <v/>
      </c>
      <c r="D424" s="7"/>
      <c r="E424" s="6"/>
      <c r="F424" s="6" t="str">
        <f t="shared" si="20"/>
        <v/>
      </c>
      <c r="G424" s="6"/>
      <c r="H424" s="6"/>
      <c r="I424" s="6"/>
      <c r="J424" s="7"/>
      <c r="K424" s="5" t="str" cm="1">
        <f t="array" ref="K424">IF(OR(A424="",B424="",D424="",E424=""),"",A424&amp;"_"&amp;SUBSTITUTE(B424," ","-")&amp;"_"&amp;D424&amp;"_"&amp;SUBSTITUTE(SUBSTITUTE(E424," ",""),"€","Euro")&amp;"_"&amp;IF(F424="","Unknown",F424)&amp;IF(F424="Commemorative",IF(G424="","","_"&amp;SUBSTITUTE(SUBSTITUTE(SUBSTITUTE(G424," ","-"),"/","-"),CHAR(39),"")),"")&amp;IF(I424="Duplicate","_Dub"&amp;IF(SUMPRODUCT(($B$2:B424=B424)*($D$2:D424=D424)*($E$2:E424=E424)*($F$2:F424=F424)*($G$2:G424=G424)*($I$2:I424="Duplicate"))&lt;=1,"",SUMPRODUCT(($B$2:B424=B424)*($D$2:D424=D424)*($E$2:E424=E424)*($F$2:F424=F424)*($G$2:G424=G424)*($I$2:I424="Duplicate"))-1),"")&amp;".jpeg")</f>
        <v/>
      </c>
      <c r="L424" s="6"/>
      <c r="M424" s="5" t="str">
        <f>IFERROR(VLOOKUP(E424,Specifications!$A$2:$D$9,2,FALSE),"")</f>
        <v/>
      </c>
      <c r="N424" s="5" t="str">
        <f>IFERROR(VLOOKUP(E424,Specifications!$A$2:$D$9,3,FALSE),"")</f>
        <v/>
      </c>
      <c r="O424" s="5" t="str">
        <f>IFERROR(VLOOKUP(E424,Specifications!$A$2:$D$9,4,FALSE),"")</f>
        <v/>
      </c>
      <c r="P424" s="8" t="str">
        <f t="shared" si="21"/>
        <v/>
      </c>
      <c r="Q424" s="9"/>
    </row>
    <row r="425" spans="1:17" ht="15">
      <c r="A425" s="5" t="str">
        <f t="shared" si="19"/>
        <v/>
      </c>
      <c r="B425" s="6"/>
      <c r="C425" s="5" t="str">
        <f>IFERROR(VLOOKUP(B425,Lists!$A$2:$B$25,2,FALSE),"")</f>
        <v/>
      </c>
      <c r="D425" s="7"/>
      <c r="E425" s="6"/>
      <c r="F425" s="6" t="str">
        <f t="shared" si="20"/>
        <v/>
      </c>
      <c r="G425" s="6"/>
      <c r="H425" s="6"/>
      <c r="I425" s="6"/>
      <c r="J425" s="7"/>
      <c r="K425" s="5" t="str" cm="1">
        <f t="array" ref="K425">IF(OR(A425="",B425="",D425="",E425=""),"",A425&amp;"_"&amp;SUBSTITUTE(B425," ","-")&amp;"_"&amp;D425&amp;"_"&amp;SUBSTITUTE(SUBSTITUTE(E425," ",""),"€","Euro")&amp;"_"&amp;IF(F425="","Unknown",F425)&amp;IF(F425="Commemorative",IF(G425="","","_"&amp;SUBSTITUTE(SUBSTITUTE(SUBSTITUTE(G425," ","-"),"/","-"),CHAR(39),"")),"")&amp;IF(I425="Duplicate","_Dub"&amp;IF(SUMPRODUCT(($B$2:B425=B425)*($D$2:D425=D425)*($E$2:E425=E425)*($F$2:F425=F425)*($G$2:G425=G425)*($I$2:I425="Duplicate"))&lt;=1,"",SUMPRODUCT(($B$2:B425=B425)*($D$2:D425=D425)*($E$2:E425=E425)*($F$2:F425=F425)*($G$2:G425=G425)*($I$2:I425="Duplicate"))-1),"")&amp;".jpeg")</f>
        <v/>
      </c>
      <c r="L425" s="6"/>
      <c r="M425" s="5" t="str">
        <f>IFERROR(VLOOKUP(E425,Specifications!$A$2:$D$9,2,FALSE),"")</f>
        <v/>
      </c>
      <c r="N425" s="5" t="str">
        <f>IFERROR(VLOOKUP(E425,Specifications!$A$2:$D$9,3,FALSE),"")</f>
        <v/>
      </c>
      <c r="O425" s="5" t="str">
        <f>IFERROR(VLOOKUP(E425,Specifications!$A$2:$D$9,4,FALSE),"")</f>
        <v/>
      </c>
      <c r="P425" s="8" t="str">
        <f t="shared" si="21"/>
        <v/>
      </c>
      <c r="Q425" s="9"/>
    </row>
    <row r="426" spans="1:17" ht="15">
      <c r="A426" s="5" t="str">
        <f t="shared" si="19"/>
        <v/>
      </c>
      <c r="B426" s="6"/>
      <c r="C426" s="5" t="str">
        <f>IFERROR(VLOOKUP(B426,Lists!$A$2:$B$25,2,FALSE),"")</f>
        <v/>
      </c>
      <c r="D426" s="7"/>
      <c r="E426" s="6"/>
      <c r="F426" s="6" t="str">
        <f t="shared" si="20"/>
        <v/>
      </c>
      <c r="G426" s="6"/>
      <c r="H426" s="6"/>
      <c r="I426" s="6"/>
      <c r="J426" s="7"/>
      <c r="K426" s="5" t="str" cm="1">
        <f t="array" ref="K426">IF(OR(A426="",B426="",D426="",E426=""),"",A426&amp;"_"&amp;SUBSTITUTE(B426," ","-")&amp;"_"&amp;D426&amp;"_"&amp;SUBSTITUTE(SUBSTITUTE(E426," ",""),"€","Euro")&amp;"_"&amp;IF(F426="","Unknown",F426)&amp;IF(F426="Commemorative",IF(G426="","","_"&amp;SUBSTITUTE(SUBSTITUTE(SUBSTITUTE(G426," ","-"),"/","-"),CHAR(39),"")),"")&amp;IF(I426="Duplicate","_Dub"&amp;IF(SUMPRODUCT(($B$2:B426=B426)*($D$2:D426=D426)*($E$2:E426=E426)*($F$2:F426=F426)*($G$2:G426=G426)*($I$2:I426="Duplicate"))&lt;=1,"",SUMPRODUCT(($B$2:B426=B426)*($D$2:D426=D426)*($E$2:E426=E426)*($F$2:F426=F426)*($G$2:G426=G426)*($I$2:I426="Duplicate"))-1),"")&amp;".jpeg")</f>
        <v/>
      </c>
      <c r="L426" s="6"/>
      <c r="M426" s="5" t="str">
        <f>IFERROR(VLOOKUP(E426,Specifications!$A$2:$D$9,2,FALSE),"")</f>
        <v/>
      </c>
      <c r="N426" s="5" t="str">
        <f>IFERROR(VLOOKUP(E426,Specifications!$A$2:$D$9,3,FALSE),"")</f>
        <v/>
      </c>
      <c r="O426" s="5" t="str">
        <f>IFERROR(VLOOKUP(E426,Specifications!$A$2:$D$9,4,FALSE),"")</f>
        <v/>
      </c>
      <c r="P426" s="8" t="str">
        <f t="shared" si="21"/>
        <v/>
      </c>
      <c r="Q426" s="9"/>
    </row>
    <row r="427" spans="1:17" ht="15">
      <c r="A427" s="5" t="str">
        <f t="shared" si="19"/>
        <v/>
      </c>
      <c r="B427" s="6"/>
      <c r="C427" s="5" t="str">
        <f>IFERROR(VLOOKUP(B427,Lists!$A$2:$B$25,2,FALSE),"")</f>
        <v/>
      </c>
      <c r="D427" s="7"/>
      <c r="E427" s="6"/>
      <c r="F427" s="6" t="str">
        <f t="shared" si="20"/>
        <v/>
      </c>
      <c r="G427" s="6"/>
      <c r="H427" s="6"/>
      <c r="I427" s="6"/>
      <c r="J427" s="7"/>
      <c r="K427" s="5" t="str" cm="1">
        <f t="array" ref="K427">IF(OR(A427="",B427="",D427="",E427=""),"",A427&amp;"_"&amp;SUBSTITUTE(B427," ","-")&amp;"_"&amp;D427&amp;"_"&amp;SUBSTITUTE(SUBSTITUTE(E427," ",""),"€","Euro")&amp;"_"&amp;IF(F427="","Unknown",F427)&amp;IF(F427="Commemorative",IF(G427="","","_"&amp;SUBSTITUTE(SUBSTITUTE(SUBSTITUTE(G427," ","-"),"/","-"),CHAR(39),"")),"")&amp;IF(I427="Duplicate","_Dub"&amp;IF(SUMPRODUCT(($B$2:B427=B427)*($D$2:D427=D427)*($E$2:E427=E427)*($F$2:F427=F427)*($G$2:G427=G427)*($I$2:I427="Duplicate"))&lt;=1,"",SUMPRODUCT(($B$2:B427=B427)*($D$2:D427=D427)*($E$2:E427=E427)*($F$2:F427=F427)*($G$2:G427=G427)*($I$2:I427="Duplicate"))-1),"")&amp;".jpeg")</f>
        <v/>
      </c>
      <c r="L427" s="6"/>
      <c r="M427" s="5" t="str">
        <f>IFERROR(VLOOKUP(E427,Specifications!$A$2:$D$9,2,FALSE),"")</f>
        <v/>
      </c>
      <c r="N427" s="5" t="str">
        <f>IFERROR(VLOOKUP(E427,Specifications!$A$2:$D$9,3,FALSE),"")</f>
        <v/>
      </c>
      <c r="O427" s="5" t="str">
        <f>IFERROR(VLOOKUP(E427,Specifications!$A$2:$D$9,4,FALSE),"")</f>
        <v/>
      </c>
      <c r="P427" s="8" t="str">
        <f t="shared" si="21"/>
        <v/>
      </c>
      <c r="Q427" s="9"/>
    </row>
    <row r="428" spans="1:17" ht="15">
      <c r="A428" s="5" t="str">
        <f t="shared" si="19"/>
        <v/>
      </c>
      <c r="B428" s="6"/>
      <c r="C428" s="5" t="str">
        <f>IFERROR(VLOOKUP(B428,Lists!$A$2:$B$25,2,FALSE),"")</f>
        <v/>
      </c>
      <c r="D428" s="7"/>
      <c r="E428" s="6"/>
      <c r="F428" s="6" t="str">
        <f t="shared" si="20"/>
        <v/>
      </c>
      <c r="G428" s="6"/>
      <c r="H428" s="6"/>
      <c r="I428" s="6"/>
      <c r="J428" s="7"/>
      <c r="K428" s="5" t="str" cm="1">
        <f t="array" ref="K428">IF(OR(A428="",B428="",D428="",E428=""),"",A428&amp;"_"&amp;SUBSTITUTE(B428," ","-")&amp;"_"&amp;D428&amp;"_"&amp;SUBSTITUTE(SUBSTITUTE(E428," ",""),"€","Euro")&amp;"_"&amp;IF(F428="","Unknown",F428)&amp;IF(F428="Commemorative",IF(G428="","","_"&amp;SUBSTITUTE(SUBSTITUTE(SUBSTITUTE(G428," ","-"),"/","-"),CHAR(39),"")),"")&amp;IF(I428="Duplicate","_Dub"&amp;IF(SUMPRODUCT(($B$2:B428=B428)*($D$2:D428=D428)*($E$2:E428=E428)*($F$2:F428=F428)*($G$2:G428=G428)*($I$2:I428="Duplicate"))&lt;=1,"",SUMPRODUCT(($B$2:B428=B428)*($D$2:D428=D428)*($E$2:E428=E428)*($F$2:F428=F428)*($G$2:G428=G428)*($I$2:I428="Duplicate"))-1),"")&amp;".jpeg")</f>
        <v/>
      </c>
      <c r="L428" s="6"/>
      <c r="M428" s="5" t="str">
        <f>IFERROR(VLOOKUP(E428,Specifications!$A$2:$D$9,2,FALSE),"")</f>
        <v/>
      </c>
      <c r="N428" s="5" t="str">
        <f>IFERROR(VLOOKUP(E428,Specifications!$A$2:$D$9,3,FALSE),"")</f>
        <v/>
      </c>
      <c r="O428" s="5" t="str">
        <f>IFERROR(VLOOKUP(E428,Specifications!$A$2:$D$9,4,FALSE),"")</f>
        <v/>
      </c>
      <c r="P428" s="8" t="str">
        <f t="shared" si="21"/>
        <v/>
      </c>
      <c r="Q428" s="9"/>
    </row>
    <row r="429" spans="1:17" ht="15">
      <c r="A429" s="5" t="str">
        <f t="shared" si="19"/>
        <v/>
      </c>
      <c r="B429" s="6"/>
      <c r="C429" s="5" t="str">
        <f>IFERROR(VLOOKUP(B429,Lists!$A$2:$B$25,2,FALSE),"")</f>
        <v/>
      </c>
      <c r="D429" s="7"/>
      <c r="E429" s="6"/>
      <c r="F429" s="6" t="str">
        <f t="shared" si="20"/>
        <v/>
      </c>
      <c r="G429" s="6"/>
      <c r="H429" s="6"/>
      <c r="I429" s="6"/>
      <c r="J429" s="7"/>
      <c r="K429" s="5" t="str" cm="1">
        <f t="array" ref="K429">IF(OR(A429="",B429="",D429="",E429=""),"",A429&amp;"_"&amp;SUBSTITUTE(B429," ","-")&amp;"_"&amp;D429&amp;"_"&amp;SUBSTITUTE(SUBSTITUTE(E429," ",""),"€","Euro")&amp;"_"&amp;IF(F429="","Unknown",F429)&amp;IF(F429="Commemorative",IF(G429="","","_"&amp;SUBSTITUTE(SUBSTITUTE(SUBSTITUTE(G429," ","-"),"/","-"),CHAR(39),"")),"")&amp;IF(I429="Duplicate","_Dub"&amp;IF(SUMPRODUCT(($B$2:B429=B429)*($D$2:D429=D429)*($E$2:E429=E429)*($F$2:F429=F429)*($G$2:G429=G429)*($I$2:I429="Duplicate"))&lt;=1,"",SUMPRODUCT(($B$2:B429=B429)*($D$2:D429=D429)*($E$2:E429=E429)*($F$2:F429=F429)*($G$2:G429=G429)*($I$2:I429="Duplicate"))-1),"")&amp;".jpeg")</f>
        <v/>
      </c>
      <c r="L429" s="6"/>
      <c r="M429" s="5" t="str">
        <f>IFERROR(VLOOKUP(E429,Specifications!$A$2:$D$9,2,FALSE),"")</f>
        <v/>
      </c>
      <c r="N429" s="5" t="str">
        <f>IFERROR(VLOOKUP(E429,Specifications!$A$2:$D$9,3,FALSE),"")</f>
        <v/>
      </c>
      <c r="O429" s="5" t="str">
        <f>IFERROR(VLOOKUP(E429,Specifications!$A$2:$D$9,4,FALSE),"")</f>
        <v/>
      </c>
      <c r="P429" s="8" t="str">
        <f t="shared" si="21"/>
        <v/>
      </c>
      <c r="Q429" s="9"/>
    </row>
    <row r="430" spans="1:17" ht="15">
      <c r="A430" s="5" t="str">
        <f t="shared" si="19"/>
        <v/>
      </c>
      <c r="B430" s="6"/>
      <c r="C430" s="5" t="str">
        <f>IFERROR(VLOOKUP(B430,Lists!$A$2:$B$25,2,FALSE),"")</f>
        <v/>
      </c>
      <c r="D430" s="7"/>
      <c r="E430" s="6"/>
      <c r="F430" s="6" t="str">
        <f t="shared" si="20"/>
        <v/>
      </c>
      <c r="G430" s="6"/>
      <c r="H430" s="6"/>
      <c r="I430" s="6"/>
      <c r="J430" s="7"/>
      <c r="K430" s="5" t="str" cm="1">
        <f t="array" ref="K430">IF(OR(A430="",B430="",D430="",E430=""),"",A430&amp;"_"&amp;SUBSTITUTE(B430," ","-")&amp;"_"&amp;D430&amp;"_"&amp;SUBSTITUTE(SUBSTITUTE(E430," ",""),"€","Euro")&amp;"_"&amp;IF(F430="","Unknown",F430)&amp;IF(F430="Commemorative",IF(G430="","","_"&amp;SUBSTITUTE(SUBSTITUTE(SUBSTITUTE(G430," ","-"),"/","-"),CHAR(39),"")),"")&amp;IF(I430="Duplicate","_Dub"&amp;IF(SUMPRODUCT(($B$2:B430=B430)*($D$2:D430=D430)*($E$2:E430=E430)*($F$2:F430=F430)*($G$2:G430=G430)*($I$2:I430="Duplicate"))&lt;=1,"",SUMPRODUCT(($B$2:B430=B430)*($D$2:D430=D430)*($E$2:E430=E430)*($F$2:F430=F430)*($G$2:G430=G430)*($I$2:I430="Duplicate"))-1),"")&amp;".jpeg")</f>
        <v/>
      </c>
      <c r="L430" s="6"/>
      <c r="M430" s="5" t="str">
        <f>IFERROR(VLOOKUP(E430,Specifications!$A$2:$D$9,2,FALSE),"")</f>
        <v/>
      </c>
      <c r="N430" s="5" t="str">
        <f>IFERROR(VLOOKUP(E430,Specifications!$A$2:$D$9,3,FALSE),"")</f>
        <v/>
      </c>
      <c r="O430" s="5" t="str">
        <f>IFERROR(VLOOKUP(E430,Specifications!$A$2:$D$9,4,FALSE),"")</f>
        <v/>
      </c>
      <c r="P430" s="8" t="str">
        <f t="shared" si="21"/>
        <v/>
      </c>
      <c r="Q430" s="9"/>
    </row>
    <row r="431" spans="1:17" ht="15">
      <c r="A431" s="5" t="str">
        <f t="shared" si="19"/>
        <v/>
      </c>
      <c r="B431" s="6"/>
      <c r="C431" s="5" t="str">
        <f>IFERROR(VLOOKUP(B431,Lists!$A$2:$B$25,2,FALSE),"")</f>
        <v/>
      </c>
      <c r="D431" s="7"/>
      <c r="E431" s="6"/>
      <c r="F431" s="6" t="str">
        <f t="shared" si="20"/>
        <v/>
      </c>
      <c r="G431" s="6"/>
      <c r="H431" s="6"/>
      <c r="I431" s="6"/>
      <c r="J431" s="7"/>
      <c r="K431" s="5" t="str" cm="1">
        <f t="array" ref="K431">IF(OR(A431="",B431="",D431="",E431=""),"",A431&amp;"_"&amp;SUBSTITUTE(B431," ","-")&amp;"_"&amp;D431&amp;"_"&amp;SUBSTITUTE(SUBSTITUTE(E431," ",""),"€","Euro")&amp;"_"&amp;IF(F431="","Unknown",F431)&amp;IF(F431="Commemorative",IF(G431="","","_"&amp;SUBSTITUTE(SUBSTITUTE(SUBSTITUTE(G431," ","-"),"/","-"),CHAR(39),"")),"")&amp;IF(I431="Duplicate","_Dub"&amp;IF(SUMPRODUCT(($B$2:B431=B431)*($D$2:D431=D431)*($E$2:E431=E431)*($F$2:F431=F431)*($G$2:G431=G431)*($I$2:I431="Duplicate"))&lt;=1,"",SUMPRODUCT(($B$2:B431=B431)*($D$2:D431=D431)*($E$2:E431=E431)*($F$2:F431=F431)*($G$2:G431=G431)*($I$2:I431="Duplicate"))-1),"")&amp;".jpeg")</f>
        <v/>
      </c>
      <c r="L431" s="6"/>
      <c r="M431" s="5" t="str">
        <f>IFERROR(VLOOKUP(E431,Specifications!$A$2:$D$9,2,FALSE),"")</f>
        <v/>
      </c>
      <c r="N431" s="5" t="str">
        <f>IFERROR(VLOOKUP(E431,Specifications!$A$2:$D$9,3,FALSE),"")</f>
        <v/>
      </c>
      <c r="O431" s="5" t="str">
        <f>IFERROR(VLOOKUP(E431,Specifications!$A$2:$D$9,4,FALSE),"")</f>
        <v/>
      </c>
      <c r="P431" s="8" t="str">
        <f t="shared" si="21"/>
        <v/>
      </c>
      <c r="Q431" s="9"/>
    </row>
    <row r="432" spans="1:17" ht="15">
      <c r="A432" s="5" t="str">
        <f t="shared" si="19"/>
        <v/>
      </c>
      <c r="B432" s="6"/>
      <c r="C432" s="5" t="str">
        <f>IFERROR(VLOOKUP(B432,Lists!$A$2:$B$25,2,FALSE),"")</f>
        <v/>
      </c>
      <c r="D432" s="7"/>
      <c r="E432" s="6"/>
      <c r="F432" s="6" t="str">
        <f t="shared" si="20"/>
        <v/>
      </c>
      <c r="G432" s="6"/>
      <c r="H432" s="6"/>
      <c r="I432" s="6"/>
      <c r="J432" s="7"/>
      <c r="K432" s="5" t="str" cm="1">
        <f t="array" ref="K432">IF(OR(A432="",B432="",D432="",E432=""),"",A432&amp;"_"&amp;SUBSTITUTE(B432," ","-")&amp;"_"&amp;D432&amp;"_"&amp;SUBSTITUTE(SUBSTITUTE(E432," ",""),"€","Euro")&amp;"_"&amp;IF(F432="","Unknown",F432)&amp;IF(F432="Commemorative",IF(G432="","","_"&amp;SUBSTITUTE(SUBSTITUTE(SUBSTITUTE(G432," ","-"),"/","-"),CHAR(39),"")),"")&amp;IF(I432="Duplicate","_Dub"&amp;IF(SUMPRODUCT(($B$2:B432=B432)*($D$2:D432=D432)*($E$2:E432=E432)*($F$2:F432=F432)*($G$2:G432=G432)*($I$2:I432="Duplicate"))&lt;=1,"",SUMPRODUCT(($B$2:B432=B432)*($D$2:D432=D432)*($E$2:E432=E432)*($F$2:F432=F432)*($G$2:G432=G432)*($I$2:I432="Duplicate"))-1),"")&amp;".jpeg")</f>
        <v/>
      </c>
      <c r="L432" s="6"/>
      <c r="M432" s="5" t="str">
        <f>IFERROR(VLOOKUP(E432,Specifications!$A$2:$D$9,2,FALSE),"")</f>
        <v/>
      </c>
      <c r="N432" s="5" t="str">
        <f>IFERROR(VLOOKUP(E432,Specifications!$A$2:$D$9,3,FALSE),"")</f>
        <v/>
      </c>
      <c r="O432" s="5" t="str">
        <f>IFERROR(VLOOKUP(E432,Specifications!$A$2:$D$9,4,FALSE),"")</f>
        <v/>
      </c>
      <c r="P432" s="8" t="str">
        <f t="shared" si="21"/>
        <v/>
      </c>
      <c r="Q432" s="9"/>
    </row>
    <row r="433" spans="1:17" ht="15">
      <c r="A433" s="5" t="str">
        <f t="shared" si="19"/>
        <v/>
      </c>
      <c r="B433" s="6"/>
      <c r="C433" s="5" t="str">
        <f>IFERROR(VLOOKUP(B433,Lists!$A$2:$B$25,2,FALSE),"")</f>
        <v/>
      </c>
      <c r="D433" s="7"/>
      <c r="E433" s="6"/>
      <c r="F433" s="6" t="str">
        <f t="shared" si="20"/>
        <v/>
      </c>
      <c r="G433" s="6"/>
      <c r="H433" s="6"/>
      <c r="I433" s="6"/>
      <c r="J433" s="7"/>
      <c r="K433" s="5" t="str" cm="1">
        <f t="array" ref="K433">IF(OR(A433="",B433="",D433="",E433=""),"",A433&amp;"_"&amp;SUBSTITUTE(B433," ","-")&amp;"_"&amp;D433&amp;"_"&amp;SUBSTITUTE(SUBSTITUTE(E433," ",""),"€","Euro")&amp;"_"&amp;IF(F433="","Unknown",F433)&amp;IF(F433="Commemorative",IF(G433="","","_"&amp;SUBSTITUTE(SUBSTITUTE(SUBSTITUTE(G433," ","-"),"/","-"),CHAR(39),"")),"")&amp;IF(I433="Duplicate","_Dub"&amp;IF(SUMPRODUCT(($B$2:B433=B433)*($D$2:D433=D433)*($E$2:E433=E433)*($F$2:F433=F433)*($G$2:G433=G433)*($I$2:I433="Duplicate"))&lt;=1,"",SUMPRODUCT(($B$2:B433=B433)*($D$2:D433=D433)*($E$2:E433=E433)*($F$2:F433=F433)*($G$2:G433=G433)*($I$2:I433="Duplicate"))-1),"")&amp;".jpeg")</f>
        <v/>
      </c>
      <c r="L433" s="6"/>
      <c r="M433" s="5" t="str">
        <f>IFERROR(VLOOKUP(E433,Specifications!$A$2:$D$9,2,FALSE),"")</f>
        <v/>
      </c>
      <c r="N433" s="5" t="str">
        <f>IFERROR(VLOOKUP(E433,Specifications!$A$2:$D$9,3,FALSE),"")</f>
        <v/>
      </c>
      <c r="O433" s="5" t="str">
        <f>IFERROR(VLOOKUP(E433,Specifications!$A$2:$D$9,4,FALSE),"")</f>
        <v/>
      </c>
      <c r="P433" s="8" t="str">
        <f t="shared" si="21"/>
        <v/>
      </c>
      <c r="Q433" s="9"/>
    </row>
    <row r="434" spans="1:17" ht="15">
      <c r="A434" s="5" t="str">
        <f t="shared" si="19"/>
        <v/>
      </c>
      <c r="B434" s="6"/>
      <c r="C434" s="5" t="str">
        <f>IFERROR(VLOOKUP(B434,Lists!$A$2:$B$25,2,FALSE),"")</f>
        <v/>
      </c>
      <c r="D434" s="7"/>
      <c r="E434" s="6"/>
      <c r="F434" s="6" t="str">
        <f t="shared" si="20"/>
        <v/>
      </c>
      <c r="G434" s="6"/>
      <c r="H434" s="6"/>
      <c r="I434" s="6"/>
      <c r="J434" s="7"/>
      <c r="K434" s="5" t="str" cm="1">
        <f t="array" ref="K434">IF(OR(A434="",B434="",D434="",E434=""),"",A434&amp;"_"&amp;SUBSTITUTE(B434," ","-")&amp;"_"&amp;D434&amp;"_"&amp;SUBSTITUTE(SUBSTITUTE(E434," ",""),"€","Euro")&amp;"_"&amp;IF(F434="","Unknown",F434)&amp;IF(F434="Commemorative",IF(G434="","","_"&amp;SUBSTITUTE(SUBSTITUTE(SUBSTITUTE(G434," ","-"),"/","-"),CHAR(39),"")),"")&amp;IF(I434="Duplicate","_Dub"&amp;IF(SUMPRODUCT(($B$2:B434=B434)*($D$2:D434=D434)*($E$2:E434=E434)*($F$2:F434=F434)*($G$2:G434=G434)*($I$2:I434="Duplicate"))&lt;=1,"",SUMPRODUCT(($B$2:B434=B434)*($D$2:D434=D434)*($E$2:E434=E434)*($F$2:F434=F434)*($G$2:G434=G434)*($I$2:I434="Duplicate"))-1),"")&amp;".jpeg")</f>
        <v/>
      </c>
      <c r="L434" s="6"/>
      <c r="M434" s="5" t="str">
        <f>IFERROR(VLOOKUP(E434,Specifications!$A$2:$D$9,2,FALSE),"")</f>
        <v/>
      </c>
      <c r="N434" s="5" t="str">
        <f>IFERROR(VLOOKUP(E434,Specifications!$A$2:$D$9,3,FALSE),"")</f>
        <v/>
      </c>
      <c r="O434" s="5" t="str">
        <f>IFERROR(VLOOKUP(E434,Specifications!$A$2:$D$9,4,FALSE),"")</f>
        <v/>
      </c>
      <c r="P434" s="8" t="str">
        <f t="shared" si="21"/>
        <v/>
      </c>
      <c r="Q434" s="9"/>
    </row>
    <row r="435" spans="1:17" ht="15">
      <c r="A435" s="5" t="str">
        <f t="shared" si="19"/>
        <v/>
      </c>
      <c r="B435" s="6"/>
      <c r="C435" s="5" t="str">
        <f>IFERROR(VLOOKUP(B435,Lists!$A$2:$B$25,2,FALSE),"")</f>
        <v/>
      </c>
      <c r="D435" s="7"/>
      <c r="E435" s="6"/>
      <c r="F435" s="6" t="str">
        <f t="shared" si="20"/>
        <v/>
      </c>
      <c r="G435" s="6"/>
      <c r="H435" s="6"/>
      <c r="I435" s="6"/>
      <c r="J435" s="7"/>
      <c r="K435" s="5" t="str" cm="1">
        <f t="array" ref="K435">IF(OR(A435="",B435="",D435="",E435=""),"",A435&amp;"_"&amp;SUBSTITUTE(B435," ","-")&amp;"_"&amp;D435&amp;"_"&amp;SUBSTITUTE(SUBSTITUTE(E435," ",""),"€","Euro")&amp;"_"&amp;IF(F435="","Unknown",F435)&amp;IF(F435="Commemorative",IF(G435="","","_"&amp;SUBSTITUTE(SUBSTITUTE(SUBSTITUTE(G435," ","-"),"/","-"),CHAR(39),"")),"")&amp;IF(I435="Duplicate","_Dub"&amp;IF(SUMPRODUCT(($B$2:B435=B435)*($D$2:D435=D435)*($E$2:E435=E435)*($F$2:F435=F435)*($G$2:G435=G435)*($I$2:I435="Duplicate"))&lt;=1,"",SUMPRODUCT(($B$2:B435=B435)*($D$2:D435=D435)*($E$2:E435=E435)*($F$2:F435=F435)*($G$2:G435=G435)*($I$2:I435="Duplicate"))-1),"")&amp;".jpeg")</f>
        <v/>
      </c>
      <c r="L435" s="6"/>
      <c r="M435" s="5" t="str">
        <f>IFERROR(VLOOKUP(E435,Specifications!$A$2:$D$9,2,FALSE),"")</f>
        <v/>
      </c>
      <c r="N435" s="5" t="str">
        <f>IFERROR(VLOOKUP(E435,Specifications!$A$2:$D$9,3,FALSE),"")</f>
        <v/>
      </c>
      <c r="O435" s="5" t="str">
        <f>IFERROR(VLOOKUP(E435,Specifications!$A$2:$D$9,4,FALSE),"")</f>
        <v/>
      </c>
      <c r="P435" s="8" t="str">
        <f t="shared" si="21"/>
        <v/>
      </c>
      <c r="Q435" s="9"/>
    </row>
    <row r="436" spans="1:17" ht="15">
      <c r="A436" s="5" t="str">
        <f t="shared" si="19"/>
        <v/>
      </c>
      <c r="B436" s="6"/>
      <c r="C436" s="5" t="str">
        <f>IFERROR(VLOOKUP(B436,Lists!$A$2:$B$25,2,FALSE),"")</f>
        <v/>
      </c>
      <c r="D436" s="7"/>
      <c r="E436" s="6"/>
      <c r="F436" s="6" t="str">
        <f t="shared" si="20"/>
        <v/>
      </c>
      <c r="G436" s="6"/>
      <c r="H436" s="6"/>
      <c r="I436" s="6"/>
      <c r="J436" s="7"/>
      <c r="K436" s="5" t="str" cm="1">
        <f t="array" ref="K436">IF(OR(A436="",B436="",D436="",E436=""),"",A436&amp;"_"&amp;SUBSTITUTE(B436," ","-")&amp;"_"&amp;D436&amp;"_"&amp;SUBSTITUTE(SUBSTITUTE(E436," ",""),"€","Euro")&amp;"_"&amp;IF(F436="","Unknown",F436)&amp;IF(F436="Commemorative",IF(G436="","","_"&amp;SUBSTITUTE(SUBSTITUTE(SUBSTITUTE(G436," ","-"),"/","-"),CHAR(39),"")),"")&amp;IF(I436="Duplicate","_Dub"&amp;IF(SUMPRODUCT(($B$2:B436=B436)*($D$2:D436=D436)*($E$2:E436=E436)*($F$2:F436=F436)*($G$2:G436=G436)*($I$2:I436="Duplicate"))&lt;=1,"",SUMPRODUCT(($B$2:B436=B436)*($D$2:D436=D436)*($E$2:E436=E436)*($F$2:F436=F436)*($G$2:G436=G436)*($I$2:I436="Duplicate"))-1),"")&amp;".jpeg")</f>
        <v/>
      </c>
      <c r="L436" s="6"/>
      <c r="M436" s="5" t="str">
        <f>IFERROR(VLOOKUP(E436,Specifications!$A$2:$D$9,2,FALSE),"")</f>
        <v/>
      </c>
      <c r="N436" s="5" t="str">
        <f>IFERROR(VLOOKUP(E436,Specifications!$A$2:$D$9,3,FALSE),"")</f>
        <v/>
      </c>
      <c r="O436" s="5" t="str">
        <f>IFERROR(VLOOKUP(E436,Specifications!$A$2:$D$9,4,FALSE),"")</f>
        <v/>
      </c>
      <c r="P436" s="8" t="str">
        <f t="shared" si="21"/>
        <v/>
      </c>
      <c r="Q436" s="9"/>
    </row>
    <row r="437" spans="1:17" ht="15">
      <c r="A437" s="5" t="str">
        <f t="shared" si="19"/>
        <v/>
      </c>
      <c r="B437" s="6"/>
      <c r="C437" s="5" t="str">
        <f>IFERROR(VLOOKUP(B437,Lists!$A$2:$B$25,2,FALSE),"")</f>
        <v/>
      </c>
      <c r="D437" s="7"/>
      <c r="E437" s="6"/>
      <c r="F437" s="6" t="str">
        <f t="shared" si="20"/>
        <v/>
      </c>
      <c r="G437" s="6"/>
      <c r="H437" s="6"/>
      <c r="I437" s="6"/>
      <c r="J437" s="7"/>
      <c r="K437" s="5" t="str" cm="1">
        <f t="array" ref="K437">IF(OR(A437="",B437="",D437="",E437=""),"",A437&amp;"_"&amp;SUBSTITUTE(B437," ","-")&amp;"_"&amp;D437&amp;"_"&amp;SUBSTITUTE(SUBSTITUTE(E437," ",""),"€","Euro")&amp;"_"&amp;IF(F437="","Unknown",F437)&amp;IF(F437="Commemorative",IF(G437="","","_"&amp;SUBSTITUTE(SUBSTITUTE(SUBSTITUTE(G437," ","-"),"/","-"),CHAR(39),"")),"")&amp;IF(I437="Duplicate","_Dub"&amp;IF(SUMPRODUCT(($B$2:B437=B437)*($D$2:D437=D437)*($E$2:E437=E437)*($F$2:F437=F437)*($G$2:G437=G437)*($I$2:I437="Duplicate"))&lt;=1,"",SUMPRODUCT(($B$2:B437=B437)*($D$2:D437=D437)*($E$2:E437=E437)*($F$2:F437=F437)*($G$2:G437=G437)*($I$2:I437="Duplicate"))-1),"")&amp;".jpeg")</f>
        <v/>
      </c>
      <c r="L437" s="6"/>
      <c r="M437" s="5" t="str">
        <f>IFERROR(VLOOKUP(E437,Specifications!$A$2:$D$9,2,FALSE),"")</f>
        <v/>
      </c>
      <c r="N437" s="5" t="str">
        <f>IFERROR(VLOOKUP(E437,Specifications!$A$2:$D$9,3,FALSE),"")</f>
        <v/>
      </c>
      <c r="O437" s="5" t="str">
        <f>IFERROR(VLOOKUP(E437,Specifications!$A$2:$D$9,4,FALSE),"")</f>
        <v/>
      </c>
      <c r="P437" s="8" t="str">
        <f t="shared" si="21"/>
        <v/>
      </c>
      <c r="Q437" s="9"/>
    </row>
    <row r="438" spans="1:17" ht="15">
      <c r="A438" s="5" t="str">
        <f t="shared" si="19"/>
        <v/>
      </c>
      <c r="B438" s="6"/>
      <c r="C438" s="5" t="str">
        <f>IFERROR(VLOOKUP(B438,Lists!$A$2:$B$25,2,FALSE),"")</f>
        <v/>
      </c>
      <c r="D438" s="7"/>
      <c r="E438" s="6"/>
      <c r="F438" s="6" t="str">
        <f t="shared" si="20"/>
        <v/>
      </c>
      <c r="G438" s="6"/>
      <c r="H438" s="6"/>
      <c r="I438" s="6"/>
      <c r="J438" s="7"/>
      <c r="K438" s="5" t="str" cm="1">
        <f t="array" ref="K438">IF(OR(A438="",B438="",D438="",E438=""),"",A438&amp;"_"&amp;SUBSTITUTE(B438," ","-")&amp;"_"&amp;D438&amp;"_"&amp;SUBSTITUTE(SUBSTITUTE(E438," ",""),"€","Euro")&amp;"_"&amp;IF(F438="","Unknown",F438)&amp;IF(F438="Commemorative",IF(G438="","","_"&amp;SUBSTITUTE(SUBSTITUTE(SUBSTITUTE(G438," ","-"),"/","-"),CHAR(39),"")),"")&amp;IF(I438="Duplicate","_Dub"&amp;IF(SUMPRODUCT(($B$2:B438=B438)*($D$2:D438=D438)*($E$2:E438=E438)*($F$2:F438=F438)*($G$2:G438=G438)*($I$2:I438="Duplicate"))&lt;=1,"",SUMPRODUCT(($B$2:B438=B438)*($D$2:D438=D438)*($E$2:E438=E438)*($F$2:F438=F438)*($G$2:G438=G438)*($I$2:I438="Duplicate"))-1),"")&amp;".jpeg")</f>
        <v/>
      </c>
      <c r="L438" s="6"/>
      <c r="M438" s="5" t="str">
        <f>IFERROR(VLOOKUP(E438,Specifications!$A$2:$D$9,2,FALSE),"")</f>
        <v/>
      </c>
      <c r="N438" s="5" t="str">
        <f>IFERROR(VLOOKUP(E438,Specifications!$A$2:$D$9,3,FALSE),"")</f>
        <v/>
      </c>
      <c r="O438" s="5" t="str">
        <f>IFERROR(VLOOKUP(E438,Specifications!$A$2:$D$9,4,FALSE),"")</f>
        <v/>
      </c>
      <c r="P438" s="8" t="str">
        <f t="shared" si="21"/>
        <v/>
      </c>
      <c r="Q438" s="9"/>
    </row>
    <row r="439" spans="1:17" ht="15">
      <c r="A439" s="5" t="str">
        <f t="shared" si="19"/>
        <v/>
      </c>
      <c r="B439" s="6"/>
      <c r="C439" s="5" t="str">
        <f>IFERROR(VLOOKUP(B439,Lists!$A$2:$B$25,2,FALSE),"")</f>
        <v/>
      </c>
      <c r="D439" s="7"/>
      <c r="E439" s="6"/>
      <c r="F439" s="6" t="str">
        <f t="shared" si="20"/>
        <v/>
      </c>
      <c r="G439" s="6"/>
      <c r="H439" s="6"/>
      <c r="I439" s="6"/>
      <c r="J439" s="7"/>
      <c r="K439" s="5" t="str" cm="1">
        <f t="array" ref="K439">IF(OR(A439="",B439="",D439="",E439=""),"",A439&amp;"_"&amp;SUBSTITUTE(B439," ","-")&amp;"_"&amp;D439&amp;"_"&amp;SUBSTITUTE(SUBSTITUTE(E439," ",""),"€","Euro")&amp;"_"&amp;IF(F439="","Unknown",F439)&amp;IF(F439="Commemorative",IF(G439="","","_"&amp;SUBSTITUTE(SUBSTITUTE(SUBSTITUTE(G439," ","-"),"/","-"),CHAR(39),"")),"")&amp;IF(I439="Duplicate","_Dub"&amp;IF(SUMPRODUCT(($B$2:B439=B439)*($D$2:D439=D439)*($E$2:E439=E439)*($F$2:F439=F439)*($G$2:G439=G439)*($I$2:I439="Duplicate"))&lt;=1,"",SUMPRODUCT(($B$2:B439=B439)*($D$2:D439=D439)*($E$2:E439=E439)*($F$2:F439=F439)*($G$2:G439=G439)*($I$2:I439="Duplicate"))-1),"")&amp;".jpeg")</f>
        <v/>
      </c>
      <c r="L439" s="6"/>
      <c r="M439" s="5" t="str">
        <f>IFERROR(VLOOKUP(E439,Specifications!$A$2:$D$9,2,FALSE),"")</f>
        <v/>
      </c>
      <c r="N439" s="5" t="str">
        <f>IFERROR(VLOOKUP(E439,Specifications!$A$2:$D$9,3,FALSE),"")</f>
        <v/>
      </c>
      <c r="O439" s="5" t="str">
        <f>IFERROR(VLOOKUP(E439,Specifications!$A$2:$D$9,4,FALSE),"")</f>
        <v/>
      </c>
      <c r="P439" s="8" t="str">
        <f t="shared" si="21"/>
        <v/>
      </c>
      <c r="Q439" s="9"/>
    </row>
    <row r="440" spans="1:17" ht="15">
      <c r="A440" s="5" t="str">
        <f t="shared" si="19"/>
        <v/>
      </c>
      <c r="B440" s="6"/>
      <c r="C440" s="5" t="str">
        <f>IFERROR(VLOOKUP(B440,Lists!$A$2:$B$25,2,FALSE),"")</f>
        <v/>
      </c>
      <c r="D440" s="7"/>
      <c r="E440" s="6"/>
      <c r="F440" s="6" t="str">
        <f t="shared" si="20"/>
        <v/>
      </c>
      <c r="G440" s="6"/>
      <c r="H440" s="6"/>
      <c r="I440" s="6"/>
      <c r="J440" s="7"/>
      <c r="K440" s="5" t="str" cm="1">
        <f t="array" ref="K440">IF(OR(A440="",B440="",D440="",E440=""),"",A440&amp;"_"&amp;SUBSTITUTE(B440," ","-")&amp;"_"&amp;D440&amp;"_"&amp;SUBSTITUTE(SUBSTITUTE(E440," ",""),"€","Euro")&amp;"_"&amp;IF(F440="","Unknown",F440)&amp;IF(F440="Commemorative",IF(G440="","","_"&amp;SUBSTITUTE(SUBSTITUTE(SUBSTITUTE(G440," ","-"),"/","-"),CHAR(39),"")),"")&amp;IF(I440="Duplicate","_Dub"&amp;IF(SUMPRODUCT(($B$2:B440=B440)*($D$2:D440=D440)*($E$2:E440=E440)*($F$2:F440=F440)*($G$2:G440=G440)*($I$2:I440="Duplicate"))&lt;=1,"",SUMPRODUCT(($B$2:B440=B440)*($D$2:D440=D440)*($E$2:E440=E440)*($F$2:F440=F440)*($G$2:G440=G440)*($I$2:I440="Duplicate"))-1),"")&amp;".jpeg")</f>
        <v/>
      </c>
      <c r="L440" s="6"/>
      <c r="M440" s="5" t="str">
        <f>IFERROR(VLOOKUP(E440,Specifications!$A$2:$D$9,2,FALSE),"")</f>
        <v/>
      </c>
      <c r="N440" s="5" t="str">
        <f>IFERROR(VLOOKUP(E440,Specifications!$A$2:$D$9,3,FALSE),"")</f>
        <v/>
      </c>
      <c r="O440" s="5" t="str">
        <f>IFERROR(VLOOKUP(E440,Specifications!$A$2:$D$9,4,FALSE),"")</f>
        <v/>
      </c>
      <c r="P440" s="8" t="str">
        <f t="shared" si="21"/>
        <v/>
      </c>
      <c r="Q440" s="9"/>
    </row>
    <row r="441" spans="1:17" ht="15">
      <c r="A441" s="5" t="str">
        <f t="shared" si="19"/>
        <v/>
      </c>
      <c r="B441" s="6"/>
      <c r="C441" s="5" t="str">
        <f>IFERROR(VLOOKUP(B441,Lists!$A$2:$B$25,2,FALSE),"")</f>
        <v/>
      </c>
      <c r="D441" s="7"/>
      <c r="E441" s="6"/>
      <c r="F441" s="6" t="str">
        <f t="shared" si="20"/>
        <v/>
      </c>
      <c r="G441" s="6"/>
      <c r="H441" s="6"/>
      <c r="I441" s="6"/>
      <c r="J441" s="7"/>
      <c r="K441" s="5" t="str" cm="1">
        <f t="array" ref="K441">IF(OR(A441="",B441="",D441="",E441=""),"",A441&amp;"_"&amp;SUBSTITUTE(B441," ","-")&amp;"_"&amp;D441&amp;"_"&amp;SUBSTITUTE(SUBSTITUTE(E441," ",""),"€","Euro")&amp;"_"&amp;IF(F441="","Unknown",F441)&amp;IF(F441="Commemorative",IF(G441="","","_"&amp;SUBSTITUTE(SUBSTITUTE(SUBSTITUTE(G441," ","-"),"/","-"),CHAR(39),"")),"")&amp;IF(I441="Duplicate","_Dub"&amp;IF(SUMPRODUCT(($B$2:B441=B441)*($D$2:D441=D441)*($E$2:E441=E441)*($F$2:F441=F441)*($G$2:G441=G441)*($I$2:I441="Duplicate"))&lt;=1,"",SUMPRODUCT(($B$2:B441=B441)*($D$2:D441=D441)*($E$2:E441=E441)*($F$2:F441=F441)*($G$2:G441=G441)*($I$2:I441="Duplicate"))-1),"")&amp;".jpeg")</f>
        <v/>
      </c>
      <c r="L441" s="6"/>
      <c r="M441" s="5" t="str">
        <f>IFERROR(VLOOKUP(E441,Specifications!$A$2:$D$9,2,FALSE),"")</f>
        <v/>
      </c>
      <c r="N441" s="5" t="str">
        <f>IFERROR(VLOOKUP(E441,Specifications!$A$2:$D$9,3,FALSE),"")</f>
        <v/>
      </c>
      <c r="O441" s="5" t="str">
        <f>IFERROR(VLOOKUP(E441,Specifications!$A$2:$D$9,4,FALSE),"")</f>
        <v/>
      </c>
      <c r="P441" s="8" t="str">
        <f t="shared" si="21"/>
        <v/>
      </c>
      <c r="Q441" s="9"/>
    </row>
    <row r="442" spans="1:17" ht="15">
      <c r="A442" s="5" t="str">
        <f t="shared" si="19"/>
        <v/>
      </c>
      <c r="B442" s="6"/>
      <c r="C442" s="5" t="str">
        <f>IFERROR(VLOOKUP(B442,Lists!$A$2:$B$25,2,FALSE),"")</f>
        <v/>
      </c>
      <c r="D442" s="7"/>
      <c r="E442" s="6"/>
      <c r="F442" s="6" t="str">
        <f t="shared" si="20"/>
        <v/>
      </c>
      <c r="G442" s="6"/>
      <c r="H442" s="6"/>
      <c r="I442" s="6"/>
      <c r="J442" s="7"/>
      <c r="K442" s="5" t="str" cm="1">
        <f t="array" ref="K442">IF(OR(A442="",B442="",D442="",E442=""),"",A442&amp;"_"&amp;SUBSTITUTE(B442," ","-")&amp;"_"&amp;D442&amp;"_"&amp;SUBSTITUTE(SUBSTITUTE(E442," ",""),"€","Euro")&amp;"_"&amp;IF(F442="","Unknown",F442)&amp;IF(F442="Commemorative",IF(G442="","","_"&amp;SUBSTITUTE(SUBSTITUTE(SUBSTITUTE(G442," ","-"),"/","-"),CHAR(39),"")),"")&amp;IF(I442="Duplicate","_Dub"&amp;IF(SUMPRODUCT(($B$2:B442=B442)*($D$2:D442=D442)*($E$2:E442=E442)*($F$2:F442=F442)*($G$2:G442=G442)*($I$2:I442="Duplicate"))&lt;=1,"",SUMPRODUCT(($B$2:B442=B442)*($D$2:D442=D442)*($E$2:E442=E442)*($F$2:F442=F442)*($G$2:G442=G442)*($I$2:I442="Duplicate"))-1),"")&amp;".jpeg")</f>
        <v/>
      </c>
      <c r="L442" s="6"/>
      <c r="M442" s="5" t="str">
        <f>IFERROR(VLOOKUP(E442,Specifications!$A$2:$D$9,2,FALSE),"")</f>
        <v/>
      </c>
      <c r="N442" s="5" t="str">
        <f>IFERROR(VLOOKUP(E442,Specifications!$A$2:$D$9,3,FALSE),"")</f>
        <v/>
      </c>
      <c r="O442" s="5" t="str">
        <f>IFERROR(VLOOKUP(E442,Specifications!$A$2:$D$9,4,FALSE),"")</f>
        <v/>
      </c>
      <c r="P442" s="8" t="str">
        <f t="shared" si="21"/>
        <v/>
      </c>
      <c r="Q442" s="9"/>
    </row>
    <row r="443" spans="1:17" ht="15">
      <c r="A443" s="5" t="str">
        <f t="shared" si="19"/>
        <v/>
      </c>
      <c r="B443" s="6"/>
      <c r="C443" s="5" t="str">
        <f>IFERROR(VLOOKUP(B443,Lists!$A$2:$B$25,2,FALSE),"")</f>
        <v/>
      </c>
      <c r="D443" s="7"/>
      <c r="E443" s="6"/>
      <c r="F443" s="6" t="str">
        <f t="shared" si="20"/>
        <v/>
      </c>
      <c r="G443" s="6"/>
      <c r="H443" s="6"/>
      <c r="I443" s="6"/>
      <c r="J443" s="7"/>
      <c r="K443" s="5" t="str" cm="1">
        <f t="array" ref="K443">IF(OR(A443="",B443="",D443="",E443=""),"",A443&amp;"_"&amp;SUBSTITUTE(B443," ","-")&amp;"_"&amp;D443&amp;"_"&amp;SUBSTITUTE(SUBSTITUTE(E443," ",""),"€","Euro")&amp;"_"&amp;IF(F443="","Unknown",F443)&amp;IF(F443="Commemorative",IF(G443="","","_"&amp;SUBSTITUTE(SUBSTITUTE(SUBSTITUTE(G443," ","-"),"/","-"),CHAR(39),"")),"")&amp;IF(I443="Duplicate","_Dub"&amp;IF(SUMPRODUCT(($B$2:B443=B443)*($D$2:D443=D443)*($E$2:E443=E443)*($F$2:F443=F443)*($G$2:G443=G443)*($I$2:I443="Duplicate"))&lt;=1,"",SUMPRODUCT(($B$2:B443=B443)*($D$2:D443=D443)*($E$2:E443=E443)*($F$2:F443=F443)*($G$2:G443=G443)*($I$2:I443="Duplicate"))-1),"")&amp;".jpeg")</f>
        <v/>
      </c>
      <c r="L443" s="6"/>
      <c r="M443" s="5" t="str">
        <f>IFERROR(VLOOKUP(E443,Specifications!$A$2:$D$9,2,FALSE),"")</f>
        <v/>
      </c>
      <c r="N443" s="5" t="str">
        <f>IFERROR(VLOOKUP(E443,Specifications!$A$2:$D$9,3,FALSE),"")</f>
        <v/>
      </c>
      <c r="O443" s="5" t="str">
        <f>IFERROR(VLOOKUP(E443,Specifications!$A$2:$D$9,4,FALSE),"")</f>
        <v/>
      </c>
      <c r="P443" s="8" t="str">
        <f t="shared" si="21"/>
        <v/>
      </c>
      <c r="Q443" s="9"/>
    </row>
    <row r="444" spans="1:17" ht="15">
      <c r="A444" s="5" t="str">
        <f t="shared" si="19"/>
        <v/>
      </c>
      <c r="B444" s="6"/>
      <c r="C444" s="5" t="str">
        <f>IFERROR(VLOOKUP(B444,Lists!$A$2:$B$25,2,FALSE),"")</f>
        <v/>
      </c>
      <c r="D444" s="7"/>
      <c r="E444" s="6"/>
      <c r="F444" s="6" t="str">
        <f t="shared" si="20"/>
        <v/>
      </c>
      <c r="G444" s="6"/>
      <c r="H444" s="6"/>
      <c r="I444" s="6"/>
      <c r="J444" s="7"/>
      <c r="K444" s="5" t="str" cm="1">
        <f t="array" ref="K444">IF(OR(A444="",B444="",D444="",E444=""),"",A444&amp;"_"&amp;SUBSTITUTE(B444," ","-")&amp;"_"&amp;D444&amp;"_"&amp;SUBSTITUTE(SUBSTITUTE(E444," ",""),"€","Euro")&amp;"_"&amp;IF(F444="","Unknown",F444)&amp;IF(F444="Commemorative",IF(G444="","","_"&amp;SUBSTITUTE(SUBSTITUTE(SUBSTITUTE(G444," ","-"),"/","-"),CHAR(39),"")),"")&amp;IF(I444="Duplicate","_Dub"&amp;IF(SUMPRODUCT(($B$2:B444=B444)*($D$2:D444=D444)*($E$2:E444=E444)*($F$2:F444=F444)*($G$2:G444=G444)*($I$2:I444="Duplicate"))&lt;=1,"",SUMPRODUCT(($B$2:B444=B444)*($D$2:D444=D444)*($E$2:E444=E444)*($F$2:F444=F444)*($G$2:G444=G444)*($I$2:I444="Duplicate"))-1),"")&amp;".jpeg")</f>
        <v/>
      </c>
      <c r="L444" s="6"/>
      <c r="M444" s="5" t="str">
        <f>IFERROR(VLOOKUP(E444,Specifications!$A$2:$D$9,2,FALSE),"")</f>
        <v/>
      </c>
      <c r="N444" s="5" t="str">
        <f>IFERROR(VLOOKUP(E444,Specifications!$A$2:$D$9,3,FALSE),"")</f>
        <v/>
      </c>
      <c r="O444" s="5" t="str">
        <f>IFERROR(VLOOKUP(E444,Specifications!$A$2:$D$9,4,FALSE),"")</f>
        <v/>
      </c>
      <c r="P444" s="8" t="str">
        <f t="shared" si="21"/>
        <v/>
      </c>
      <c r="Q444" s="9"/>
    </row>
    <row r="445" spans="1:17" ht="15">
      <c r="A445" s="5" t="str">
        <f t="shared" si="19"/>
        <v/>
      </c>
      <c r="B445" s="6"/>
      <c r="C445" s="5" t="str">
        <f>IFERROR(VLOOKUP(B445,Lists!$A$2:$B$25,2,FALSE),"")</f>
        <v/>
      </c>
      <c r="D445" s="7"/>
      <c r="E445" s="6"/>
      <c r="F445" s="6" t="str">
        <f t="shared" si="20"/>
        <v/>
      </c>
      <c r="G445" s="6"/>
      <c r="H445" s="6"/>
      <c r="I445" s="6"/>
      <c r="J445" s="7"/>
      <c r="K445" s="5" t="str" cm="1">
        <f t="array" ref="K445">IF(OR(A445="",B445="",D445="",E445=""),"",A445&amp;"_"&amp;SUBSTITUTE(B445," ","-")&amp;"_"&amp;D445&amp;"_"&amp;SUBSTITUTE(SUBSTITUTE(E445," ",""),"€","Euro")&amp;"_"&amp;IF(F445="","Unknown",F445)&amp;IF(F445="Commemorative",IF(G445="","","_"&amp;SUBSTITUTE(SUBSTITUTE(SUBSTITUTE(G445," ","-"),"/","-"),CHAR(39),"")),"")&amp;IF(I445="Duplicate","_Dub"&amp;IF(SUMPRODUCT(($B$2:B445=B445)*($D$2:D445=D445)*($E$2:E445=E445)*($F$2:F445=F445)*($G$2:G445=G445)*($I$2:I445="Duplicate"))&lt;=1,"",SUMPRODUCT(($B$2:B445=B445)*($D$2:D445=D445)*($E$2:E445=E445)*($F$2:F445=F445)*($G$2:G445=G445)*($I$2:I445="Duplicate"))-1),"")&amp;".jpeg")</f>
        <v/>
      </c>
      <c r="L445" s="6"/>
      <c r="M445" s="5" t="str">
        <f>IFERROR(VLOOKUP(E445,Specifications!$A$2:$D$9,2,FALSE),"")</f>
        <v/>
      </c>
      <c r="N445" s="5" t="str">
        <f>IFERROR(VLOOKUP(E445,Specifications!$A$2:$D$9,3,FALSE),"")</f>
        <v/>
      </c>
      <c r="O445" s="5" t="str">
        <f>IFERROR(VLOOKUP(E445,Specifications!$A$2:$D$9,4,FALSE),"")</f>
        <v/>
      </c>
      <c r="P445" s="8" t="str">
        <f t="shared" si="21"/>
        <v/>
      </c>
      <c r="Q445" s="9"/>
    </row>
    <row r="446" spans="1:17" ht="15">
      <c r="A446" s="5" t="str">
        <f t="shared" si="19"/>
        <v/>
      </c>
      <c r="B446" s="6"/>
      <c r="C446" s="5" t="str">
        <f>IFERROR(VLOOKUP(B446,Lists!$A$2:$B$25,2,FALSE),"")</f>
        <v/>
      </c>
      <c r="D446" s="7"/>
      <c r="E446" s="6"/>
      <c r="F446" s="6" t="str">
        <f t="shared" si="20"/>
        <v/>
      </c>
      <c r="G446" s="6"/>
      <c r="H446" s="6"/>
      <c r="I446" s="6"/>
      <c r="J446" s="7"/>
      <c r="K446" s="5" t="str" cm="1">
        <f t="array" ref="K446">IF(OR(A446="",B446="",D446="",E446=""),"",A446&amp;"_"&amp;SUBSTITUTE(B446," ","-")&amp;"_"&amp;D446&amp;"_"&amp;SUBSTITUTE(SUBSTITUTE(E446," ",""),"€","Euro")&amp;"_"&amp;IF(F446="","Unknown",F446)&amp;IF(F446="Commemorative",IF(G446="","","_"&amp;SUBSTITUTE(SUBSTITUTE(SUBSTITUTE(G446," ","-"),"/","-"),CHAR(39),"")),"")&amp;IF(I446="Duplicate","_Dub"&amp;IF(SUMPRODUCT(($B$2:B446=B446)*($D$2:D446=D446)*($E$2:E446=E446)*($F$2:F446=F446)*($G$2:G446=G446)*($I$2:I446="Duplicate"))&lt;=1,"",SUMPRODUCT(($B$2:B446=B446)*($D$2:D446=D446)*($E$2:E446=E446)*($F$2:F446=F446)*($G$2:G446=G446)*($I$2:I446="Duplicate"))-1),"")&amp;".jpeg")</f>
        <v/>
      </c>
      <c r="L446" s="6"/>
      <c r="M446" s="5" t="str">
        <f>IFERROR(VLOOKUP(E446,Specifications!$A$2:$D$9,2,FALSE),"")</f>
        <v/>
      </c>
      <c r="N446" s="5" t="str">
        <f>IFERROR(VLOOKUP(E446,Specifications!$A$2:$D$9,3,FALSE),"")</f>
        <v/>
      </c>
      <c r="O446" s="5" t="str">
        <f>IFERROR(VLOOKUP(E446,Specifications!$A$2:$D$9,4,FALSE),"")</f>
        <v/>
      </c>
      <c r="P446" s="8" t="str">
        <f t="shared" si="21"/>
        <v/>
      </c>
      <c r="Q446" s="9"/>
    </row>
    <row r="447" spans="1:17" ht="15">
      <c r="A447" s="5" t="str">
        <f t="shared" si="19"/>
        <v/>
      </c>
      <c r="B447" s="6"/>
      <c r="C447" s="5" t="str">
        <f>IFERROR(VLOOKUP(B447,Lists!$A$2:$B$25,2,FALSE),"")</f>
        <v/>
      </c>
      <c r="D447" s="7"/>
      <c r="E447" s="6"/>
      <c r="F447" s="6" t="str">
        <f t="shared" si="20"/>
        <v/>
      </c>
      <c r="G447" s="6"/>
      <c r="H447" s="6"/>
      <c r="I447" s="6"/>
      <c r="J447" s="7"/>
      <c r="K447" s="5" t="str" cm="1">
        <f t="array" ref="K447">IF(OR(A447="",B447="",D447="",E447=""),"",A447&amp;"_"&amp;SUBSTITUTE(B447," ","-")&amp;"_"&amp;D447&amp;"_"&amp;SUBSTITUTE(SUBSTITUTE(E447," ",""),"€","Euro")&amp;"_"&amp;IF(F447="","Unknown",F447)&amp;IF(F447="Commemorative",IF(G447="","","_"&amp;SUBSTITUTE(SUBSTITUTE(SUBSTITUTE(G447," ","-"),"/","-"),CHAR(39),"")),"")&amp;IF(I447="Duplicate","_Dub"&amp;IF(SUMPRODUCT(($B$2:B447=B447)*($D$2:D447=D447)*($E$2:E447=E447)*($F$2:F447=F447)*($G$2:G447=G447)*($I$2:I447="Duplicate"))&lt;=1,"",SUMPRODUCT(($B$2:B447=B447)*($D$2:D447=D447)*($E$2:E447=E447)*($F$2:F447=F447)*($G$2:G447=G447)*($I$2:I447="Duplicate"))-1),"")&amp;".jpeg")</f>
        <v/>
      </c>
      <c r="L447" s="6"/>
      <c r="M447" s="5" t="str">
        <f>IFERROR(VLOOKUP(E447,Specifications!$A$2:$D$9,2,FALSE),"")</f>
        <v/>
      </c>
      <c r="N447" s="5" t="str">
        <f>IFERROR(VLOOKUP(E447,Specifications!$A$2:$D$9,3,FALSE),"")</f>
        <v/>
      </c>
      <c r="O447" s="5" t="str">
        <f>IFERROR(VLOOKUP(E447,Specifications!$A$2:$D$9,4,FALSE),"")</f>
        <v/>
      </c>
      <c r="P447" s="8" t="str">
        <f t="shared" si="21"/>
        <v/>
      </c>
      <c r="Q447" s="9"/>
    </row>
    <row r="448" spans="1:17" ht="15">
      <c r="A448" s="5" t="str">
        <f t="shared" si="19"/>
        <v/>
      </c>
      <c r="B448" s="6"/>
      <c r="C448" s="5" t="str">
        <f>IFERROR(VLOOKUP(B448,Lists!$A$2:$B$25,2,FALSE),"")</f>
        <v/>
      </c>
      <c r="D448" s="7"/>
      <c r="E448" s="6"/>
      <c r="F448" s="6" t="str">
        <f t="shared" si="20"/>
        <v/>
      </c>
      <c r="G448" s="6"/>
      <c r="H448" s="6"/>
      <c r="I448" s="6"/>
      <c r="J448" s="7"/>
      <c r="K448" s="5" t="str" cm="1">
        <f t="array" ref="K448">IF(OR(A448="",B448="",D448="",E448=""),"",A448&amp;"_"&amp;SUBSTITUTE(B448," ","-")&amp;"_"&amp;D448&amp;"_"&amp;SUBSTITUTE(SUBSTITUTE(E448," ",""),"€","Euro")&amp;"_"&amp;IF(F448="","Unknown",F448)&amp;IF(F448="Commemorative",IF(G448="","","_"&amp;SUBSTITUTE(SUBSTITUTE(SUBSTITUTE(G448," ","-"),"/","-"),CHAR(39),"")),"")&amp;IF(I448="Duplicate","_Dub"&amp;IF(SUMPRODUCT(($B$2:B448=B448)*($D$2:D448=D448)*($E$2:E448=E448)*($F$2:F448=F448)*($G$2:G448=G448)*($I$2:I448="Duplicate"))&lt;=1,"",SUMPRODUCT(($B$2:B448=B448)*($D$2:D448=D448)*($E$2:E448=E448)*($F$2:F448=F448)*($G$2:G448=G448)*($I$2:I448="Duplicate"))-1),"")&amp;".jpeg")</f>
        <v/>
      </c>
      <c r="L448" s="6"/>
      <c r="M448" s="5" t="str">
        <f>IFERROR(VLOOKUP(E448,Specifications!$A$2:$D$9,2,FALSE),"")</f>
        <v/>
      </c>
      <c r="N448" s="5" t="str">
        <f>IFERROR(VLOOKUP(E448,Specifications!$A$2:$D$9,3,FALSE),"")</f>
        <v/>
      </c>
      <c r="O448" s="5" t="str">
        <f>IFERROR(VLOOKUP(E448,Specifications!$A$2:$D$9,4,FALSE),"")</f>
        <v/>
      </c>
      <c r="P448" s="8" t="str">
        <f t="shared" si="21"/>
        <v/>
      </c>
      <c r="Q448" s="9"/>
    </row>
    <row r="449" spans="1:17" ht="15">
      <c r="A449" s="5" t="str">
        <f t="shared" si="19"/>
        <v/>
      </c>
      <c r="B449" s="6"/>
      <c r="C449" s="5" t="str">
        <f>IFERROR(VLOOKUP(B449,Lists!$A$2:$B$25,2,FALSE),"")</f>
        <v/>
      </c>
      <c r="D449" s="7"/>
      <c r="E449" s="6"/>
      <c r="F449" s="6" t="str">
        <f t="shared" si="20"/>
        <v/>
      </c>
      <c r="G449" s="6"/>
      <c r="H449" s="6"/>
      <c r="I449" s="6"/>
      <c r="J449" s="7"/>
      <c r="K449" s="5" t="str" cm="1">
        <f t="array" ref="K449">IF(OR(A449="",B449="",D449="",E449=""),"",A449&amp;"_"&amp;SUBSTITUTE(B449," ","-")&amp;"_"&amp;D449&amp;"_"&amp;SUBSTITUTE(SUBSTITUTE(E449," ",""),"€","Euro")&amp;"_"&amp;IF(F449="","Unknown",F449)&amp;IF(F449="Commemorative",IF(G449="","","_"&amp;SUBSTITUTE(SUBSTITUTE(SUBSTITUTE(G449," ","-"),"/","-"),CHAR(39),"")),"")&amp;IF(I449="Duplicate","_Dub"&amp;IF(SUMPRODUCT(($B$2:B449=B449)*($D$2:D449=D449)*($E$2:E449=E449)*($F$2:F449=F449)*($G$2:G449=G449)*($I$2:I449="Duplicate"))&lt;=1,"",SUMPRODUCT(($B$2:B449=B449)*($D$2:D449=D449)*($E$2:E449=E449)*($F$2:F449=F449)*($G$2:G449=G449)*($I$2:I449="Duplicate"))-1),"")&amp;".jpeg")</f>
        <v/>
      </c>
      <c r="L449" s="6"/>
      <c r="M449" s="5" t="str">
        <f>IFERROR(VLOOKUP(E449,Specifications!$A$2:$D$9,2,FALSE),"")</f>
        <v/>
      </c>
      <c r="N449" s="5" t="str">
        <f>IFERROR(VLOOKUP(E449,Specifications!$A$2:$D$9,3,FALSE),"")</f>
        <v/>
      </c>
      <c r="O449" s="5" t="str">
        <f>IFERROR(VLOOKUP(E449,Specifications!$A$2:$D$9,4,FALSE),"")</f>
        <v/>
      </c>
      <c r="P449" s="8" t="str">
        <f t="shared" si="21"/>
        <v/>
      </c>
      <c r="Q449" s="9"/>
    </row>
    <row r="450" spans="1:17" ht="15">
      <c r="A450" s="5" t="str">
        <f t="shared" ref="A450:A513" si="22">IF(B450="","",TEXT(ROW()-1,"000"))</f>
        <v/>
      </c>
      <c r="B450" s="6"/>
      <c r="C450" s="5" t="str">
        <f>IFERROR(VLOOKUP(B450,Lists!$A$2:$B$25,2,FALSE),"")</f>
        <v/>
      </c>
      <c r="D450" s="7"/>
      <c r="E450" s="6"/>
      <c r="F450" s="6" t="str">
        <f t="shared" ref="F450:F513" si="23">IF(E450="","",IF(E450="2 €","", "Regular"))</f>
        <v/>
      </c>
      <c r="G450" s="6"/>
      <c r="H450" s="6"/>
      <c r="I450" s="6"/>
      <c r="J450" s="7"/>
      <c r="K450" s="5" t="str" cm="1">
        <f t="array" ref="K450">IF(OR(A450="",B450="",D450="",E450=""),"",A450&amp;"_"&amp;SUBSTITUTE(B450," ","-")&amp;"_"&amp;D450&amp;"_"&amp;SUBSTITUTE(SUBSTITUTE(E450," ",""),"€","Euro")&amp;"_"&amp;IF(F450="","Unknown",F450)&amp;IF(F450="Commemorative",IF(G450="","","_"&amp;SUBSTITUTE(SUBSTITUTE(SUBSTITUTE(G450," ","-"),"/","-"),CHAR(39),"")),"")&amp;IF(I450="Duplicate","_Dub"&amp;IF(SUMPRODUCT(($B$2:B450=B450)*($D$2:D450=D450)*($E$2:E450=E450)*($F$2:F450=F450)*($G$2:G450=G450)*($I$2:I450="Duplicate"))&lt;=1,"",SUMPRODUCT(($B$2:B450=B450)*($D$2:D450=D450)*($E$2:E450=E450)*($F$2:F450=F450)*($G$2:G450=G450)*($I$2:I450="Duplicate"))-1),"")&amp;".jpeg")</f>
        <v/>
      </c>
      <c r="L450" s="6"/>
      <c r="M450" s="5" t="str">
        <f>IFERROR(VLOOKUP(E450,Specifications!$A$2:$D$9,2,FALSE),"")</f>
        <v/>
      </c>
      <c r="N450" s="5" t="str">
        <f>IFERROR(VLOOKUP(E450,Specifications!$A$2:$D$9,3,FALSE),"")</f>
        <v/>
      </c>
      <c r="O450" s="5" t="str">
        <f>IFERROR(VLOOKUP(E450,Specifications!$A$2:$D$9,4,FALSE),"")</f>
        <v/>
      </c>
      <c r="P450" s="8" t="str">
        <f t="shared" ref="P450:P513" si="24">IF(OR(B450="",E450="",F450=""),"",IF(F450="Regular","Regular "&amp;E450&amp;" circulation coin of "&amp;B450&amp;".",IF(F450="Commemorative",IF(G450="","",E450&amp;" commemorative coin of "&amp;B450&amp;" – "&amp;G450&amp;"."),"")))</f>
        <v/>
      </c>
      <c r="Q450" s="9"/>
    </row>
    <row r="451" spans="1:17" ht="15">
      <c r="A451" s="5" t="str">
        <f t="shared" si="22"/>
        <v/>
      </c>
      <c r="B451" s="6"/>
      <c r="C451" s="5" t="str">
        <f>IFERROR(VLOOKUP(B451,Lists!$A$2:$B$25,2,FALSE),"")</f>
        <v/>
      </c>
      <c r="D451" s="7"/>
      <c r="E451" s="6"/>
      <c r="F451" s="6" t="str">
        <f t="shared" si="23"/>
        <v/>
      </c>
      <c r="G451" s="6"/>
      <c r="H451" s="6"/>
      <c r="I451" s="6"/>
      <c r="J451" s="7"/>
      <c r="K451" s="5" t="str" cm="1">
        <f t="array" ref="K451">IF(OR(A451="",B451="",D451="",E451=""),"",A451&amp;"_"&amp;SUBSTITUTE(B451," ","-")&amp;"_"&amp;D451&amp;"_"&amp;SUBSTITUTE(SUBSTITUTE(E451," ",""),"€","Euro")&amp;"_"&amp;IF(F451="","Unknown",F451)&amp;IF(F451="Commemorative",IF(G451="","","_"&amp;SUBSTITUTE(SUBSTITUTE(SUBSTITUTE(G451," ","-"),"/","-"),CHAR(39),"")),"")&amp;IF(I451="Duplicate","_Dub"&amp;IF(SUMPRODUCT(($B$2:B451=B451)*($D$2:D451=D451)*($E$2:E451=E451)*($F$2:F451=F451)*($G$2:G451=G451)*($I$2:I451="Duplicate"))&lt;=1,"",SUMPRODUCT(($B$2:B451=B451)*($D$2:D451=D451)*($E$2:E451=E451)*($F$2:F451=F451)*($G$2:G451=G451)*($I$2:I451="Duplicate"))-1),"")&amp;".jpeg")</f>
        <v/>
      </c>
      <c r="L451" s="6"/>
      <c r="M451" s="5" t="str">
        <f>IFERROR(VLOOKUP(E451,Specifications!$A$2:$D$9,2,FALSE),"")</f>
        <v/>
      </c>
      <c r="N451" s="5" t="str">
        <f>IFERROR(VLOOKUP(E451,Specifications!$A$2:$D$9,3,FALSE),"")</f>
        <v/>
      </c>
      <c r="O451" s="5" t="str">
        <f>IFERROR(VLOOKUP(E451,Specifications!$A$2:$D$9,4,FALSE),"")</f>
        <v/>
      </c>
      <c r="P451" s="8" t="str">
        <f t="shared" si="24"/>
        <v/>
      </c>
      <c r="Q451" s="9"/>
    </row>
    <row r="452" spans="1:17" ht="15">
      <c r="A452" s="5" t="str">
        <f t="shared" si="22"/>
        <v/>
      </c>
      <c r="B452" s="6"/>
      <c r="C452" s="5" t="str">
        <f>IFERROR(VLOOKUP(B452,Lists!$A$2:$B$25,2,FALSE),"")</f>
        <v/>
      </c>
      <c r="D452" s="7"/>
      <c r="E452" s="6"/>
      <c r="F452" s="6" t="str">
        <f t="shared" si="23"/>
        <v/>
      </c>
      <c r="G452" s="6"/>
      <c r="H452" s="6"/>
      <c r="I452" s="6"/>
      <c r="J452" s="7"/>
      <c r="K452" s="5" t="str" cm="1">
        <f t="array" ref="K452">IF(OR(A452="",B452="",D452="",E452=""),"",A452&amp;"_"&amp;SUBSTITUTE(B452," ","-")&amp;"_"&amp;D452&amp;"_"&amp;SUBSTITUTE(SUBSTITUTE(E452," ",""),"€","Euro")&amp;"_"&amp;IF(F452="","Unknown",F452)&amp;IF(F452="Commemorative",IF(G452="","","_"&amp;SUBSTITUTE(SUBSTITUTE(SUBSTITUTE(G452," ","-"),"/","-"),CHAR(39),"")),"")&amp;IF(I452="Duplicate","_Dub"&amp;IF(SUMPRODUCT(($B$2:B452=B452)*($D$2:D452=D452)*($E$2:E452=E452)*($F$2:F452=F452)*($G$2:G452=G452)*($I$2:I452="Duplicate"))&lt;=1,"",SUMPRODUCT(($B$2:B452=B452)*($D$2:D452=D452)*($E$2:E452=E452)*($F$2:F452=F452)*($G$2:G452=G452)*($I$2:I452="Duplicate"))-1),"")&amp;".jpeg")</f>
        <v/>
      </c>
      <c r="L452" s="6"/>
      <c r="M452" s="5" t="str">
        <f>IFERROR(VLOOKUP(E452,Specifications!$A$2:$D$9,2,FALSE),"")</f>
        <v/>
      </c>
      <c r="N452" s="5" t="str">
        <f>IFERROR(VLOOKUP(E452,Specifications!$A$2:$D$9,3,FALSE),"")</f>
        <v/>
      </c>
      <c r="O452" s="5" t="str">
        <f>IFERROR(VLOOKUP(E452,Specifications!$A$2:$D$9,4,FALSE),"")</f>
        <v/>
      </c>
      <c r="P452" s="8" t="str">
        <f t="shared" si="24"/>
        <v/>
      </c>
      <c r="Q452" s="9"/>
    </row>
    <row r="453" spans="1:17" ht="15">
      <c r="A453" s="5" t="str">
        <f t="shared" si="22"/>
        <v/>
      </c>
      <c r="B453" s="6"/>
      <c r="C453" s="5" t="str">
        <f>IFERROR(VLOOKUP(B453,Lists!$A$2:$B$25,2,FALSE),"")</f>
        <v/>
      </c>
      <c r="D453" s="7"/>
      <c r="E453" s="6"/>
      <c r="F453" s="6" t="str">
        <f t="shared" si="23"/>
        <v/>
      </c>
      <c r="G453" s="6"/>
      <c r="H453" s="6"/>
      <c r="I453" s="6"/>
      <c r="J453" s="7"/>
      <c r="K453" s="5" t="str" cm="1">
        <f t="array" ref="K453">IF(OR(A453="",B453="",D453="",E453=""),"",A453&amp;"_"&amp;SUBSTITUTE(B453," ","-")&amp;"_"&amp;D453&amp;"_"&amp;SUBSTITUTE(SUBSTITUTE(E453," ",""),"€","Euro")&amp;"_"&amp;IF(F453="","Unknown",F453)&amp;IF(F453="Commemorative",IF(G453="","","_"&amp;SUBSTITUTE(SUBSTITUTE(SUBSTITUTE(G453," ","-"),"/","-"),CHAR(39),"")),"")&amp;IF(I453="Duplicate","_Dub"&amp;IF(SUMPRODUCT(($B$2:B453=B453)*($D$2:D453=D453)*($E$2:E453=E453)*($F$2:F453=F453)*($G$2:G453=G453)*($I$2:I453="Duplicate"))&lt;=1,"",SUMPRODUCT(($B$2:B453=B453)*($D$2:D453=D453)*($E$2:E453=E453)*($F$2:F453=F453)*($G$2:G453=G453)*($I$2:I453="Duplicate"))-1),"")&amp;".jpeg")</f>
        <v/>
      </c>
      <c r="L453" s="6"/>
      <c r="M453" s="5" t="str">
        <f>IFERROR(VLOOKUP(E453,Specifications!$A$2:$D$9,2,FALSE),"")</f>
        <v/>
      </c>
      <c r="N453" s="5" t="str">
        <f>IFERROR(VLOOKUP(E453,Specifications!$A$2:$D$9,3,FALSE),"")</f>
        <v/>
      </c>
      <c r="O453" s="5" t="str">
        <f>IFERROR(VLOOKUP(E453,Specifications!$A$2:$D$9,4,FALSE),"")</f>
        <v/>
      </c>
      <c r="P453" s="8" t="str">
        <f t="shared" si="24"/>
        <v/>
      </c>
      <c r="Q453" s="9"/>
    </row>
    <row r="454" spans="1:17" ht="15">
      <c r="A454" s="5" t="str">
        <f t="shared" si="22"/>
        <v/>
      </c>
      <c r="B454" s="6"/>
      <c r="C454" s="5" t="str">
        <f>IFERROR(VLOOKUP(B454,Lists!$A$2:$B$25,2,FALSE),"")</f>
        <v/>
      </c>
      <c r="D454" s="7"/>
      <c r="E454" s="6"/>
      <c r="F454" s="6" t="str">
        <f t="shared" si="23"/>
        <v/>
      </c>
      <c r="G454" s="6"/>
      <c r="H454" s="6"/>
      <c r="I454" s="6"/>
      <c r="J454" s="7"/>
      <c r="K454" s="5" t="str" cm="1">
        <f t="array" ref="K454">IF(OR(A454="",B454="",D454="",E454=""),"",A454&amp;"_"&amp;SUBSTITUTE(B454," ","-")&amp;"_"&amp;D454&amp;"_"&amp;SUBSTITUTE(SUBSTITUTE(E454," ",""),"€","Euro")&amp;"_"&amp;IF(F454="","Unknown",F454)&amp;IF(F454="Commemorative",IF(G454="","","_"&amp;SUBSTITUTE(SUBSTITUTE(SUBSTITUTE(G454," ","-"),"/","-"),CHAR(39),"")),"")&amp;IF(I454="Duplicate","_Dub"&amp;IF(SUMPRODUCT(($B$2:B454=B454)*($D$2:D454=D454)*($E$2:E454=E454)*($F$2:F454=F454)*($G$2:G454=G454)*($I$2:I454="Duplicate"))&lt;=1,"",SUMPRODUCT(($B$2:B454=B454)*($D$2:D454=D454)*($E$2:E454=E454)*($F$2:F454=F454)*($G$2:G454=G454)*($I$2:I454="Duplicate"))-1),"")&amp;".jpeg")</f>
        <v/>
      </c>
      <c r="L454" s="6"/>
      <c r="M454" s="5" t="str">
        <f>IFERROR(VLOOKUP(E454,Specifications!$A$2:$D$9,2,FALSE),"")</f>
        <v/>
      </c>
      <c r="N454" s="5" t="str">
        <f>IFERROR(VLOOKUP(E454,Specifications!$A$2:$D$9,3,FALSE),"")</f>
        <v/>
      </c>
      <c r="O454" s="5" t="str">
        <f>IFERROR(VLOOKUP(E454,Specifications!$A$2:$D$9,4,FALSE),"")</f>
        <v/>
      </c>
      <c r="P454" s="8" t="str">
        <f t="shared" si="24"/>
        <v/>
      </c>
      <c r="Q454" s="9"/>
    </row>
    <row r="455" spans="1:17" ht="15">
      <c r="A455" s="5" t="str">
        <f t="shared" si="22"/>
        <v/>
      </c>
      <c r="B455" s="6"/>
      <c r="C455" s="5" t="str">
        <f>IFERROR(VLOOKUP(B455,Lists!$A$2:$B$25,2,FALSE),"")</f>
        <v/>
      </c>
      <c r="D455" s="7"/>
      <c r="E455" s="6"/>
      <c r="F455" s="6" t="str">
        <f t="shared" si="23"/>
        <v/>
      </c>
      <c r="G455" s="6"/>
      <c r="H455" s="6"/>
      <c r="I455" s="6"/>
      <c r="J455" s="7"/>
      <c r="K455" s="5" t="str" cm="1">
        <f t="array" ref="K455">IF(OR(A455="",B455="",D455="",E455=""),"",A455&amp;"_"&amp;SUBSTITUTE(B455," ","-")&amp;"_"&amp;D455&amp;"_"&amp;SUBSTITUTE(SUBSTITUTE(E455," ",""),"€","Euro")&amp;"_"&amp;IF(F455="","Unknown",F455)&amp;IF(F455="Commemorative",IF(G455="","","_"&amp;SUBSTITUTE(SUBSTITUTE(SUBSTITUTE(G455," ","-"),"/","-"),CHAR(39),"")),"")&amp;IF(I455="Duplicate","_Dub"&amp;IF(SUMPRODUCT(($B$2:B455=B455)*($D$2:D455=D455)*($E$2:E455=E455)*($F$2:F455=F455)*($G$2:G455=G455)*($I$2:I455="Duplicate"))&lt;=1,"",SUMPRODUCT(($B$2:B455=B455)*($D$2:D455=D455)*($E$2:E455=E455)*($F$2:F455=F455)*($G$2:G455=G455)*($I$2:I455="Duplicate"))-1),"")&amp;".jpeg")</f>
        <v/>
      </c>
      <c r="L455" s="6"/>
      <c r="M455" s="5" t="str">
        <f>IFERROR(VLOOKUP(E455,Specifications!$A$2:$D$9,2,FALSE),"")</f>
        <v/>
      </c>
      <c r="N455" s="5" t="str">
        <f>IFERROR(VLOOKUP(E455,Specifications!$A$2:$D$9,3,FALSE),"")</f>
        <v/>
      </c>
      <c r="O455" s="5" t="str">
        <f>IFERROR(VLOOKUP(E455,Specifications!$A$2:$D$9,4,FALSE),"")</f>
        <v/>
      </c>
      <c r="P455" s="8" t="str">
        <f t="shared" si="24"/>
        <v/>
      </c>
      <c r="Q455" s="9"/>
    </row>
    <row r="456" spans="1:17" ht="15">
      <c r="A456" s="5" t="str">
        <f t="shared" si="22"/>
        <v/>
      </c>
      <c r="B456" s="6"/>
      <c r="C456" s="5" t="str">
        <f>IFERROR(VLOOKUP(B456,Lists!$A$2:$B$25,2,FALSE),"")</f>
        <v/>
      </c>
      <c r="D456" s="7"/>
      <c r="E456" s="6"/>
      <c r="F456" s="6" t="str">
        <f t="shared" si="23"/>
        <v/>
      </c>
      <c r="G456" s="6"/>
      <c r="H456" s="6"/>
      <c r="I456" s="6"/>
      <c r="J456" s="7"/>
      <c r="K456" s="5" t="str" cm="1">
        <f t="array" ref="K456">IF(OR(A456="",B456="",D456="",E456=""),"",A456&amp;"_"&amp;SUBSTITUTE(B456," ","-")&amp;"_"&amp;D456&amp;"_"&amp;SUBSTITUTE(SUBSTITUTE(E456," ",""),"€","Euro")&amp;"_"&amp;IF(F456="","Unknown",F456)&amp;IF(F456="Commemorative",IF(G456="","","_"&amp;SUBSTITUTE(SUBSTITUTE(SUBSTITUTE(G456," ","-"),"/","-"),CHAR(39),"")),"")&amp;IF(I456="Duplicate","_Dub"&amp;IF(SUMPRODUCT(($B$2:B456=B456)*($D$2:D456=D456)*($E$2:E456=E456)*($F$2:F456=F456)*($G$2:G456=G456)*($I$2:I456="Duplicate"))&lt;=1,"",SUMPRODUCT(($B$2:B456=B456)*($D$2:D456=D456)*($E$2:E456=E456)*($F$2:F456=F456)*($G$2:G456=G456)*($I$2:I456="Duplicate"))-1),"")&amp;".jpeg")</f>
        <v/>
      </c>
      <c r="L456" s="6"/>
      <c r="M456" s="5" t="str">
        <f>IFERROR(VLOOKUP(E456,Specifications!$A$2:$D$9,2,FALSE),"")</f>
        <v/>
      </c>
      <c r="N456" s="5" t="str">
        <f>IFERROR(VLOOKUP(E456,Specifications!$A$2:$D$9,3,FALSE),"")</f>
        <v/>
      </c>
      <c r="O456" s="5" t="str">
        <f>IFERROR(VLOOKUP(E456,Specifications!$A$2:$D$9,4,FALSE),"")</f>
        <v/>
      </c>
      <c r="P456" s="8" t="str">
        <f t="shared" si="24"/>
        <v/>
      </c>
      <c r="Q456" s="9"/>
    </row>
    <row r="457" spans="1:17" ht="15">
      <c r="A457" s="5" t="str">
        <f t="shared" si="22"/>
        <v/>
      </c>
      <c r="B457" s="6"/>
      <c r="C457" s="5" t="str">
        <f>IFERROR(VLOOKUP(B457,Lists!$A$2:$B$25,2,FALSE),"")</f>
        <v/>
      </c>
      <c r="D457" s="7"/>
      <c r="E457" s="6"/>
      <c r="F457" s="6" t="str">
        <f t="shared" si="23"/>
        <v/>
      </c>
      <c r="G457" s="6"/>
      <c r="H457" s="6"/>
      <c r="I457" s="6"/>
      <c r="J457" s="7"/>
      <c r="K457" s="5" t="str" cm="1">
        <f t="array" ref="K457">IF(OR(A457="",B457="",D457="",E457=""),"",A457&amp;"_"&amp;SUBSTITUTE(B457," ","-")&amp;"_"&amp;D457&amp;"_"&amp;SUBSTITUTE(SUBSTITUTE(E457," ",""),"€","Euro")&amp;"_"&amp;IF(F457="","Unknown",F457)&amp;IF(F457="Commemorative",IF(G457="","","_"&amp;SUBSTITUTE(SUBSTITUTE(SUBSTITUTE(G457," ","-"),"/","-"),CHAR(39),"")),"")&amp;IF(I457="Duplicate","_Dub"&amp;IF(SUMPRODUCT(($B$2:B457=B457)*($D$2:D457=D457)*($E$2:E457=E457)*($F$2:F457=F457)*($G$2:G457=G457)*($I$2:I457="Duplicate"))&lt;=1,"",SUMPRODUCT(($B$2:B457=B457)*($D$2:D457=D457)*($E$2:E457=E457)*($F$2:F457=F457)*($G$2:G457=G457)*($I$2:I457="Duplicate"))-1),"")&amp;".jpeg")</f>
        <v/>
      </c>
      <c r="L457" s="6"/>
      <c r="M457" s="5" t="str">
        <f>IFERROR(VLOOKUP(E457,Specifications!$A$2:$D$9,2,FALSE),"")</f>
        <v/>
      </c>
      <c r="N457" s="5" t="str">
        <f>IFERROR(VLOOKUP(E457,Specifications!$A$2:$D$9,3,FALSE),"")</f>
        <v/>
      </c>
      <c r="O457" s="5" t="str">
        <f>IFERROR(VLOOKUP(E457,Specifications!$A$2:$D$9,4,FALSE),"")</f>
        <v/>
      </c>
      <c r="P457" s="8" t="str">
        <f t="shared" si="24"/>
        <v/>
      </c>
      <c r="Q457" s="9"/>
    </row>
    <row r="458" spans="1:17" ht="15">
      <c r="A458" s="5" t="str">
        <f t="shared" si="22"/>
        <v/>
      </c>
      <c r="B458" s="6"/>
      <c r="C458" s="5" t="str">
        <f>IFERROR(VLOOKUP(B458,Lists!$A$2:$B$25,2,FALSE),"")</f>
        <v/>
      </c>
      <c r="D458" s="7"/>
      <c r="E458" s="6"/>
      <c r="F458" s="6" t="str">
        <f t="shared" si="23"/>
        <v/>
      </c>
      <c r="G458" s="6"/>
      <c r="H458" s="6"/>
      <c r="I458" s="6"/>
      <c r="J458" s="7"/>
      <c r="K458" s="5" t="str" cm="1">
        <f t="array" ref="K458">IF(OR(A458="",B458="",D458="",E458=""),"",A458&amp;"_"&amp;SUBSTITUTE(B458," ","-")&amp;"_"&amp;D458&amp;"_"&amp;SUBSTITUTE(SUBSTITUTE(E458," ",""),"€","Euro")&amp;"_"&amp;IF(F458="","Unknown",F458)&amp;IF(F458="Commemorative",IF(G458="","","_"&amp;SUBSTITUTE(SUBSTITUTE(SUBSTITUTE(G458," ","-"),"/","-"),CHAR(39),"")),"")&amp;IF(I458="Duplicate","_Dub"&amp;IF(SUMPRODUCT(($B$2:B458=B458)*($D$2:D458=D458)*($E$2:E458=E458)*($F$2:F458=F458)*($G$2:G458=G458)*($I$2:I458="Duplicate"))&lt;=1,"",SUMPRODUCT(($B$2:B458=B458)*($D$2:D458=D458)*($E$2:E458=E458)*($F$2:F458=F458)*($G$2:G458=G458)*($I$2:I458="Duplicate"))-1),"")&amp;".jpeg")</f>
        <v/>
      </c>
      <c r="L458" s="6"/>
      <c r="M458" s="5" t="str">
        <f>IFERROR(VLOOKUP(E458,Specifications!$A$2:$D$9,2,FALSE),"")</f>
        <v/>
      </c>
      <c r="N458" s="5" t="str">
        <f>IFERROR(VLOOKUP(E458,Specifications!$A$2:$D$9,3,FALSE),"")</f>
        <v/>
      </c>
      <c r="O458" s="5" t="str">
        <f>IFERROR(VLOOKUP(E458,Specifications!$A$2:$D$9,4,FALSE),"")</f>
        <v/>
      </c>
      <c r="P458" s="8" t="str">
        <f t="shared" si="24"/>
        <v/>
      </c>
      <c r="Q458" s="9"/>
    </row>
    <row r="459" spans="1:17" ht="15">
      <c r="A459" s="5" t="str">
        <f t="shared" si="22"/>
        <v/>
      </c>
      <c r="B459" s="6"/>
      <c r="C459" s="5" t="str">
        <f>IFERROR(VLOOKUP(B459,Lists!$A$2:$B$25,2,FALSE),"")</f>
        <v/>
      </c>
      <c r="D459" s="7"/>
      <c r="E459" s="6"/>
      <c r="F459" s="6" t="str">
        <f t="shared" si="23"/>
        <v/>
      </c>
      <c r="G459" s="6"/>
      <c r="H459" s="6"/>
      <c r="I459" s="6"/>
      <c r="J459" s="7"/>
      <c r="K459" s="5" t="str" cm="1">
        <f t="array" ref="K459">IF(OR(A459="",B459="",D459="",E459=""),"",A459&amp;"_"&amp;SUBSTITUTE(B459," ","-")&amp;"_"&amp;D459&amp;"_"&amp;SUBSTITUTE(SUBSTITUTE(E459," ",""),"€","Euro")&amp;"_"&amp;IF(F459="","Unknown",F459)&amp;IF(F459="Commemorative",IF(G459="","","_"&amp;SUBSTITUTE(SUBSTITUTE(SUBSTITUTE(G459," ","-"),"/","-"),CHAR(39),"")),"")&amp;IF(I459="Duplicate","_Dub"&amp;IF(SUMPRODUCT(($B$2:B459=B459)*($D$2:D459=D459)*($E$2:E459=E459)*($F$2:F459=F459)*($G$2:G459=G459)*($I$2:I459="Duplicate"))&lt;=1,"",SUMPRODUCT(($B$2:B459=B459)*($D$2:D459=D459)*($E$2:E459=E459)*($F$2:F459=F459)*($G$2:G459=G459)*($I$2:I459="Duplicate"))-1),"")&amp;".jpeg")</f>
        <v/>
      </c>
      <c r="L459" s="6"/>
      <c r="M459" s="5" t="str">
        <f>IFERROR(VLOOKUP(E459,Specifications!$A$2:$D$9,2,FALSE),"")</f>
        <v/>
      </c>
      <c r="N459" s="5" t="str">
        <f>IFERROR(VLOOKUP(E459,Specifications!$A$2:$D$9,3,FALSE),"")</f>
        <v/>
      </c>
      <c r="O459" s="5" t="str">
        <f>IFERROR(VLOOKUP(E459,Specifications!$A$2:$D$9,4,FALSE),"")</f>
        <v/>
      </c>
      <c r="P459" s="8" t="str">
        <f t="shared" si="24"/>
        <v/>
      </c>
      <c r="Q459" s="9"/>
    </row>
    <row r="460" spans="1:17" ht="15">
      <c r="A460" s="5" t="str">
        <f t="shared" si="22"/>
        <v/>
      </c>
      <c r="B460" s="6"/>
      <c r="C460" s="5" t="str">
        <f>IFERROR(VLOOKUP(B460,Lists!$A$2:$B$25,2,FALSE),"")</f>
        <v/>
      </c>
      <c r="D460" s="7"/>
      <c r="E460" s="6"/>
      <c r="F460" s="6" t="str">
        <f t="shared" si="23"/>
        <v/>
      </c>
      <c r="G460" s="6"/>
      <c r="H460" s="6"/>
      <c r="I460" s="6"/>
      <c r="J460" s="7"/>
      <c r="K460" s="5" t="str" cm="1">
        <f t="array" ref="K460">IF(OR(A460="",B460="",D460="",E460=""),"",A460&amp;"_"&amp;SUBSTITUTE(B460," ","-")&amp;"_"&amp;D460&amp;"_"&amp;SUBSTITUTE(SUBSTITUTE(E460," ",""),"€","Euro")&amp;"_"&amp;IF(F460="","Unknown",F460)&amp;IF(F460="Commemorative",IF(G460="","","_"&amp;SUBSTITUTE(SUBSTITUTE(SUBSTITUTE(G460," ","-"),"/","-"),CHAR(39),"")),"")&amp;IF(I460="Duplicate","_Dub"&amp;IF(SUMPRODUCT(($B$2:B460=B460)*($D$2:D460=D460)*($E$2:E460=E460)*($F$2:F460=F460)*($G$2:G460=G460)*($I$2:I460="Duplicate"))&lt;=1,"",SUMPRODUCT(($B$2:B460=B460)*($D$2:D460=D460)*($E$2:E460=E460)*($F$2:F460=F460)*($G$2:G460=G460)*($I$2:I460="Duplicate"))-1),"")&amp;".jpeg")</f>
        <v/>
      </c>
      <c r="L460" s="6"/>
      <c r="M460" s="5" t="str">
        <f>IFERROR(VLOOKUP(E460,Specifications!$A$2:$D$9,2,FALSE),"")</f>
        <v/>
      </c>
      <c r="N460" s="5" t="str">
        <f>IFERROR(VLOOKUP(E460,Specifications!$A$2:$D$9,3,FALSE),"")</f>
        <v/>
      </c>
      <c r="O460" s="5" t="str">
        <f>IFERROR(VLOOKUP(E460,Specifications!$A$2:$D$9,4,FALSE),"")</f>
        <v/>
      </c>
      <c r="P460" s="8" t="str">
        <f t="shared" si="24"/>
        <v/>
      </c>
      <c r="Q460" s="9"/>
    </row>
    <row r="461" spans="1:17" ht="15">
      <c r="A461" s="5" t="str">
        <f t="shared" si="22"/>
        <v/>
      </c>
      <c r="B461" s="6"/>
      <c r="C461" s="5" t="str">
        <f>IFERROR(VLOOKUP(B461,Lists!$A$2:$B$25,2,FALSE),"")</f>
        <v/>
      </c>
      <c r="D461" s="7"/>
      <c r="E461" s="6"/>
      <c r="F461" s="6" t="str">
        <f t="shared" si="23"/>
        <v/>
      </c>
      <c r="G461" s="6"/>
      <c r="H461" s="6"/>
      <c r="I461" s="6"/>
      <c r="J461" s="7"/>
      <c r="K461" s="5" t="str" cm="1">
        <f t="array" ref="K461">IF(OR(A461="",B461="",D461="",E461=""),"",A461&amp;"_"&amp;SUBSTITUTE(B461," ","-")&amp;"_"&amp;D461&amp;"_"&amp;SUBSTITUTE(SUBSTITUTE(E461," ",""),"€","Euro")&amp;"_"&amp;IF(F461="","Unknown",F461)&amp;IF(F461="Commemorative",IF(G461="","","_"&amp;SUBSTITUTE(SUBSTITUTE(SUBSTITUTE(G461," ","-"),"/","-"),CHAR(39),"")),"")&amp;IF(I461="Duplicate","_Dub"&amp;IF(SUMPRODUCT(($B$2:B461=B461)*($D$2:D461=D461)*($E$2:E461=E461)*($F$2:F461=F461)*($G$2:G461=G461)*($I$2:I461="Duplicate"))&lt;=1,"",SUMPRODUCT(($B$2:B461=B461)*($D$2:D461=D461)*($E$2:E461=E461)*($F$2:F461=F461)*($G$2:G461=G461)*($I$2:I461="Duplicate"))-1),"")&amp;".jpeg")</f>
        <v/>
      </c>
      <c r="L461" s="6"/>
      <c r="M461" s="5" t="str">
        <f>IFERROR(VLOOKUP(E461,Specifications!$A$2:$D$9,2,FALSE),"")</f>
        <v/>
      </c>
      <c r="N461" s="5" t="str">
        <f>IFERROR(VLOOKUP(E461,Specifications!$A$2:$D$9,3,FALSE),"")</f>
        <v/>
      </c>
      <c r="O461" s="5" t="str">
        <f>IFERROR(VLOOKUP(E461,Specifications!$A$2:$D$9,4,FALSE),"")</f>
        <v/>
      </c>
      <c r="P461" s="8" t="str">
        <f t="shared" si="24"/>
        <v/>
      </c>
      <c r="Q461" s="9"/>
    </row>
    <row r="462" spans="1:17" ht="15">
      <c r="A462" s="5" t="str">
        <f t="shared" si="22"/>
        <v/>
      </c>
      <c r="B462" s="6"/>
      <c r="C462" s="5" t="str">
        <f>IFERROR(VLOOKUP(B462,Lists!$A$2:$B$25,2,FALSE),"")</f>
        <v/>
      </c>
      <c r="D462" s="7"/>
      <c r="E462" s="6"/>
      <c r="F462" s="6" t="str">
        <f t="shared" si="23"/>
        <v/>
      </c>
      <c r="G462" s="6"/>
      <c r="H462" s="6"/>
      <c r="I462" s="6"/>
      <c r="J462" s="7"/>
      <c r="K462" s="5" t="str" cm="1">
        <f t="array" ref="K462">IF(OR(A462="",B462="",D462="",E462=""),"",A462&amp;"_"&amp;SUBSTITUTE(B462," ","-")&amp;"_"&amp;D462&amp;"_"&amp;SUBSTITUTE(SUBSTITUTE(E462," ",""),"€","Euro")&amp;"_"&amp;IF(F462="","Unknown",F462)&amp;IF(F462="Commemorative",IF(G462="","","_"&amp;SUBSTITUTE(SUBSTITUTE(SUBSTITUTE(G462," ","-"),"/","-"),CHAR(39),"")),"")&amp;IF(I462="Duplicate","_Dub"&amp;IF(SUMPRODUCT(($B$2:B462=B462)*($D$2:D462=D462)*($E$2:E462=E462)*($F$2:F462=F462)*($G$2:G462=G462)*($I$2:I462="Duplicate"))&lt;=1,"",SUMPRODUCT(($B$2:B462=B462)*($D$2:D462=D462)*($E$2:E462=E462)*($F$2:F462=F462)*($G$2:G462=G462)*($I$2:I462="Duplicate"))-1),"")&amp;".jpeg")</f>
        <v/>
      </c>
      <c r="L462" s="6"/>
      <c r="M462" s="5" t="str">
        <f>IFERROR(VLOOKUP(E462,Specifications!$A$2:$D$9,2,FALSE),"")</f>
        <v/>
      </c>
      <c r="N462" s="5" t="str">
        <f>IFERROR(VLOOKUP(E462,Specifications!$A$2:$D$9,3,FALSE),"")</f>
        <v/>
      </c>
      <c r="O462" s="5" t="str">
        <f>IFERROR(VLOOKUP(E462,Specifications!$A$2:$D$9,4,FALSE),"")</f>
        <v/>
      </c>
      <c r="P462" s="8" t="str">
        <f t="shared" si="24"/>
        <v/>
      </c>
      <c r="Q462" s="9"/>
    </row>
    <row r="463" spans="1:17" ht="15">
      <c r="A463" s="5" t="str">
        <f t="shared" si="22"/>
        <v/>
      </c>
      <c r="B463" s="6"/>
      <c r="C463" s="5" t="str">
        <f>IFERROR(VLOOKUP(B463,Lists!$A$2:$B$25,2,FALSE),"")</f>
        <v/>
      </c>
      <c r="D463" s="7"/>
      <c r="E463" s="6"/>
      <c r="F463" s="6" t="str">
        <f t="shared" si="23"/>
        <v/>
      </c>
      <c r="G463" s="6"/>
      <c r="H463" s="6"/>
      <c r="I463" s="6"/>
      <c r="J463" s="7"/>
      <c r="K463" s="5" t="str" cm="1">
        <f t="array" ref="K463">IF(OR(A463="",B463="",D463="",E463=""),"",A463&amp;"_"&amp;SUBSTITUTE(B463," ","-")&amp;"_"&amp;D463&amp;"_"&amp;SUBSTITUTE(SUBSTITUTE(E463," ",""),"€","Euro")&amp;"_"&amp;IF(F463="","Unknown",F463)&amp;IF(F463="Commemorative",IF(G463="","","_"&amp;SUBSTITUTE(SUBSTITUTE(SUBSTITUTE(G463," ","-"),"/","-"),CHAR(39),"")),"")&amp;IF(I463="Duplicate","_Dub"&amp;IF(SUMPRODUCT(($B$2:B463=B463)*($D$2:D463=D463)*($E$2:E463=E463)*($F$2:F463=F463)*($G$2:G463=G463)*($I$2:I463="Duplicate"))&lt;=1,"",SUMPRODUCT(($B$2:B463=B463)*($D$2:D463=D463)*($E$2:E463=E463)*($F$2:F463=F463)*($G$2:G463=G463)*($I$2:I463="Duplicate"))-1),"")&amp;".jpeg")</f>
        <v/>
      </c>
      <c r="L463" s="6"/>
      <c r="M463" s="5" t="str">
        <f>IFERROR(VLOOKUP(E463,Specifications!$A$2:$D$9,2,FALSE),"")</f>
        <v/>
      </c>
      <c r="N463" s="5" t="str">
        <f>IFERROR(VLOOKUP(E463,Specifications!$A$2:$D$9,3,FALSE),"")</f>
        <v/>
      </c>
      <c r="O463" s="5" t="str">
        <f>IFERROR(VLOOKUP(E463,Specifications!$A$2:$D$9,4,FALSE),"")</f>
        <v/>
      </c>
      <c r="P463" s="8" t="str">
        <f t="shared" si="24"/>
        <v/>
      </c>
      <c r="Q463" s="9"/>
    </row>
    <row r="464" spans="1:17" ht="15">
      <c r="A464" s="5" t="str">
        <f t="shared" si="22"/>
        <v/>
      </c>
      <c r="B464" s="6"/>
      <c r="C464" s="5" t="str">
        <f>IFERROR(VLOOKUP(B464,Lists!$A$2:$B$25,2,FALSE),"")</f>
        <v/>
      </c>
      <c r="D464" s="7"/>
      <c r="E464" s="6"/>
      <c r="F464" s="6" t="str">
        <f t="shared" si="23"/>
        <v/>
      </c>
      <c r="G464" s="6"/>
      <c r="H464" s="6"/>
      <c r="I464" s="6"/>
      <c r="J464" s="7"/>
      <c r="K464" s="5" t="str" cm="1">
        <f t="array" ref="K464">IF(OR(A464="",B464="",D464="",E464=""),"",A464&amp;"_"&amp;SUBSTITUTE(B464," ","-")&amp;"_"&amp;D464&amp;"_"&amp;SUBSTITUTE(SUBSTITUTE(E464," ",""),"€","Euro")&amp;"_"&amp;IF(F464="","Unknown",F464)&amp;IF(F464="Commemorative",IF(G464="","","_"&amp;SUBSTITUTE(SUBSTITUTE(SUBSTITUTE(G464," ","-"),"/","-"),CHAR(39),"")),"")&amp;IF(I464="Duplicate","_Dub"&amp;IF(SUMPRODUCT(($B$2:B464=B464)*($D$2:D464=D464)*($E$2:E464=E464)*($F$2:F464=F464)*($G$2:G464=G464)*($I$2:I464="Duplicate"))&lt;=1,"",SUMPRODUCT(($B$2:B464=B464)*($D$2:D464=D464)*($E$2:E464=E464)*($F$2:F464=F464)*($G$2:G464=G464)*($I$2:I464="Duplicate"))-1),"")&amp;".jpeg")</f>
        <v/>
      </c>
      <c r="L464" s="6"/>
      <c r="M464" s="5" t="str">
        <f>IFERROR(VLOOKUP(E464,Specifications!$A$2:$D$9,2,FALSE),"")</f>
        <v/>
      </c>
      <c r="N464" s="5" t="str">
        <f>IFERROR(VLOOKUP(E464,Specifications!$A$2:$D$9,3,FALSE),"")</f>
        <v/>
      </c>
      <c r="O464" s="5" t="str">
        <f>IFERROR(VLOOKUP(E464,Specifications!$A$2:$D$9,4,FALSE),"")</f>
        <v/>
      </c>
      <c r="P464" s="8" t="str">
        <f t="shared" si="24"/>
        <v/>
      </c>
      <c r="Q464" s="9"/>
    </row>
    <row r="465" spans="1:17" ht="15">
      <c r="A465" s="5" t="str">
        <f t="shared" si="22"/>
        <v/>
      </c>
      <c r="B465" s="6"/>
      <c r="C465" s="5" t="str">
        <f>IFERROR(VLOOKUP(B465,Lists!$A$2:$B$25,2,FALSE),"")</f>
        <v/>
      </c>
      <c r="D465" s="7"/>
      <c r="E465" s="6"/>
      <c r="F465" s="6" t="str">
        <f t="shared" si="23"/>
        <v/>
      </c>
      <c r="G465" s="6"/>
      <c r="H465" s="6"/>
      <c r="I465" s="6"/>
      <c r="J465" s="7"/>
      <c r="K465" s="5" t="str" cm="1">
        <f t="array" ref="K465">IF(OR(A465="",B465="",D465="",E465=""),"",A465&amp;"_"&amp;SUBSTITUTE(B465," ","-")&amp;"_"&amp;D465&amp;"_"&amp;SUBSTITUTE(SUBSTITUTE(E465," ",""),"€","Euro")&amp;"_"&amp;IF(F465="","Unknown",F465)&amp;IF(F465="Commemorative",IF(G465="","","_"&amp;SUBSTITUTE(SUBSTITUTE(SUBSTITUTE(G465," ","-"),"/","-"),CHAR(39),"")),"")&amp;IF(I465="Duplicate","_Dub"&amp;IF(SUMPRODUCT(($B$2:B465=B465)*($D$2:D465=D465)*($E$2:E465=E465)*($F$2:F465=F465)*($G$2:G465=G465)*($I$2:I465="Duplicate"))&lt;=1,"",SUMPRODUCT(($B$2:B465=B465)*($D$2:D465=D465)*($E$2:E465=E465)*($F$2:F465=F465)*($G$2:G465=G465)*($I$2:I465="Duplicate"))-1),"")&amp;".jpeg")</f>
        <v/>
      </c>
      <c r="L465" s="6"/>
      <c r="M465" s="5" t="str">
        <f>IFERROR(VLOOKUP(E465,Specifications!$A$2:$D$9,2,FALSE),"")</f>
        <v/>
      </c>
      <c r="N465" s="5" t="str">
        <f>IFERROR(VLOOKUP(E465,Specifications!$A$2:$D$9,3,FALSE),"")</f>
        <v/>
      </c>
      <c r="O465" s="5" t="str">
        <f>IFERROR(VLOOKUP(E465,Specifications!$A$2:$D$9,4,FALSE),"")</f>
        <v/>
      </c>
      <c r="P465" s="8" t="str">
        <f t="shared" si="24"/>
        <v/>
      </c>
      <c r="Q465" s="9"/>
    </row>
    <row r="466" spans="1:17" ht="15">
      <c r="A466" s="5" t="str">
        <f t="shared" si="22"/>
        <v/>
      </c>
      <c r="B466" s="6"/>
      <c r="C466" s="5" t="str">
        <f>IFERROR(VLOOKUP(B466,Lists!$A$2:$B$25,2,FALSE),"")</f>
        <v/>
      </c>
      <c r="D466" s="7"/>
      <c r="E466" s="6"/>
      <c r="F466" s="6" t="str">
        <f t="shared" si="23"/>
        <v/>
      </c>
      <c r="G466" s="6"/>
      <c r="H466" s="6"/>
      <c r="I466" s="6"/>
      <c r="J466" s="7"/>
      <c r="K466" s="5" t="str" cm="1">
        <f t="array" ref="K466">IF(OR(A466="",B466="",D466="",E466=""),"",A466&amp;"_"&amp;SUBSTITUTE(B466," ","-")&amp;"_"&amp;D466&amp;"_"&amp;SUBSTITUTE(SUBSTITUTE(E466," ",""),"€","Euro")&amp;"_"&amp;IF(F466="","Unknown",F466)&amp;IF(F466="Commemorative",IF(G466="","","_"&amp;SUBSTITUTE(SUBSTITUTE(SUBSTITUTE(G466," ","-"),"/","-"),CHAR(39),"")),"")&amp;IF(I466="Duplicate","_Dub"&amp;IF(SUMPRODUCT(($B$2:B466=B466)*($D$2:D466=D466)*($E$2:E466=E466)*($F$2:F466=F466)*($G$2:G466=G466)*($I$2:I466="Duplicate"))&lt;=1,"",SUMPRODUCT(($B$2:B466=B466)*($D$2:D466=D466)*($E$2:E466=E466)*($F$2:F466=F466)*($G$2:G466=G466)*($I$2:I466="Duplicate"))-1),"")&amp;".jpeg")</f>
        <v/>
      </c>
      <c r="L466" s="6"/>
      <c r="M466" s="5" t="str">
        <f>IFERROR(VLOOKUP(E466,Specifications!$A$2:$D$9,2,FALSE),"")</f>
        <v/>
      </c>
      <c r="N466" s="5" t="str">
        <f>IFERROR(VLOOKUP(E466,Specifications!$A$2:$D$9,3,FALSE),"")</f>
        <v/>
      </c>
      <c r="O466" s="5" t="str">
        <f>IFERROR(VLOOKUP(E466,Specifications!$A$2:$D$9,4,FALSE),"")</f>
        <v/>
      </c>
      <c r="P466" s="8" t="str">
        <f t="shared" si="24"/>
        <v/>
      </c>
      <c r="Q466" s="9"/>
    </row>
    <row r="467" spans="1:17" ht="15">
      <c r="A467" s="5" t="str">
        <f t="shared" si="22"/>
        <v/>
      </c>
      <c r="B467" s="6"/>
      <c r="C467" s="5" t="str">
        <f>IFERROR(VLOOKUP(B467,Lists!$A$2:$B$25,2,FALSE),"")</f>
        <v/>
      </c>
      <c r="D467" s="7"/>
      <c r="E467" s="6"/>
      <c r="F467" s="6" t="str">
        <f t="shared" si="23"/>
        <v/>
      </c>
      <c r="G467" s="6"/>
      <c r="H467" s="6"/>
      <c r="I467" s="6"/>
      <c r="J467" s="7"/>
      <c r="K467" s="5" t="str" cm="1">
        <f t="array" ref="K467">IF(OR(A467="",B467="",D467="",E467=""),"",A467&amp;"_"&amp;SUBSTITUTE(B467," ","-")&amp;"_"&amp;D467&amp;"_"&amp;SUBSTITUTE(SUBSTITUTE(E467," ",""),"€","Euro")&amp;"_"&amp;IF(F467="","Unknown",F467)&amp;IF(F467="Commemorative",IF(G467="","","_"&amp;SUBSTITUTE(SUBSTITUTE(SUBSTITUTE(G467," ","-"),"/","-"),CHAR(39),"")),"")&amp;IF(I467="Duplicate","_Dub"&amp;IF(SUMPRODUCT(($B$2:B467=B467)*($D$2:D467=D467)*($E$2:E467=E467)*($F$2:F467=F467)*($G$2:G467=G467)*($I$2:I467="Duplicate"))&lt;=1,"",SUMPRODUCT(($B$2:B467=B467)*($D$2:D467=D467)*($E$2:E467=E467)*($F$2:F467=F467)*($G$2:G467=G467)*($I$2:I467="Duplicate"))-1),"")&amp;".jpeg")</f>
        <v/>
      </c>
      <c r="L467" s="6"/>
      <c r="M467" s="5" t="str">
        <f>IFERROR(VLOOKUP(E467,Specifications!$A$2:$D$9,2,FALSE),"")</f>
        <v/>
      </c>
      <c r="N467" s="5" t="str">
        <f>IFERROR(VLOOKUP(E467,Specifications!$A$2:$D$9,3,FALSE),"")</f>
        <v/>
      </c>
      <c r="O467" s="5" t="str">
        <f>IFERROR(VLOOKUP(E467,Specifications!$A$2:$D$9,4,FALSE),"")</f>
        <v/>
      </c>
      <c r="P467" s="8" t="str">
        <f t="shared" si="24"/>
        <v/>
      </c>
      <c r="Q467" s="9"/>
    </row>
    <row r="468" spans="1:17" ht="15">
      <c r="A468" s="5" t="str">
        <f t="shared" si="22"/>
        <v/>
      </c>
      <c r="B468" s="6"/>
      <c r="C468" s="5" t="str">
        <f>IFERROR(VLOOKUP(B468,Lists!$A$2:$B$25,2,FALSE),"")</f>
        <v/>
      </c>
      <c r="D468" s="7"/>
      <c r="E468" s="6"/>
      <c r="F468" s="6" t="str">
        <f t="shared" si="23"/>
        <v/>
      </c>
      <c r="G468" s="6"/>
      <c r="H468" s="6"/>
      <c r="I468" s="6"/>
      <c r="J468" s="7"/>
      <c r="K468" s="5" t="str" cm="1">
        <f t="array" ref="K468">IF(OR(A468="",B468="",D468="",E468=""),"",A468&amp;"_"&amp;SUBSTITUTE(B468," ","-")&amp;"_"&amp;D468&amp;"_"&amp;SUBSTITUTE(SUBSTITUTE(E468," ",""),"€","Euro")&amp;"_"&amp;IF(F468="","Unknown",F468)&amp;IF(F468="Commemorative",IF(G468="","","_"&amp;SUBSTITUTE(SUBSTITUTE(SUBSTITUTE(G468," ","-"),"/","-"),CHAR(39),"")),"")&amp;IF(I468="Duplicate","_Dub"&amp;IF(SUMPRODUCT(($B$2:B468=B468)*($D$2:D468=D468)*($E$2:E468=E468)*($F$2:F468=F468)*($G$2:G468=G468)*($I$2:I468="Duplicate"))&lt;=1,"",SUMPRODUCT(($B$2:B468=B468)*($D$2:D468=D468)*($E$2:E468=E468)*($F$2:F468=F468)*($G$2:G468=G468)*($I$2:I468="Duplicate"))-1),"")&amp;".jpeg")</f>
        <v/>
      </c>
      <c r="L468" s="6"/>
      <c r="M468" s="5" t="str">
        <f>IFERROR(VLOOKUP(E468,Specifications!$A$2:$D$9,2,FALSE),"")</f>
        <v/>
      </c>
      <c r="N468" s="5" t="str">
        <f>IFERROR(VLOOKUP(E468,Specifications!$A$2:$D$9,3,FALSE),"")</f>
        <v/>
      </c>
      <c r="O468" s="5" t="str">
        <f>IFERROR(VLOOKUP(E468,Specifications!$A$2:$D$9,4,FALSE),"")</f>
        <v/>
      </c>
      <c r="P468" s="8" t="str">
        <f t="shared" si="24"/>
        <v/>
      </c>
      <c r="Q468" s="9"/>
    </row>
    <row r="469" spans="1:17" ht="15">
      <c r="A469" s="5" t="str">
        <f t="shared" si="22"/>
        <v/>
      </c>
      <c r="B469" s="6"/>
      <c r="C469" s="5" t="str">
        <f>IFERROR(VLOOKUP(B469,Lists!$A$2:$B$25,2,FALSE),"")</f>
        <v/>
      </c>
      <c r="D469" s="7"/>
      <c r="E469" s="6"/>
      <c r="F469" s="6" t="str">
        <f t="shared" si="23"/>
        <v/>
      </c>
      <c r="G469" s="6"/>
      <c r="H469" s="6"/>
      <c r="I469" s="6"/>
      <c r="J469" s="7"/>
      <c r="K469" s="5" t="str" cm="1">
        <f t="array" ref="K469">IF(OR(A469="",B469="",D469="",E469=""),"",A469&amp;"_"&amp;SUBSTITUTE(B469," ","-")&amp;"_"&amp;D469&amp;"_"&amp;SUBSTITUTE(SUBSTITUTE(E469," ",""),"€","Euro")&amp;"_"&amp;IF(F469="","Unknown",F469)&amp;IF(F469="Commemorative",IF(G469="","","_"&amp;SUBSTITUTE(SUBSTITUTE(SUBSTITUTE(G469," ","-"),"/","-"),CHAR(39),"")),"")&amp;IF(I469="Duplicate","_Dub"&amp;IF(SUMPRODUCT(($B$2:B469=B469)*($D$2:D469=D469)*($E$2:E469=E469)*($F$2:F469=F469)*($G$2:G469=G469)*($I$2:I469="Duplicate"))&lt;=1,"",SUMPRODUCT(($B$2:B469=B469)*($D$2:D469=D469)*($E$2:E469=E469)*($F$2:F469=F469)*($G$2:G469=G469)*($I$2:I469="Duplicate"))-1),"")&amp;".jpeg")</f>
        <v/>
      </c>
      <c r="L469" s="6"/>
      <c r="M469" s="5" t="str">
        <f>IFERROR(VLOOKUP(E469,Specifications!$A$2:$D$9,2,FALSE),"")</f>
        <v/>
      </c>
      <c r="N469" s="5" t="str">
        <f>IFERROR(VLOOKUP(E469,Specifications!$A$2:$D$9,3,FALSE),"")</f>
        <v/>
      </c>
      <c r="O469" s="5" t="str">
        <f>IFERROR(VLOOKUP(E469,Specifications!$A$2:$D$9,4,FALSE),"")</f>
        <v/>
      </c>
      <c r="P469" s="8" t="str">
        <f t="shared" si="24"/>
        <v/>
      </c>
      <c r="Q469" s="9"/>
    </row>
    <row r="470" spans="1:17" ht="15">
      <c r="A470" s="5" t="str">
        <f t="shared" si="22"/>
        <v/>
      </c>
      <c r="B470" s="6"/>
      <c r="C470" s="5" t="str">
        <f>IFERROR(VLOOKUP(B470,Lists!$A$2:$B$25,2,FALSE),"")</f>
        <v/>
      </c>
      <c r="D470" s="7"/>
      <c r="E470" s="6"/>
      <c r="F470" s="6" t="str">
        <f t="shared" si="23"/>
        <v/>
      </c>
      <c r="G470" s="6"/>
      <c r="H470" s="6"/>
      <c r="I470" s="6"/>
      <c r="J470" s="7"/>
      <c r="K470" s="5" t="str" cm="1">
        <f t="array" ref="K470">IF(OR(A470="",B470="",D470="",E470=""),"",A470&amp;"_"&amp;SUBSTITUTE(B470," ","-")&amp;"_"&amp;D470&amp;"_"&amp;SUBSTITUTE(SUBSTITUTE(E470," ",""),"€","Euro")&amp;"_"&amp;IF(F470="","Unknown",F470)&amp;IF(F470="Commemorative",IF(G470="","","_"&amp;SUBSTITUTE(SUBSTITUTE(SUBSTITUTE(G470," ","-"),"/","-"),CHAR(39),"")),"")&amp;IF(I470="Duplicate","_Dub"&amp;IF(SUMPRODUCT(($B$2:B470=B470)*($D$2:D470=D470)*($E$2:E470=E470)*($F$2:F470=F470)*($G$2:G470=G470)*($I$2:I470="Duplicate"))&lt;=1,"",SUMPRODUCT(($B$2:B470=B470)*($D$2:D470=D470)*($E$2:E470=E470)*($F$2:F470=F470)*($G$2:G470=G470)*($I$2:I470="Duplicate"))-1),"")&amp;".jpeg")</f>
        <v/>
      </c>
      <c r="L470" s="6"/>
      <c r="M470" s="5" t="str">
        <f>IFERROR(VLOOKUP(E470,Specifications!$A$2:$D$9,2,FALSE),"")</f>
        <v/>
      </c>
      <c r="N470" s="5" t="str">
        <f>IFERROR(VLOOKUP(E470,Specifications!$A$2:$D$9,3,FALSE),"")</f>
        <v/>
      </c>
      <c r="O470" s="5" t="str">
        <f>IFERROR(VLOOKUP(E470,Specifications!$A$2:$D$9,4,FALSE),"")</f>
        <v/>
      </c>
      <c r="P470" s="8" t="str">
        <f t="shared" si="24"/>
        <v/>
      </c>
      <c r="Q470" s="9"/>
    </row>
    <row r="471" spans="1:17" ht="15">
      <c r="A471" s="5" t="str">
        <f t="shared" si="22"/>
        <v/>
      </c>
      <c r="B471" s="6"/>
      <c r="C471" s="5" t="str">
        <f>IFERROR(VLOOKUP(B471,Lists!$A$2:$B$25,2,FALSE),"")</f>
        <v/>
      </c>
      <c r="D471" s="7"/>
      <c r="E471" s="6"/>
      <c r="F471" s="6" t="str">
        <f t="shared" si="23"/>
        <v/>
      </c>
      <c r="G471" s="6"/>
      <c r="H471" s="6"/>
      <c r="I471" s="6"/>
      <c r="J471" s="7"/>
      <c r="K471" s="5" t="str" cm="1">
        <f t="array" ref="K471">IF(OR(A471="",B471="",D471="",E471=""),"",A471&amp;"_"&amp;SUBSTITUTE(B471," ","-")&amp;"_"&amp;D471&amp;"_"&amp;SUBSTITUTE(SUBSTITUTE(E471," ",""),"€","Euro")&amp;"_"&amp;IF(F471="","Unknown",F471)&amp;IF(F471="Commemorative",IF(G471="","","_"&amp;SUBSTITUTE(SUBSTITUTE(SUBSTITUTE(G471," ","-"),"/","-"),CHAR(39),"")),"")&amp;IF(I471="Duplicate","_Dub"&amp;IF(SUMPRODUCT(($B$2:B471=B471)*($D$2:D471=D471)*($E$2:E471=E471)*($F$2:F471=F471)*($G$2:G471=G471)*($I$2:I471="Duplicate"))&lt;=1,"",SUMPRODUCT(($B$2:B471=B471)*($D$2:D471=D471)*($E$2:E471=E471)*($F$2:F471=F471)*($G$2:G471=G471)*($I$2:I471="Duplicate"))-1),"")&amp;".jpeg")</f>
        <v/>
      </c>
      <c r="L471" s="6"/>
      <c r="M471" s="5" t="str">
        <f>IFERROR(VLOOKUP(E471,Specifications!$A$2:$D$9,2,FALSE),"")</f>
        <v/>
      </c>
      <c r="N471" s="5" t="str">
        <f>IFERROR(VLOOKUP(E471,Specifications!$A$2:$D$9,3,FALSE),"")</f>
        <v/>
      </c>
      <c r="O471" s="5" t="str">
        <f>IFERROR(VLOOKUP(E471,Specifications!$A$2:$D$9,4,FALSE),"")</f>
        <v/>
      </c>
      <c r="P471" s="8" t="str">
        <f t="shared" si="24"/>
        <v/>
      </c>
      <c r="Q471" s="9"/>
    </row>
    <row r="472" spans="1:17" ht="15">
      <c r="A472" s="5" t="str">
        <f t="shared" si="22"/>
        <v/>
      </c>
      <c r="B472" s="6"/>
      <c r="C472" s="5" t="str">
        <f>IFERROR(VLOOKUP(B472,Lists!$A$2:$B$25,2,FALSE),"")</f>
        <v/>
      </c>
      <c r="D472" s="7"/>
      <c r="E472" s="6"/>
      <c r="F472" s="6" t="str">
        <f t="shared" si="23"/>
        <v/>
      </c>
      <c r="G472" s="6"/>
      <c r="H472" s="6"/>
      <c r="I472" s="6"/>
      <c r="J472" s="7"/>
      <c r="K472" s="5" t="str" cm="1">
        <f t="array" ref="K472">IF(OR(A472="",B472="",D472="",E472=""),"",A472&amp;"_"&amp;SUBSTITUTE(B472," ","-")&amp;"_"&amp;D472&amp;"_"&amp;SUBSTITUTE(SUBSTITUTE(E472," ",""),"€","Euro")&amp;"_"&amp;IF(F472="","Unknown",F472)&amp;IF(F472="Commemorative",IF(G472="","","_"&amp;SUBSTITUTE(SUBSTITUTE(SUBSTITUTE(G472," ","-"),"/","-"),CHAR(39),"")),"")&amp;IF(I472="Duplicate","_Dub"&amp;IF(SUMPRODUCT(($B$2:B472=B472)*($D$2:D472=D472)*($E$2:E472=E472)*($F$2:F472=F472)*($G$2:G472=G472)*($I$2:I472="Duplicate"))&lt;=1,"",SUMPRODUCT(($B$2:B472=B472)*($D$2:D472=D472)*($E$2:E472=E472)*($F$2:F472=F472)*($G$2:G472=G472)*($I$2:I472="Duplicate"))-1),"")&amp;".jpeg")</f>
        <v/>
      </c>
      <c r="L472" s="6"/>
      <c r="M472" s="5" t="str">
        <f>IFERROR(VLOOKUP(E472,Specifications!$A$2:$D$9,2,FALSE),"")</f>
        <v/>
      </c>
      <c r="N472" s="5" t="str">
        <f>IFERROR(VLOOKUP(E472,Specifications!$A$2:$D$9,3,FALSE),"")</f>
        <v/>
      </c>
      <c r="O472" s="5" t="str">
        <f>IFERROR(VLOOKUP(E472,Specifications!$A$2:$D$9,4,FALSE),"")</f>
        <v/>
      </c>
      <c r="P472" s="8" t="str">
        <f t="shared" si="24"/>
        <v/>
      </c>
      <c r="Q472" s="9"/>
    </row>
    <row r="473" spans="1:17" ht="15">
      <c r="A473" s="5" t="str">
        <f t="shared" si="22"/>
        <v/>
      </c>
      <c r="B473" s="6"/>
      <c r="C473" s="5" t="str">
        <f>IFERROR(VLOOKUP(B473,Lists!$A$2:$B$25,2,FALSE),"")</f>
        <v/>
      </c>
      <c r="D473" s="7"/>
      <c r="E473" s="6"/>
      <c r="F473" s="6" t="str">
        <f t="shared" si="23"/>
        <v/>
      </c>
      <c r="G473" s="6"/>
      <c r="H473" s="6"/>
      <c r="I473" s="6"/>
      <c r="J473" s="7"/>
      <c r="K473" s="5" t="str" cm="1">
        <f t="array" ref="K473">IF(OR(A473="",B473="",D473="",E473=""),"",A473&amp;"_"&amp;SUBSTITUTE(B473," ","-")&amp;"_"&amp;D473&amp;"_"&amp;SUBSTITUTE(SUBSTITUTE(E473," ",""),"€","Euro")&amp;"_"&amp;IF(F473="","Unknown",F473)&amp;IF(F473="Commemorative",IF(G473="","","_"&amp;SUBSTITUTE(SUBSTITUTE(SUBSTITUTE(G473," ","-"),"/","-"),CHAR(39),"")),"")&amp;IF(I473="Duplicate","_Dub"&amp;IF(SUMPRODUCT(($B$2:B473=B473)*($D$2:D473=D473)*($E$2:E473=E473)*($F$2:F473=F473)*($G$2:G473=G473)*($I$2:I473="Duplicate"))&lt;=1,"",SUMPRODUCT(($B$2:B473=B473)*($D$2:D473=D473)*($E$2:E473=E473)*($F$2:F473=F473)*($G$2:G473=G473)*($I$2:I473="Duplicate"))-1),"")&amp;".jpeg")</f>
        <v/>
      </c>
      <c r="L473" s="6"/>
      <c r="M473" s="5" t="str">
        <f>IFERROR(VLOOKUP(E473,Specifications!$A$2:$D$9,2,FALSE),"")</f>
        <v/>
      </c>
      <c r="N473" s="5" t="str">
        <f>IFERROR(VLOOKUP(E473,Specifications!$A$2:$D$9,3,FALSE),"")</f>
        <v/>
      </c>
      <c r="O473" s="5" t="str">
        <f>IFERROR(VLOOKUP(E473,Specifications!$A$2:$D$9,4,FALSE),"")</f>
        <v/>
      </c>
      <c r="P473" s="8" t="str">
        <f t="shared" si="24"/>
        <v/>
      </c>
      <c r="Q473" s="9"/>
    </row>
    <row r="474" spans="1:17" ht="15">
      <c r="A474" s="5" t="str">
        <f t="shared" si="22"/>
        <v/>
      </c>
      <c r="B474" s="6"/>
      <c r="C474" s="5" t="str">
        <f>IFERROR(VLOOKUP(B474,Lists!$A$2:$B$25,2,FALSE),"")</f>
        <v/>
      </c>
      <c r="D474" s="7"/>
      <c r="E474" s="6"/>
      <c r="F474" s="6" t="str">
        <f t="shared" si="23"/>
        <v/>
      </c>
      <c r="G474" s="6"/>
      <c r="H474" s="6"/>
      <c r="I474" s="6"/>
      <c r="J474" s="7"/>
      <c r="K474" s="5" t="str" cm="1">
        <f t="array" ref="K474">IF(OR(A474="",B474="",D474="",E474=""),"",A474&amp;"_"&amp;SUBSTITUTE(B474," ","-")&amp;"_"&amp;D474&amp;"_"&amp;SUBSTITUTE(SUBSTITUTE(E474," ",""),"€","Euro")&amp;"_"&amp;IF(F474="","Unknown",F474)&amp;IF(F474="Commemorative",IF(G474="","","_"&amp;SUBSTITUTE(SUBSTITUTE(SUBSTITUTE(G474," ","-"),"/","-"),CHAR(39),"")),"")&amp;IF(I474="Duplicate","_Dub"&amp;IF(SUMPRODUCT(($B$2:B474=B474)*($D$2:D474=D474)*($E$2:E474=E474)*($F$2:F474=F474)*($G$2:G474=G474)*($I$2:I474="Duplicate"))&lt;=1,"",SUMPRODUCT(($B$2:B474=B474)*($D$2:D474=D474)*($E$2:E474=E474)*($F$2:F474=F474)*($G$2:G474=G474)*($I$2:I474="Duplicate"))-1),"")&amp;".jpeg")</f>
        <v/>
      </c>
      <c r="L474" s="6"/>
      <c r="M474" s="5" t="str">
        <f>IFERROR(VLOOKUP(E474,Specifications!$A$2:$D$9,2,FALSE),"")</f>
        <v/>
      </c>
      <c r="N474" s="5" t="str">
        <f>IFERROR(VLOOKUP(E474,Specifications!$A$2:$D$9,3,FALSE),"")</f>
        <v/>
      </c>
      <c r="O474" s="5" t="str">
        <f>IFERROR(VLOOKUP(E474,Specifications!$A$2:$D$9,4,FALSE),"")</f>
        <v/>
      </c>
      <c r="P474" s="8" t="str">
        <f t="shared" si="24"/>
        <v/>
      </c>
      <c r="Q474" s="9"/>
    </row>
    <row r="475" spans="1:17" ht="15">
      <c r="A475" s="5" t="str">
        <f t="shared" si="22"/>
        <v/>
      </c>
      <c r="B475" s="6"/>
      <c r="C475" s="5" t="str">
        <f>IFERROR(VLOOKUP(B475,Lists!$A$2:$B$25,2,FALSE),"")</f>
        <v/>
      </c>
      <c r="D475" s="7"/>
      <c r="E475" s="6"/>
      <c r="F475" s="6" t="str">
        <f t="shared" si="23"/>
        <v/>
      </c>
      <c r="G475" s="6"/>
      <c r="H475" s="6"/>
      <c r="I475" s="6"/>
      <c r="J475" s="7"/>
      <c r="K475" s="5" t="str" cm="1">
        <f t="array" ref="K475">IF(OR(A475="",B475="",D475="",E475=""),"",A475&amp;"_"&amp;SUBSTITUTE(B475," ","-")&amp;"_"&amp;D475&amp;"_"&amp;SUBSTITUTE(SUBSTITUTE(E475," ",""),"€","Euro")&amp;"_"&amp;IF(F475="","Unknown",F475)&amp;IF(F475="Commemorative",IF(G475="","","_"&amp;SUBSTITUTE(SUBSTITUTE(SUBSTITUTE(G475," ","-"),"/","-"),CHAR(39),"")),"")&amp;IF(I475="Duplicate","_Dub"&amp;IF(SUMPRODUCT(($B$2:B475=B475)*($D$2:D475=D475)*($E$2:E475=E475)*($F$2:F475=F475)*($G$2:G475=G475)*($I$2:I475="Duplicate"))&lt;=1,"",SUMPRODUCT(($B$2:B475=B475)*($D$2:D475=D475)*($E$2:E475=E475)*($F$2:F475=F475)*($G$2:G475=G475)*($I$2:I475="Duplicate"))-1),"")&amp;".jpeg")</f>
        <v/>
      </c>
      <c r="L475" s="6"/>
      <c r="M475" s="5" t="str">
        <f>IFERROR(VLOOKUP(E475,Specifications!$A$2:$D$9,2,FALSE),"")</f>
        <v/>
      </c>
      <c r="N475" s="5" t="str">
        <f>IFERROR(VLOOKUP(E475,Specifications!$A$2:$D$9,3,FALSE),"")</f>
        <v/>
      </c>
      <c r="O475" s="5" t="str">
        <f>IFERROR(VLOOKUP(E475,Specifications!$A$2:$D$9,4,FALSE),"")</f>
        <v/>
      </c>
      <c r="P475" s="8" t="str">
        <f t="shared" si="24"/>
        <v/>
      </c>
      <c r="Q475" s="9"/>
    </row>
    <row r="476" spans="1:17" ht="15">
      <c r="A476" s="5" t="str">
        <f t="shared" si="22"/>
        <v/>
      </c>
      <c r="B476" s="6"/>
      <c r="C476" s="5" t="str">
        <f>IFERROR(VLOOKUP(B476,Lists!$A$2:$B$25,2,FALSE),"")</f>
        <v/>
      </c>
      <c r="D476" s="7"/>
      <c r="E476" s="6"/>
      <c r="F476" s="6" t="str">
        <f t="shared" si="23"/>
        <v/>
      </c>
      <c r="G476" s="6"/>
      <c r="H476" s="6"/>
      <c r="I476" s="6"/>
      <c r="J476" s="7"/>
      <c r="K476" s="5" t="str" cm="1">
        <f t="array" ref="K476">IF(OR(A476="",B476="",D476="",E476=""),"",A476&amp;"_"&amp;SUBSTITUTE(B476," ","-")&amp;"_"&amp;D476&amp;"_"&amp;SUBSTITUTE(SUBSTITUTE(E476," ",""),"€","Euro")&amp;"_"&amp;IF(F476="","Unknown",F476)&amp;IF(F476="Commemorative",IF(G476="","","_"&amp;SUBSTITUTE(SUBSTITUTE(SUBSTITUTE(G476," ","-"),"/","-"),CHAR(39),"")),"")&amp;IF(I476="Duplicate","_Dub"&amp;IF(SUMPRODUCT(($B$2:B476=B476)*($D$2:D476=D476)*($E$2:E476=E476)*($F$2:F476=F476)*($G$2:G476=G476)*($I$2:I476="Duplicate"))&lt;=1,"",SUMPRODUCT(($B$2:B476=B476)*($D$2:D476=D476)*($E$2:E476=E476)*($F$2:F476=F476)*($G$2:G476=G476)*($I$2:I476="Duplicate"))-1),"")&amp;".jpeg")</f>
        <v/>
      </c>
      <c r="L476" s="6"/>
      <c r="M476" s="5" t="str">
        <f>IFERROR(VLOOKUP(E476,Specifications!$A$2:$D$9,2,FALSE),"")</f>
        <v/>
      </c>
      <c r="N476" s="5" t="str">
        <f>IFERROR(VLOOKUP(E476,Specifications!$A$2:$D$9,3,FALSE),"")</f>
        <v/>
      </c>
      <c r="O476" s="5" t="str">
        <f>IFERROR(VLOOKUP(E476,Specifications!$A$2:$D$9,4,FALSE),"")</f>
        <v/>
      </c>
      <c r="P476" s="8" t="str">
        <f t="shared" si="24"/>
        <v/>
      </c>
      <c r="Q476" s="9"/>
    </row>
    <row r="477" spans="1:17" ht="15">
      <c r="A477" s="5" t="str">
        <f t="shared" si="22"/>
        <v/>
      </c>
      <c r="B477" s="6"/>
      <c r="C477" s="5" t="str">
        <f>IFERROR(VLOOKUP(B477,Lists!$A$2:$B$25,2,FALSE),"")</f>
        <v/>
      </c>
      <c r="D477" s="7"/>
      <c r="E477" s="6"/>
      <c r="F477" s="6" t="str">
        <f t="shared" si="23"/>
        <v/>
      </c>
      <c r="G477" s="6"/>
      <c r="H477" s="6"/>
      <c r="I477" s="6"/>
      <c r="J477" s="7"/>
      <c r="K477" s="5" t="str" cm="1">
        <f t="array" ref="K477">IF(OR(A477="",B477="",D477="",E477=""),"",A477&amp;"_"&amp;SUBSTITUTE(B477," ","-")&amp;"_"&amp;D477&amp;"_"&amp;SUBSTITUTE(SUBSTITUTE(E477," ",""),"€","Euro")&amp;"_"&amp;IF(F477="","Unknown",F477)&amp;IF(F477="Commemorative",IF(G477="","","_"&amp;SUBSTITUTE(SUBSTITUTE(SUBSTITUTE(G477," ","-"),"/","-"),CHAR(39),"")),"")&amp;IF(I477="Duplicate","_Dub"&amp;IF(SUMPRODUCT(($B$2:B477=B477)*($D$2:D477=D477)*($E$2:E477=E477)*($F$2:F477=F477)*($G$2:G477=G477)*($I$2:I477="Duplicate"))&lt;=1,"",SUMPRODUCT(($B$2:B477=B477)*($D$2:D477=D477)*($E$2:E477=E477)*($F$2:F477=F477)*($G$2:G477=G477)*($I$2:I477="Duplicate"))-1),"")&amp;".jpeg")</f>
        <v/>
      </c>
      <c r="L477" s="6"/>
      <c r="M477" s="5" t="str">
        <f>IFERROR(VLOOKUP(E477,Specifications!$A$2:$D$9,2,FALSE),"")</f>
        <v/>
      </c>
      <c r="N477" s="5" t="str">
        <f>IFERROR(VLOOKUP(E477,Specifications!$A$2:$D$9,3,FALSE),"")</f>
        <v/>
      </c>
      <c r="O477" s="5" t="str">
        <f>IFERROR(VLOOKUP(E477,Specifications!$A$2:$D$9,4,FALSE),"")</f>
        <v/>
      </c>
      <c r="P477" s="8" t="str">
        <f t="shared" si="24"/>
        <v/>
      </c>
      <c r="Q477" s="9"/>
    </row>
    <row r="478" spans="1:17" ht="15">
      <c r="A478" s="5" t="str">
        <f t="shared" si="22"/>
        <v/>
      </c>
      <c r="B478" s="6"/>
      <c r="C478" s="5" t="str">
        <f>IFERROR(VLOOKUP(B478,Lists!$A$2:$B$25,2,FALSE),"")</f>
        <v/>
      </c>
      <c r="D478" s="7"/>
      <c r="E478" s="6"/>
      <c r="F478" s="6" t="str">
        <f t="shared" si="23"/>
        <v/>
      </c>
      <c r="G478" s="6"/>
      <c r="H478" s="6"/>
      <c r="I478" s="6"/>
      <c r="J478" s="7"/>
      <c r="K478" s="5" t="str" cm="1">
        <f t="array" ref="K478">IF(OR(A478="",B478="",D478="",E478=""),"",A478&amp;"_"&amp;SUBSTITUTE(B478," ","-")&amp;"_"&amp;D478&amp;"_"&amp;SUBSTITUTE(SUBSTITUTE(E478," ",""),"€","Euro")&amp;"_"&amp;IF(F478="","Unknown",F478)&amp;IF(F478="Commemorative",IF(G478="","","_"&amp;SUBSTITUTE(SUBSTITUTE(SUBSTITUTE(G478," ","-"),"/","-"),CHAR(39),"")),"")&amp;IF(I478="Duplicate","_Dub"&amp;IF(SUMPRODUCT(($B$2:B478=B478)*($D$2:D478=D478)*($E$2:E478=E478)*($F$2:F478=F478)*($G$2:G478=G478)*($I$2:I478="Duplicate"))&lt;=1,"",SUMPRODUCT(($B$2:B478=B478)*($D$2:D478=D478)*($E$2:E478=E478)*($F$2:F478=F478)*($G$2:G478=G478)*($I$2:I478="Duplicate"))-1),"")&amp;".jpeg")</f>
        <v/>
      </c>
      <c r="L478" s="6"/>
      <c r="M478" s="5" t="str">
        <f>IFERROR(VLOOKUP(E478,Specifications!$A$2:$D$9,2,FALSE),"")</f>
        <v/>
      </c>
      <c r="N478" s="5" t="str">
        <f>IFERROR(VLOOKUP(E478,Specifications!$A$2:$D$9,3,FALSE),"")</f>
        <v/>
      </c>
      <c r="O478" s="5" t="str">
        <f>IFERROR(VLOOKUP(E478,Specifications!$A$2:$D$9,4,FALSE),"")</f>
        <v/>
      </c>
      <c r="P478" s="8" t="str">
        <f t="shared" si="24"/>
        <v/>
      </c>
      <c r="Q478" s="9"/>
    </row>
    <row r="479" spans="1:17" ht="15">
      <c r="A479" s="5" t="str">
        <f t="shared" si="22"/>
        <v/>
      </c>
      <c r="B479" s="6"/>
      <c r="C479" s="5" t="str">
        <f>IFERROR(VLOOKUP(B479,Lists!$A$2:$B$25,2,FALSE),"")</f>
        <v/>
      </c>
      <c r="D479" s="7"/>
      <c r="E479" s="6"/>
      <c r="F479" s="6" t="str">
        <f t="shared" si="23"/>
        <v/>
      </c>
      <c r="G479" s="6"/>
      <c r="H479" s="6"/>
      <c r="I479" s="6"/>
      <c r="J479" s="7"/>
      <c r="K479" s="5" t="str" cm="1">
        <f t="array" ref="K479">IF(OR(A479="",B479="",D479="",E479=""),"",A479&amp;"_"&amp;SUBSTITUTE(B479," ","-")&amp;"_"&amp;D479&amp;"_"&amp;SUBSTITUTE(SUBSTITUTE(E479," ",""),"€","Euro")&amp;"_"&amp;IF(F479="","Unknown",F479)&amp;IF(F479="Commemorative",IF(G479="","","_"&amp;SUBSTITUTE(SUBSTITUTE(SUBSTITUTE(G479," ","-"),"/","-"),CHAR(39),"")),"")&amp;IF(I479="Duplicate","_Dub"&amp;IF(SUMPRODUCT(($B$2:B479=B479)*($D$2:D479=D479)*($E$2:E479=E479)*($F$2:F479=F479)*($G$2:G479=G479)*($I$2:I479="Duplicate"))&lt;=1,"",SUMPRODUCT(($B$2:B479=B479)*($D$2:D479=D479)*($E$2:E479=E479)*($F$2:F479=F479)*($G$2:G479=G479)*($I$2:I479="Duplicate"))-1),"")&amp;".jpeg")</f>
        <v/>
      </c>
      <c r="L479" s="6"/>
      <c r="M479" s="5" t="str">
        <f>IFERROR(VLOOKUP(E479,Specifications!$A$2:$D$9,2,FALSE),"")</f>
        <v/>
      </c>
      <c r="N479" s="5" t="str">
        <f>IFERROR(VLOOKUP(E479,Specifications!$A$2:$D$9,3,FALSE),"")</f>
        <v/>
      </c>
      <c r="O479" s="5" t="str">
        <f>IFERROR(VLOOKUP(E479,Specifications!$A$2:$D$9,4,FALSE),"")</f>
        <v/>
      </c>
      <c r="P479" s="8" t="str">
        <f t="shared" si="24"/>
        <v/>
      </c>
      <c r="Q479" s="9"/>
    </row>
    <row r="480" spans="1:17" ht="15">
      <c r="A480" s="5" t="str">
        <f t="shared" si="22"/>
        <v/>
      </c>
      <c r="B480" s="6"/>
      <c r="C480" s="5" t="str">
        <f>IFERROR(VLOOKUP(B480,Lists!$A$2:$B$25,2,FALSE),"")</f>
        <v/>
      </c>
      <c r="D480" s="7"/>
      <c r="E480" s="6"/>
      <c r="F480" s="6" t="str">
        <f t="shared" si="23"/>
        <v/>
      </c>
      <c r="G480" s="6"/>
      <c r="H480" s="6"/>
      <c r="I480" s="6"/>
      <c r="J480" s="7"/>
      <c r="K480" s="5" t="str" cm="1">
        <f t="array" ref="K480">IF(OR(A480="",B480="",D480="",E480=""),"",A480&amp;"_"&amp;SUBSTITUTE(B480," ","-")&amp;"_"&amp;D480&amp;"_"&amp;SUBSTITUTE(SUBSTITUTE(E480," ",""),"€","Euro")&amp;"_"&amp;IF(F480="","Unknown",F480)&amp;IF(F480="Commemorative",IF(G480="","","_"&amp;SUBSTITUTE(SUBSTITUTE(SUBSTITUTE(G480," ","-"),"/","-"),CHAR(39),"")),"")&amp;IF(I480="Duplicate","_Dub"&amp;IF(SUMPRODUCT(($B$2:B480=B480)*($D$2:D480=D480)*($E$2:E480=E480)*($F$2:F480=F480)*($G$2:G480=G480)*($I$2:I480="Duplicate"))&lt;=1,"",SUMPRODUCT(($B$2:B480=B480)*($D$2:D480=D480)*($E$2:E480=E480)*($F$2:F480=F480)*($G$2:G480=G480)*($I$2:I480="Duplicate"))-1),"")&amp;".jpeg")</f>
        <v/>
      </c>
      <c r="L480" s="6"/>
      <c r="M480" s="5" t="str">
        <f>IFERROR(VLOOKUP(E480,Specifications!$A$2:$D$9,2,FALSE),"")</f>
        <v/>
      </c>
      <c r="N480" s="5" t="str">
        <f>IFERROR(VLOOKUP(E480,Specifications!$A$2:$D$9,3,FALSE),"")</f>
        <v/>
      </c>
      <c r="O480" s="5" t="str">
        <f>IFERROR(VLOOKUP(E480,Specifications!$A$2:$D$9,4,FALSE),"")</f>
        <v/>
      </c>
      <c r="P480" s="8" t="str">
        <f t="shared" si="24"/>
        <v/>
      </c>
      <c r="Q480" s="9"/>
    </row>
    <row r="481" spans="1:17" ht="15">
      <c r="A481" s="5" t="str">
        <f t="shared" si="22"/>
        <v/>
      </c>
      <c r="B481" s="6"/>
      <c r="C481" s="5" t="str">
        <f>IFERROR(VLOOKUP(B481,Lists!$A$2:$B$25,2,FALSE),"")</f>
        <v/>
      </c>
      <c r="D481" s="7"/>
      <c r="E481" s="6"/>
      <c r="F481" s="6" t="str">
        <f t="shared" si="23"/>
        <v/>
      </c>
      <c r="G481" s="6"/>
      <c r="H481" s="6"/>
      <c r="I481" s="6"/>
      <c r="J481" s="7"/>
      <c r="K481" s="5" t="str" cm="1">
        <f t="array" ref="K481">IF(OR(A481="",B481="",D481="",E481=""),"",A481&amp;"_"&amp;SUBSTITUTE(B481," ","-")&amp;"_"&amp;D481&amp;"_"&amp;SUBSTITUTE(SUBSTITUTE(E481," ",""),"€","Euro")&amp;"_"&amp;IF(F481="","Unknown",F481)&amp;IF(F481="Commemorative",IF(G481="","","_"&amp;SUBSTITUTE(SUBSTITUTE(SUBSTITUTE(G481," ","-"),"/","-"),CHAR(39),"")),"")&amp;IF(I481="Duplicate","_Dub"&amp;IF(SUMPRODUCT(($B$2:B481=B481)*($D$2:D481=D481)*($E$2:E481=E481)*($F$2:F481=F481)*($G$2:G481=G481)*($I$2:I481="Duplicate"))&lt;=1,"",SUMPRODUCT(($B$2:B481=B481)*($D$2:D481=D481)*($E$2:E481=E481)*($F$2:F481=F481)*($G$2:G481=G481)*($I$2:I481="Duplicate"))-1),"")&amp;".jpeg")</f>
        <v/>
      </c>
      <c r="L481" s="6"/>
      <c r="M481" s="5" t="str">
        <f>IFERROR(VLOOKUP(E481,Specifications!$A$2:$D$9,2,FALSE),"")</f>
        <v/>
      </c>
      <c r="N481" s="5" t="str">
        <f>IFERROR(VLOOKUP(E481,Specifications!$A$2:$D$9,3,FALSE),"")</f>
        <v/>
      </c>
      <c r="O481" s="5" t="str">
        <f>IFERROR(VLOOKUP(E481,Specifications!$A$2:$D$9,4,FALSE),"")</f>
        <v/>
      </c>
      <c r="P481" s="8" t="str">
        <f t="shared" si="24"/>
        <v/>
      </c>
      <c r="Q481" s="9"/>
    </row>
    <row r="482" spans="1:17" ht="15">
      <c r="A482" s="5" t="str">
        <f t="shared" si="22"/>
        <v/>
      </c>
      <c r="B482" s="6"/>
      <c r="C482" s="5" t="str">
        <f>IFERROR(VLOOKUP(B482,Lists!$A$2:$B$25,2,FALSE),"")</f>
        <v/>
      </c>
      <c r="D482" s="7"/>
      <c r="E482" s="6"/>
      <c r="F482" s="6" t="str">
        <f t="shared" si="23"/>
        <v/>
      </c>
      <c r="G482" s="6"/>
      <c r="H482" s="6"/>
      <c r="I482" s="6"/>
      <c r="J482" s="7"/>
      <c r="K482" s="5" t="str" cm="1">
        <f t="array" ref="K482">IF(OR(A482="",B482="",D482="",E482=""),"",A482&amp;"_"&amp;SUBSTITUTE(B482," ","-")&amp;"_"&amp;D482&amp;"_"&amp;SUBSTITUTE(SUBSTITUTE(E482," ",""),"€","Euro")&amp;"_"&amp;IF(F482="","Unknown",F482)&amp;IF(F482="Commemorative",IF(G482="","","_"&amp;SUBSTITUTE(SUBSTITUTE(SUBSTITUTE(G482," ","-"),"/","-"),CHAR(39),"")),"")&amp;IF(I482="Duplicate","_Dub"&amp;IF(SUMPRODUCT(($B$2:B482=B482)*($D$2:D482=D482)*($E$2:E482=E482)*($F$2:F482=F482)*($G$2:G482=G482)*($I$2:I482="Duplicate"))&lt;=1,"",SUMPRODUCT(($B$2:B482=B482)*($D$2:D482=D482)*($E$2:E482=E482)*($F$2:F482=F482)*($G$2:G482=G482)*($I$2:I482="Duplicate"))-1),"")&amp;".jpeg")</f>
        <v/>
      </c>
      <c r="L482" s="6"/>
      <c r="M482" s="5" t="str">
        <f>IFERROR(VLOOKUP(E482,Specifications!$A$2:$D$9,2,FALSE),"")</f>
        <v/>
      </c>
      <c r="N482" s="5" t="str">
        <f>IFERROR(VLOOKUP(E482,Specifications!$A$2:$D$9,3,FALSE),"")</f>
        <v/>
      </c>
      <c r="O482" s="5" t="str">
        <f>IFERROR(VLOOKUP(E482,Specifications!$A$2:$D$9,4,FALSE),"")</f>
        <v/>
      </c>
      <c r="P482" s="8" t="str">
        <f t="shared" si="24"/>
        <v/>
      </c>
      <c r="Q482" s="9"/>
    </row>
    <row r="483" spans="1:17" ht="15">
      <c r="A483" s="5" t="str">
        <f t="shared" si="22"/>
        <v/>
      </c>
      <c r="B483" s="6"/>
      <c r="C483" s="5" t="str">
        <f>IFERROR(VLOOKUP(B483,Lists!$A$2:$B$25,2,FALSE),"")</f>
        <v/>
      </c>
      <c r="D483" s="7"/>
      <c r="E483" s="6"/>
      <c r="F483" s="6" t="str">
        <f t="shared" si="23"/>
        <v/>
      </c>
      <c r="G483" s="6"/>
      <c r="H483" s="6"/>
      <c r="I483" s="6"/>
      <c r="J483" s="7"/>
      <c r="K483" s="5" t="str" cm="1">
        <f t="array" ref="K483">IF(OR(A483="",B483="",D483="",E483=""),"",A483&amp;"_"&amp;SUBSTITUTE(B483," ","-")&amp;"_"&amp;D483&amp;"_"&amp;SUBSTITUTE(SUBSTITUTE(E483," ",""),"€","Euro")&amp;"_"&amp;IF(F483="","Unknown",F483)&amp;IF(F483="Commemorative",IF(G483="","","_"&amp;SUBSTITUTE(SUBSTITUTE(SUBSTITUTE(G483," ","-"),"/","-"),CHAR(39),"")),"")&amp;IF(I483="Duplicate","_Dub"&amp;IF(SUMPRODUCT(($B$2:B483=B483)*($D$2:D483=D483)*($E$2:E483=E483)*($F$2:F483=F483)*($G$2:G483=G483)*($I$2:I483="Duplicate"))&lt;=1,"",SUMPRODUCT(($B$2:B483=B483)*($D$2:D483=D483)*($E$2:E483=E483)*($F$2:F483=F483)*($G$2:G483=G483)*($I$2:I483="Duplicate"))-1),"")&amp;".jpeg")</f>
        <v/>
      </c>
      <c r="L483" s="6"/>
      <c r="M483" s="5" t="str">
        <f>IFERROR(VLOOKUP(E483,Specifications!$A$2:$D$9,2,FALSE),"")</f>
        <v/>
      </c>
      <c r="N483" s="5" t="str">
        <f>IFERROR(VLOOKUP(E483,Specifications!$A$2:$D$9,3,FALSE),"")</f>
        <v/>
      </c>
      <c r="O483" s="5" t="str">
        <f>IFERROR(VLOOKUP(E483,Specifications!$A$2:$D$9,4,FALSE),"")</f>
        <v/>
      </c>
      <c r="P483" s="8" t="str">
        <f t="shared" si="24"/>
        <v/>
      </c>
      <c r="Q483" s="9"/>
    </row>
    <row r="484" spans="1:17" ht="15">
      <c r="A484" s="5" t="str">
        <f t="shared" si="22"/>
        <v/>
      </c>
      <c r="B484" s="6"/>
      <c r="C484" s="5" t="str">
        <f>IFERROR(VLOOKUP(B484,Lists!$A$2:$B$25,2,FALSE),"")</f>
        <v/>
      </c>
      <c r="D484" s="7"/>
      <c r="E484" s="6"/>
      <c r="F484" s="6" t="str">
        <f t="shared" si="23"/>
        <v/>
      </c>
      <c r="G484" s="6"/>
      <c r="H484" s="6"/>
      <c r="I484" s="6"/>
      <c r="J484" s="7"/>
      <c r="K484" s="5" t="str" cm="1">
        <f t="array" ref="K484">IF(OR(A484="",B484="",D484="",E484=""),"",A484&amp;"_"&amp;SUBSTITUTE(B484," ","-")&amp;"_"&amp;D484&amp;"_"&amp;SUBSTITUTE(SUBSTITUTE(E484," ",""),"€","Euro")&amp;"_"&amp;IF(F484="","Unknown",F484)&amp;IF(F484="Commemorative",IF(G484="","","_"&amp;SUBSTITUTE(SUBSTITUTE(SUBSTITUTE(G484," ","-"),"/","-"),CHAR(39),"")),"")&amp;IF(I484="Duplicate","_Dub"&amp;IF(SUMPRODUCT(($B$2:B484=B484)*($D$2:D484=D484)*($E$2:E484=E484)*($F$2:F484=F484)*($G$2:G484=G484)*($I$2:I484="Duplicate"))&lt;=1,"",SUMPRODUCT(($B$2:B484=B484)*($D$2:D484=D484)*($E$2:E484=E484)*($F$2:F484=F484)*($G$2:G484=G484)*($I$2:I484="Duplicate"))-1),"")&amp;".jpeg")</f>
        <v/>
      </c>
      <c r="L484" s="6"/>
      <c r="M484" s="5" t="str">
        <f>IFERROR(VLOOKUP(E484,Specifications!$A$2:$D$9,2,FALSE),"")</f>
        <v/>
      </c>
      <c r="N484" s="5" t="str">
        <f>IFERROR(VLOOKUP(E484,Specifications!$A$2:$D$9,3,FALSE),"")</f>
        <v/>
      </c>
      <c r="O484" s="5" t="str">
        <f>IFERROR(VLOOKUP(E484,Specifications!$A$2:$D$9,4,FALSE),"")</f>
        <v/>
      </c>
      <c r="P484" s="8" t="str">
        <f t="shared" si="24"/>
        <v/>
      </c>
      <c r="Q484" s="9"/>
    </row>
    <row r="485" spans="1:17" ht="15">
      <c r="A485" s="5" t="str">
        <f t="shared" si="22"/>
        <v/>
      </c>
      <c r="B485" s="6"/>
      <c r="C485" s="5" t="str">
        <f>IFERROR(VLOOKUP(B485,Lists!$A$2:$B$25,2,FALSE),"")</f>
        <v/>
      </c>
      <c r="D485" s="7"/>
      <c r="E485" s="6"/>
      <c r="F485" s="6" t="str">
        <f t="shared" si="23"/>
        <v/>
      </c>
      <c r="G485" s="6"/>
      <c r="H485" s="6"/>
      <c r="I485" s="6"/>
      <c r="J485" s="7"/>
      <c r="K485" s="5" t="str" cm="1">
        <f t="array" ref="K485">IF(OR(A485="",B485="",D485="",E485=""),"",A485&amp;"_"&amp;SUBSTITUTE(B485," ","-")&amp;"_"&amp;D485&amp;"_"&amp;SUBSTITUTE(SUBSTITUTE(E485," ",""),"€","Euro")&amp;"_"&amp;IF(F485="","Unknown",F485)&amp;IF(F485="Commemorative",IF(G485="","","_"&amp;SUBSTITUTE(SUBSTITUTE(SUBSTITUTE(G485," ","-"),"/","-"),CHAR(39),"")),"")&amp;IF(I485="Duplicate","_Dub"&amp;IF(SUMPRODUCT(($B$2:B485=B485)*($D$2:D485=D485)*($E$2:E485=E485)*($F$2:F485=F485)*($G$2:G485=G485)*($I$2:I485="Duplicate"))&lt;=1,"",SUMPRODUCT(($B$2:B485=B485)*($D$2:D485=D485)*($E$2:E485=E485)*($F$2:F485=F485)*($G$2:G485=G485)*($I$2:I485="Duplicate"))-1),"")&amp;".jpeg")</f>
        <v/>
      </c>
      <c r="L485" s="6"/>
      <c r="M485" s="5" t="str">
        <f>IFERROR(VLOOKUP(E485,Specifications!$A$2:$D$9,2,FALSE),"")</f>
        <v/>
      </c>
      <c r="N485" s="5" t="str">
        <f>IFERROR(VLOOKUP(E485,Specifications!$A$2:$D$9,3,FALSE),"")</f>
        <v/>
      </c>
      <c r="O485" s="5" t="str">
        <f>IFERROR(VLOOKUP(E485,Specifications!$A$2:$D$9,4,FALSE),"")</f>
        <v/>
      </c>
      <c r="P485" s="8" t="str">
        <f t="shared" si="24"/>
        <v/>
      </c>
      <c r="Q485" s="9"/>
    </row>
    <row r="486" spans="1:17" ht="15">
      <c r="A486" s="5" t="str">
        <f t="shared" si="22"/>
        <v/>
      </c>
      <c r="B486" s="6"/>
      <c r="C486" s="5" t="str">
        <f>IFERROR(VLOOKUP(B486,Lists!$A$2:$B$25,2,FALSE),"")</f>
        <v/>
      </c>
      <c r="D486" s="7"/>
      <c r="E486" s="6"/>
      <c r="F486" s="6" t="str">
        <f t="shared" si="23"/>
        <v/>
      </c>
      <c r="G486" s="6"/>
      <c r="H486" s="6"/>
      <c r="I486" s="6"/>
      <c r="J486" s="7"/>
      <c r="K486" s="5" t="str" cm="1">
        <f t="array" ref="K486">IF(OR(A486="",B486="",D486="",E486=""),"",A486&amp;"_"&amp;SUBSTITUTE(B486," ","-")&amp;"_"&amp;D486&amp;"_"&amp;SUBSTITUTE(SUBSTITUTE(E486," ",""),"€","Euro")&amp;"_"&amp;IF(F486="","Unknown",F486)&amp;IF(F486="Commemorative",IF(G486="","","_"&amp;SUBSTITUTE(SUBSTITUTE(SUBSTITUTE(G486," ","-"),"/","-"),CHAR(39),"")),"")&amp;IF(I486="Duplicate","_Dub"&amp;IF(SUMPRODUCT(($B$2:B486=B486)*($D$2:D486=D486)*($E$2:E486=E486)*($F$2:F486=F486)*($G$2:G486=G486)*($I$2:I486="Duplicate"))&lt;=1,"",SUMPRODUCT(($B$2:B486=B486)*($D$2:D486=D486)*($E$2:E486=E486)*($F$2:F486=F486)*($G$2:G486=G486)*($I$2:I486="Duplicate"))-1),"")&amp;".jpeg")</f>
        <v/>
      </c>
      <c r="L486" s="6"/>
      <c r="M486" s="5" t="str">
        <f>IFERROR(VLOOKUP(E486,Specifications!$A$2:$D$9,2,FALSE),"")</f>
        <v/>
      </c>
      <c r="N486" s="5" t="str">
        <f>IFERROR(VLOOKUP(E486,Specifications!$A$2:$D$9,3,FALSE),"")</f>
        <v/>
      </c>
      <c r="O486" s="5" t="str">
        <f>IFERROR(VLOOKUP(E486,Specifications!$A$2:$D$9,4,FALSE),"")</f>
        <v/>
      </c>
      <c r="P486" s="8" t="str">
        <f t="shared" si="24"/>
        <v/>
      </c>
      <c r="Q486" s="9"/>
    </row>
    <row r="487" spans="1:17" ht="15">
      <c r="A487" s="5" t="str">
        <f t="shared" si="22"/>
        <v/>
      </c>
      <c r="B487" s="6"/>
      <c r="C487" s="5" t="str">
        <f>IFERROR(VLOOKUP(B487,Lists!$A$2:$B$25,2,FALSE),"")</f>
        <v/>
      </c>
      <c r="D487" s="7"/>
      <c r="E487" s="6"/>
      <c r="F487" s="6" t="str">
        <f t="shared" si="23"/>
        <v/>
      </c>
      <c r="G487" s="6"/>
      <c r="H487" s="6"/>
      <c r="I487" s="6"/>
      <c r="J487" s="7"/>
      <c r="K487" s="5" t="str" cm="1">
        <f t="array" ref="K487">IF(OR(A487="",B487="",D487="",E487=""),"",A487&amp;"_"&amp;SUBSTITUTE(B487," ","-")&amp;"_"&amp;D487&amp;"_"&amp;SUBSTITUTE(SUBSTITUTE(E487," ",""),"€","Euro")&amp;"_"&amp;IF(F487="","Unknown",F487)&amp;IF(F487="Commemorative",IF(G487="","","_"&amp;SUBSTITUTE(SUBSTITUTE(SUBSTITUTE(G487," ","-"),"/","-"),CHAR(39),"")),"")&amp;IF(I487="Duplicate","_Dub"&amp;IF(SUMPRODUCT(($B$2:B487=B487)*($D$2:D487=D487)*($E$2:E487=E487)*($F$2:F487=F487)*($G$2:G487=G487)*($I$2:I487="Duplicate"))&lt;=1,"",SUMPRODUCT(($B$2:B487=B487)*($D$2:D487=D487)*($E$2:E487=E487)*($F$2:F487=F487)*($G$2:G487=G487)*($I$2:I487="Duplicate"))-1),"")&amp;".jpeg")</f>
        <v/>
      </c>
      <c r="L487" s="6"/>
      <c r="M487" s="5" t="str">
        <f>IFERROR(VLOOKUP(E487,Specifications!$A$2:$D$9,2,FALSE),"")</f>
        <v/>
      </c>
      <c r="N487" s="5" t="str">
        <f>IFERROR(VLOOKUP(E487,Specifications!$A$2:$D$9,3,FALSE),"")</f>
        <v/>
      </c>
      <c r="O487" s="5" t="str">
        <f>IFERROR(VLOOKUP(E487,Specifications!$A$2:$D$9,4,FALSE),"")</f>
        <v/>
      </c>
      <c r="P487" s="8" t="str">
        <f t="shared" si="24"/>
        <v/>
      </c>
      <c r="Q487" s="9"/>
    </row>
    <row r="488" spans="1:17" ht="15">
      <c r="A488" s="5" t="str">
        <f t="shared" si="22"/>
        <v/>
      </c>
      <c r="B488" s="6"/>
      <c r="C488" s="5" t="str">
        <f>IFERROR(VLOOKUP(B488,Lists!$A$2:$B$25,2,FALSE),"")</f>
        <v/>
      </c>
      <c r="D488" s="7"/>
      <c r="E488" s="6"/>
      <c r="F488" s="6" t="str">
        <f t="shared" si="23"/>
        <v/>
      </c>
      <c r="G488" s="6"/>
      <c r="H488" s="6"/>
      <c r="I488" s="6"/>
      <c r="J488" s="7"/>
      <c r="K488" s="5" t="str" cm="1">
        <f t="array" ref="K488">IF(OR(A488="",B488="",D488="",E488=""),"",A488&amp;"_"&amp;SUBSTITUTE(B488," ","-")&amp;"_"&amp;D488&amp;"_"&amp;SUBSTITUTE(SUBSTITUTE(E488," ",""),"€","Euro")&amp;"_"&amp;IF(F488="","Unknown",F488)&amp;IF(F488="Commemorative",IF(G488="","","_"&amp;SUBSTITUTE(SUBSTITUTE(SUBSTITUTE(G488," ","-"),"/","-"),CHAR(39),"")),"")&amp;IF(I488="Duplicate","_Dub"&amp;IF(SUMPRODUCT(($B$2:B488=B488)*($D$2:D488=D488)*($E$2:E488=E488)*($F$2:F488=F488)*($G$2:G488=G488)*($I$2:I488="Duplicate"))&lt;=1,"",SUMPRODUCT(($B$2:B488=B488)*($D$2:D488=D488)*($E$2:E488=E488)*($F$2:F488=F488)*($G$2:G488=G488)*($I$2:I488="Duplicate"))-1),"")&amp;".jpeg")</f>
        <v/>
      </c>
      <c r="L488" s="6"/>
      <c r="M488" s="5" t="str">
        <f>IFERROR(VLOOKUP(E488,Specifications!$A$2:$D$9,2,FALSE),"")</f>
        <v/>
      </c>
      <c r="N488" s="5" t="str">
        <f>IFERROR(VLOOKUP(E488,Specifications!$A$2:$D$9,3,FALSE),"")</f>
        <v/>
      </c>
      <c r="O488" s="5" t="str">
        <f>IFERROR(VLOOKUP(E488,Specifications!$A$2:$D$9,4,FALSE),"")</f>
        <v/>
      </c>
      <c r="P488" s="8" t="str">
        <f t="shared" si="24"/>
        <v/>
      </c>
      <c r="Q488" s="9"/>
    </row>
    <row r="489" spans="1:17" ht="15">
      <c r="A489" s="5" t="str">
        <f t="shared" si="22"/>
        <v/>
      </c>
      <c r="B489" s="6"/>
      <c r="C489" s="5" t="str">
        <f>IFERROR(VLOOKUP(B489,Lists!$A$2:$B$25,2,FALSE),"")</f>
        <v/>
      </c>
      <c r="D489" s="7"/>
      <c r="E489" s="6"/>
      <c r="F489" s="6" t="str">
        <f t="shared" si="23"/>
        <v/>
      </c>
      <c r="G489" s="6"/>
      <c r="H489" s="6"/>
      <c r="I489" s="6"/>
      <c r="J489" s="7"/>
      <c r="K489" s="5" t="str" cm="1">
        <f t="array" ref="K489">IF(OR(A489="",B489="",D489="",E489=""),"",A489&amp;"_"&amp;SUBSTITUTE(B489," ","-")&amp;"_"&amp;D489&amp;"_"&amp;SUBSTITUTE(SUBSTITUTE(E489," ",""),"€","Euro")&amp;"_"&amp;IF(F489="","Unknown",F489)&amp;IF(F489="Commemorative",IF(G489="","","_"&amp;SUBSTITUTE(SUBSTITUTE(SUBSTITUTE(G489," ","-"),"/","-"),CHAR(39),"")),"")&amp;IF(I489="Duplicate","_Dub"&amp;IF(SUMPRODUCT(($B$2:B489=B489)*($D$2:D489=D489)*($E$2:E489=E489)*($F$2:F489=F489)*($G$2:G489=G489)*($I$2:I489="Duplicate"))&lt;=1,"",SUMPRODUCT(($B$2:B489=B489)*($D$2:D489=D489)*($E$2:E489=E489)*($F$2:F489=F489)*($G$2:G489=G489)*($I$2:I489="Duplicate"))-1),"")&amp;".jpeg")</f>
        <v/>
      </c>
      <c r="L489" s="6"/>
      <c r="M489" s="5" t="str">
        <f>IFERROR(VLOOKUP(E489,Specifications!$A$2:$D$9,2,FALSE),"")</f>
        <v/>
      </c>
      <c r="N489" s="5" t="str">
        <f>IFERROR(VLOOKUP(E489,Specifications!$A$2:$D$9,3,FALSE),"")</f>
        <v/>
      </c>
      <c r="O489" s="5" t="str">
        <f>IFERROR(VLOOKUP(E489,Specifications!$A$2:$D$9,4,FALSE),"")</f>
        <v/>
      </c>
      <c r="P489" s="8" t="str">
        <f t="shared" si="24"/>
        <v/>
      </c>
      <c r="Q489" s="9"/>
    </row>
    <row r="490" spans="1:17" ht="15">
      <c r="A490" s="5" t="str">
        <f t="shared" si="22"/>
        <v/>
      </c>
      <c r="B490" s="6"/>
      <c r="C490" s="5" t="str">
        <f>IFERROR(VLOOKUP(B490,Lists!$A$2:$B$25,2,FALSE),"")</f>
        <v/>
      </c>
      <c r="D490" s="7"/>
      <c r="E490" s="6"/>
      <c r="F490" s="6" t="str">
        <f t="shared" si="23"/>
        <v/>
      </c>
      <c r="G490" s="6"/>
      <c r="H490" s="6"/>
      <c r="I490" s="6"/>
      <c r="J490" s="7"/>
      <c r="K490" s="5" t="str" cm="1">
        <f t="array" ref="K490">IF(OR(A490="",B490="",D490="",E490=""),"",A490&amp;"_"&amp;SUBSTITUTE(B490," ","-")&amp;"_"&amp;D490&amp;"_"&amp;SUBSTITUTE(SUBSTITUTE(E490," ",""),"€","Euro")&amp;"_"&amp;IF(F490="","Unknown",F490)&amp;IF(F490="Commemorative",IF(G490="","","_"&amp;SUBSTITUTE(SUBSTITUTE(SUBSTITUTE(G490," ","-"),"/","-"),CHAR(39),"")),"")&amp;IF(I490="Duplicate","_Dub"&amp;IF(SUMPRODUCT(($B$2:B490=B490)*($D$2:D490=D490)*($E$2:E490=E490)*($F$2:F490=F490)*($G$2:G490=G490)*($I$2:I490="Duplicate"))&lt;=1,"",SUMPRODUCT(($B$2:B490=B490)*($D$2:D490=D490)*($E$2:E490=E490)*($F$2:F490=F490)*($G$2:G490=G490)*($I$2:I490="Duplicate"))-1),"")&amp;".jpeg")</f>
        <v/>
      </c>
      <c r="L490" s="6"/>
      <c r="M490" s="5" t="str">
        <f>IFERROR(VLOOKUP(E490,Specifications!$A$2:$D$9,2,FALSE),"")</f>
        <v/>
      </c>
      <c r="N490" s="5" t="str">
        <f>IFERROR(VLOOKUP(E490,Specifications!$A$2:$D$9,3,FALSE),"")</f>
        <v/>
      </c>
      <c r="O490" s="5" t="str">
        <f>IFERROR(VLOOKUP(E490,Specifications!$A$2:$D$9,4,FALSE),"")</f>
        <v/>
      </c>
      <c r="P490" s="8" t="str">
        <f t="shared" si="24"/>
        <v/>
      </c>
      <c r="Q490" s="9"/>
    </row>
    <row r="491" spans="1:17" ht="15">
      <c r="A491" s="5" t="str">
        <f t="shared" si="22"/>
        <v/>
      </c>
      <c r="B491" s="6"/>
      <c r="C491" s="5" t="str">
        <f>IFERROR(VLOOKUP(B491,Lists!$A$2:$B$25,2,FALSE),"")</f>
        <v/>
      </c>
      <c r="D491" s="7"/>
      <c r="E491" s="6"/>
      <c r="F491" s="6" t="str">
        <f t="shared" si="23"/>
        <v/>
      </c>
      <c r="G491" s="6"/>
      <c r="H491" s="6"/>
      <c r="I491" s="6"/>
      <c r="J491" s="7"/>
      <c r="K491" s="5" t="str" cm="1">
        <f t="array" ref="K491">IF(OR(A491="",B491="",D491="",E491=""),"",A491&amp;"_"&amp;SUBSTITUTE(B491," ","-")&amp;"_"&amp;D491&amp;"_"&amp;SUBSTITUTE(SUBSTITUTE(E491," ",""),"€","Euro")&amp;"_"&amp;IF(F491="","Unknown",F491)&amp;IF(F491="Commemorative",IF(G491="","","_"&amp;SUBSTITUTE(SUBSTITUTE(SUBSTITUTE(G491," ","-"),"/","-"),CHAR(39),"")),"")&amp;IF(I491="Duplicate","_Dub"&amp;IF(SUMPRODUCT(($B$2:B491=B491)*($D$2:D491=D491)*($E$2:E491=E491)*($F$2:F491=F491)*($G$2:G491=G491)*($I$2:I491="Duplicate"))&lt;=1,"",SUMPRODUCT(($B$2:B491=B491)*($D$2:D491=D491)*($E$2:E491=E491)*($F$2:F491=F491)*($G$2:G491=G491)*($I$2:I491="Duplicate"))-1),"")&amp;".jpeg")</f>
        <v/>
      </c>
      <c r="L491" s="6"/>
      <c r="M491" s="5" t="str">
        <f>IFERROR(VLOOKUP(E491,Specifications!$A$2:$D$9,2,FALSE),"")</f>
        <v/>
      </c>
      <c r="N491" s="5" t="str">
        <f>IFERROR(VLOOKUP(E491,Specifications!$A$2:$D$9,3,FALSE),"")</f>
        <v/>
      </c>
      <c r="O491" s="5" t="str">
        <f>IFERROR(VLOOKUP(E491,Specifications!$A$2:$D$9,4,FALSE),"")</f>
        <v/>
      </c>
      <c r="P491" s="8" t="str">
        <f t="shared" si="24"/>
        <v/>
      </c>
      <c r="Q491" s="9"/>
    </row>
    <row r="492" spans="1:17" ht="15">
      <c r="A492" s="5" t="str">
        <f t="shared" si="22"/>
        <v/>
      </c>
      <c r="B492" s="6"/>
      <c r="C492" s="5" t="str">
        <f>IFERROR(VLOOKUP(B492,Lists!$A$2:$B$25,2,FALSE),"")</f>
        <v/>
      </c>
      <c r="D492" s="7"/>
      <c r="E492" s="6"/>
      <c r="F492" s="6" t="str">
        <f t="shared" si="23"/>
        <v/>
      </c>
      <c r="G492" s="6"/>
      <c r="H492" s="6"/>
      <c r="I492" s="6"/>
      <c r="J492" s="7"/>
      <c r="K492" s="5" t="str" cm="1">
        <f t="array" ref="K492">IF(OR(A492="",B492="",D492="",E492=""),"",A492&amp;"_"&amp;SUBSTITUTE(B492," ","-")&amp;"_"&amp;D492&amp;"_"&amp;SUBSTITUTE(SUBSTITUTE(E492," ",""),"€","Euro")&amp;"_"&amp;IF(F492="","Unknown",F492)&amp;IF(F492="Commemorative",IF(G492="","","_"&amp;SUBSTITUTE(SUBSTITUTE(SUBSTITUTE(G492," ","-"),"/","-"),CHAR(39),"")),"")&amp;IF(I492="Duplicate","_Dub"&amp;IF(SUMPRODUCT(($B$2:B492=B492)*($D$2:D492=D492)*($E$2:E492=E492)*($F$2:F492=F492)*($G$2:G492=G492)*($I$2:I492="Duplicate"))&lt;=1,"",SUMPRODUCT(($B$2:B492=B492)*($D$2:D492=D492)*($E$2:E492=E492)*($F$2:F492=F492)*($G$2:G492=G492)*($I$2:I492="Duplicate"))-1),"")&amp;".jpeg")</f>
        <v/>
      </c>
      <c r="L492" s="6"/>
      <c r="M492" s="5" t="str">
        <f>IFERROR(VLOOKUP(E492,Specifications!$A$2:$D$9,2,FALSE),"")</f>
        <v/>
      </c>
      <c r="N492" s="5" t="str">
        <f>IFERROR(VLOOKUP(E492,Specifications!$A$2:$D$9,3,FALSE),"")</f>
        <v/>
      </c>
      <c r="O492" s="5" t="str">
        <f>IFERROR(VLOOKUP(E492,Specifications!$A$2:$D$9,4,FALSE),"")</f>
        <v/>
      </c>
      <c r="P492" s="8" t="str">
        <f t="shared" si="24"/>
        <v/>
      </c>
      <c r="Q492" s="9"/>
    </row>
    <row r="493" spans="1:17" ht="15">
      <c r="A493" s="5" t="str">
        <f t="shared" si="22"/>
        <v/>
      </c>
      <c r="B493" s="6"/>
      <c r="C493" s="5" t="str">
        <f>IFERROR(VLOOKUP(B493,Lists!$A$2:$B$25,2,FALSE),"")</f>
        <v/>
      </c>
      <c r="D493" s="7"/>
      <c r="E493" s="6"/>
      <c r="F493" s="6" t="str">
        <f t="shared" si="23"/>
        <v/>
      </c>
      <c r="G493" s="6"/>
      <c r="H493" s="6"/>
      <c r="I493" s="6"/>
      <c r="J493" s="7"/>
      <c r="K493" s="5" t="str" cm="1">
        <f t="array" ref="K493">IF(OR(A493="",B493="",D493="",E493=""),"",A493&amp;"_"&amp;SUBSTITUTE(B493," ","-")&amp;"_"&amp;D493&amp;"_"&amp;SUBSTITUTE(SUBSTITUTE(E493," ",""),"€","Euro")&amp;"_"&amp;IF(F493="","Unknown",F493)&amp;IF(F493="Commemorative",IF(G493="","","_"&amp;SUBSTITUTE(SUBSTITUTE(SUBSTITUTE(G493," ","-"),"/","-"),CHAR(39),"")),"")&amp;IF(I493="Duplicate","_Dub"&amp;IF(SUMPRODUCT(($B$2:B493=B493)*($D$2:D493=D493)*($E$2:E493=E493)*($F$2:F493=F493)*($G$2:G493=G493)*($I$2:I493="Duplicate"))&lt;=1,"",SUMPRODUCT(($B$2:B493=B493)*($D$2:D493=D493)*($E$2:E493=E493)*($F$2:F493=F493)*($G$2:G493=G493)*($I$2:I493="Duplicate"))-1),"")&amp;".jpeg")</f>
        <v/>
      </c>
      <c r="L493" s="6"/>
      <c r="M493" s="5" t="str">
        <f>IFERROR(VLOOKUP(E493,Specifications!$A$2:$D$9,2,FALSE),"")</f>
        <v/>
      </c>
      <c r="N493" s="5" t="str">
        <f>IFERROR(VLOOKUP(E493,Specifications!$A$2:$D$9,3,FALSE),"")</f>
        <v/>
      </c>
      <c r="O493" s="5" t="str">
        <f>IFERROR(VLOOKUP(E493,Specifications!$A$2:$D$9,4,FALSE),"")</f>
        <v/>
      </c>
      <c r="P493" s="8" t="str">
        <f t="shared" si="24"/>
        <v/>
      </c>
      <c r="Q493" s="9"/>
    </row>
    <row r="494" spans="1:17" ht="15">
      <c r="A494" s="5" t="str">
        <f t="shared" si="22"/>
        <v/>
      </c>
      <c r="B494" s="6"/>
      <c r="C494" s="5" t="str">
        <f>IFERROR(VLOOKUP(B494,Lists!$A$2:$B$25,2,FALSE),"")</f>
        <v/>
      </c>
      <c r="D494" s="7"/>
      <c r="E494" s="6"/>
      <c r="F494" s="6" t="str">
        <f t="shared" si="23"/>
        <v/>
      </c>
      <c r="G494" s="6"/>
      <c r="H494" s="6"/>
      <c r="I494" s="6"/>
      <c r="J494" s="7"/>
      <c r="K494" s="5" t="str" cm="1">
        <f t="array" ref="K494">IF(OR(A494="",B494="",D494="",E494=""),"",A494&amp;"_"&amp;SUBSTITUTE(B494," ","-")&amp;"_"&amp;D494&amp;"_"&amp;SUBSTITUTE(SUBSTITUTE(E494," ",""),"€","Euro")&amp;"_"&amp;IF(F494="","Unknown",F494)&amp;IF(F494="Commemorative",IF(G494="","","_"&amp;SUBSTITUTE(SUBSTITUTE(SUBSTITUTE(G494," ","-"),"/","-"),CHAR(39),"")),"")&amp;IF(I494="Duplicate","_Dub"&amp;IF(SUMPRODUCT(($B$2:B494=B494)*($D$2:D494=D494)*($E$2:E494=E494)*($F$2:F494=F494)*($G$2:G494=G494)*($I$2:I494="Duplicate"))&lt;=1,"",SUMPRODUCT(($B$2:B494=B494)*($D$2:D494=D494)*($E$2:E494=E494)*($F$2:F494=F494)*($G$2:G494=G494)*($I$2:I494="Duplicate"))-1),"")&amp;".jpeg")</f>
        <v/>
      </c>
      <c r="L494" s="6"/>
      <c r="M494" s="5" t="str">
        <f>IFERROR(VLOOKUP(E494,Specifications!$A$2:$D$9,2,FALSE),"")</f>
        <v/>
      </c>
      <c r="N494" s="5" t="str">
        <f>IFERROR(VLOOKUP(E494,Specifications!$A$2:$D$9,3,FALSE),"")</f>
        <v/>
      </c>
      <c r="O494" s="5" t="str">
        <f>IFERROR(VLOOKUP(E494,Specifications!$A$2:$D$9,4,FALSE),"")</f>
        <v/>
      </c>
      <c r="P494" s="8" t="str">
        <f t="shared" si="24"/>
        <v/>
      </c>
      <c r="Q494" s="9"/>
    </row>
    <row r="495" spans="1:17" ht="15">
      <c r="A495" s="5" t="str">
        <f t="shared" si="22"/>
        <v/>
      </c>
      <c r="B495" s="6"/>
      <c r="C495" s="5" t="str">
        <f>IFERROR(VLOOKUP(B495,Lists!$A$2:$B$25,2,FALSE),"")</f>
        <v/>
      </c>
      <c r="D495" s="7"/>
      <c r="E495" s="6"/>
      <c r="F495" s="6" t="str">
        <f t="shared" si="23"/>
        <v/>
      </c>
      <c r="G495" s="6"/>
      <c r="H495" s="6"/>
      <c r="I495" s="6"/>
      <c r="J495" s="7"/>
      <c r="K495" s="5" t="str" cm="1">
        <f t="array" ref="K495">IF(OR(A495="",B495="",D495="",E495=""),"",A495&amp;"_"&amp;SUBSTITUTE(B495," ","-")&amp;"_"&amp;D495&amp;"_"&amp;SUBSTITUTE(SUBSTITUTE(E495," ",""),"€","Euro")&amp;"_"&amp;IF(F495="","Unknown",F495)&amp;IF(F495="Commemorative",IF(G495="","","_"&amp;SUBSTITUTE(SUBSTITUTE(SUBSTITUTE(G495," ","-"),"/","-"),CHAR(39),"")),"")&amp;IF(I495="Duplicate","_Dub"&amp;IF(SUMPRODUCT(($B$2:B495=B495)*($D$2:D495=D495)*($E$2:E495=E495)*($F$2:F495=F495)*($G$2:G495=G495)*($I$2:I495="Duplicate"))&lt;=1,"",SUMPRODUCT(($B$2:B495=B495)*($D$2:D495=D495)*($E$2:E495=E495)*($F$2:F495=F495)*($G$2:G495=G495)*($I$2:I495="Duplicate"))-1),"")&amp;".jpeg")</f>
        <v/>
      </c>
      <c r="L495" s="6"/>
      <c r="M495" s="5" t="str">
        <f>IFERROR(VLOOKUP(E495,Specifications!$A$2:$D$9,2,FALSE),"")</f>
        <v/>
      </c>
      <c r="N495" s="5" t="str">
        <f>IFERROR(VLOOKUP(E495,Specifications!$A$2:$D$9,3,FALSE),"")</f>
        <v/>
      </c>
      <c r="O495" s="5" t="str">
        <f>IFERROR(VLOOKUP(E495,Specifications!$A$2:$D$9,4,FALSE),"")</f>
        <v/>
      </c>
      <c r="P495" s="8" t="str">
        <f t="shared" si="24"/>
        <v/>
      </c>
      <c r="Q495" s="9"/>
    </row>
    <row r="496" spans="1:17" ht="15">
      <c r="A496" s="5" t="str">
        <f t="shared" si="22"/>
        <v/>
      </c>
      <c r="B496" s="6"/>
      <c r="C496" s="5" t="str">
        <f>IFERROR(VLOOKUP(B496,Lists!$A$2:$B$25,2,FALSE),"")</f>
        <v/>
      </c>
      <c r="D496" s="7"/>
      <c r="E496" s="6"/>
      <c r="F496" s="6" t="str">
        <f t="shared" si="23"/>
        <v/>
      </c>
      <c r="G496" s="6"/>
      <c r="H496" s="6"/>
      <c r="I496" s="6"/>
      <c r="J496" s="7"/>
      <c r="K496" s="5" t="str" cm="1">
        <f t="array" ref="K496">IF(OR(A496="",B496="",D496="",E496=""),"",A496&amp;"_"&amp;SUBSTITUTE(B496," ","-")&amp;"_"&amp;D496&amp;"_"&amp;SUBSTITUTE(SUBSTITUTE(E496," ",""),"€","Euro")&amp;"_"&amp;IF(F496="","Unknown",F496)&amp;IF(F496="Commemorative",IF(G496="","","_"&amp;SUBSTITUTE(SUBSTITUTE(SUBSTITUTE(G496," ","-"),"/","-"),CHAR(39),"")),"")&amp;IF(I496="Duplicate","_Dub"&amp;IF(SUMPRODUCT(($B$2:B496=B496)*($D$2:D496=D496)*($E$2:E496=E496)*($F$2:F496=F496)*($G$2:G496=G496)*($I$2:I496="Duplicate"))&lt;=1,"",SUMPRODUCT(($B$2:B496=B496)*($D$2:D496=D496)*($E$2:E496=E496)*($F$2:F496=F496)*($G$2:G496=G496)*($I$2:I496="Duplicate"))-1),"")&amp;".jpeg")</f>
        <v/>
      </c>
      <c r="L496" s="6"/>
      <c r="M496" s="5" t="str">
        <f>IFERROR(VLOOKUP(E496,Specifications!$A$2:$D$9,2,FALSE),"")</f>
        <v/>
      </c>
      <c r="N496" s="5" t="str">
        <f>IFERROR(VLOOKUP(E496,Specifications!$A$2:$D$9,3,FALSE),"")</f>
        <v/>
      </c>
      <c r="O496" s="5" t="str">
        <f>IFERROR(VLOOKUP(E496,Specifications!$A$2:$D$9,4,FALSE),"")</f>
        <v/>
      </c>
      <c r="P496" s="8" t="str">
        <f t="shared" si="24"/>
        <v/>
      </c>
      <c r="Q496" s="9"/>
    </row>
    <row r="497" spans="1:17" ht="15">
      <c r="A497" s="5" t="str">
        <f t="shared" si="22"/>
        <v/>
      </c>
      <c r="B497" s="6"/>
      <c r="C497" s="5" t="str">
        <f>IFERROR(VLOOKUP(B497,Lists!$A$2:$B$25,2,FALSE),"")</f>
        <v/>
      </c>
      <c r="D497" s="7"/>
      <c r="E497" s="6"/>
      <c r="F497" s="6" t="str">
        <f t="shared" si="23"/>
        <v/>
      </c>
      <c r="G497" s="6"/>
      <c r="H497" s="6"/>
      <c r="I497" s="6"/>
      <c r="J497" s="7"/>
      <c r="K497" s="5" t="str" cm="1">
        <f t="array" ref="K497">IF(OR(A497="",B497="",D497="",E497=""),"",A497&amp;"_"&amp;SUBSTITUTE(B497," ","-")&amp;"_"&amp;D497&amp;"_"&amp;SUBSTITUTE(SUBSTITUTE(E497," ",""),"€","Euro")&amp;"_"&amp;IF(F497="","Unknown",F497)&amp;IF(F497="Commemorative",IF(G497="","","_"&amp;SUBSTITUTE(SUBSTITUTE(SUBSTITUTE(G497," ","-"),"/","-"),CHAR(39),"")),"")&amp;IF(I497="Duplicate","_Dub"&amp;IF(SUMPRODUCT(($B$2:B497=B497)*($D$2:D497=D497)*($E$2:E497=E497)*($F$2:F497=F497)*($G$2:G497=G497)*($I$2:I497="Duplicate"))&lt;=1,"",SUMPRODUCT(($B$2:B497=B497)*($D$2:D497=D497)*($E$2:E497=E497)*($F$2:F497=F497)*($G$2:G497=G497)*($I$2:I497="Duplicate"))-1),"")&amp;".jpeg")</f>
        <v/>
      </c>
      <c r="L497" s="6"/>
      <c r="M497" s="5" t="str">
        <f>IFERROR(VLOOKUP(E497,Specifications!$A$2:$D$9,2,FALSE),"")</f>
        <v/>
      </c>
      <c r="N497" s="5" t="str">
        <f>IFERROR(VLOOKUP(E497,Specifications!$A$2:$D$9,3,FALSE),"")</f>
        <v/>
      </c>
      <c r="O497" s="5" t="str">
        <f>IFERROR(VLOOKUP(E497,Specifications!$A$2:$D$9,4,FALSE),"")</f>
        <v/>
      </c>
      <c r="P497" s="8" t="str">
        <f t="shared" si="24"/>
        <v/>
      </c>
      <c r="Q497" s="9"/>
    </row>
    <row r="498" spans="1:17" ht="15">
      <c r="A498" s="5" t="str">
        <f t="shared" si="22"/>
        <v/>
      </c>
      <c r="B498" s="6"/>
      <c r="C498" s="5" t="str">
        <f>IFERROR(VLOOKUP(B498,Lists!$A$2:$B$25,2,FALSE),"")</f>
        <v/>
      </c>
      <c r="D498" s="7"/>
      <c r="E498" s="6"/>
      <c r="F498" s="6" t="str">
        <f t="shared" si="23"/>
        <v/>
      </c>
      <c r="G498" s="6"/>
      <c r="H498" s="6"/>
      <c r="I498" s="6"/>
      <c r="J498" s="7"/>
      <c r="K498" s="5" t="str" cm="1">
        <f t="array" ref="K498">IF(OR(A498="",B498="",D498="",E498=""),"",A498&amp;"_"&amp;SUBSTITUTE(B498," ","-")&amp;"_"&amp;D498&amp;"_"&amp;SUBSTITUTE(SUBSTITUTE(E498," ",""),"€","Euro")&amp;"_"&amp;IF(F498="","Unknown",F498)&amp;IF(F498="Commemorative",IF(G498="","","_"&amp;SUBSTITUTE(SUBSTITUTE(SUBSTITUTE(G498," ","-"),"/","-"),CHAR(39),"")),"")&amp;IF(I498="Duplicate","_Dub"&amp;IF(SUMPRODUCT(($B$2:B498=B498)*($D$2:D498=D498)*($E$2:E498=E498)*($F$2:F498=F498)*($G$2:G498=G498)*($I$2:I498="Duplicate"))&lt;=1,"",SUMPRODUCT(($B$2:B498=B498)*($D$2:D498=D498)*($E$2:E498=E498)*($F$2:F498=F498)*($G$2:G498=G498)*($I$2:I498="Duplicate"))-1),"")&amp;".jpeg")</f>
        <v/>
      </c>
      <c r="L498" s="6"/>
      <c r="M498" s="5" t="str">
        <f>IFERROR(VLOOKUP(E498,Specifications!$A$2:$D$9,2,FALSE),"")</f>
        <v/>
      </c>
      <c r="N498" s="5" t="str">
        <f>IFERROR(VLOOKUP(E498,Specifications!$A$2:$D$9,3,FALSE),"")</f>
        <v/>
      </c>
      <c r="O498" s="5" t="str">
        <f>IFERROR(VLOOKUP(E498,Specifications!$A$2:$D$9,4,FALSE),"")</f>
        <v/>
      </c>
      <c r="P498" s="8" t="str">
        <f t="shared" si="24"/>
        <v/>
      </c>
      <c r="Q498" s="9"/>
    </row>
    <row r="499" spans="1:17" ht="15">
      <c r="A499" s="5" t="str">
        <f t="shared" si="22"/>
        <v/>
      </c>
      <c r="B499" s="6"/>
      <c r="C499" s="5" t="str">
        <f>IFERROR(VLOOKUP(B499,Lists!$A$2:$B$25,2,FALSE),"")</f>
        <v/>
      </c>
      <c r="D499" s="7"/>
      <c r="E499" s="6"/>
      <c r="F499" s="6" t="str">
        <f t="shared" si="23"/>
        <v/>
      </c>
      <c r="G499" s="6"/>
      <c r="H499" s="6"/>
      <c r="I499" s="6"/>
      <c r="J499" s="7"/>
      <c r="K499" s="5" t="str" cm="1">
        <f t="array" ref="K499">IF(OR(A499="",B499="",D499="",E499=""),"",A499&amp;"_"&amp;SUBSTITUTE(B499," ","-")&amp;"_"&amp;D499&amp;"_"&amp;SUBSTITUTE(SUBSTITUTE(E499," ",""),"€","Euro")&amp;"_"&amp;IF(F499="","Unknown",F499)&amp;IF(F499="Commemorative",IF(G499="","","_"&amp;SUBSTITUTE(SUBSTITUTE(SUBSTITUTE(G499," ","-"),"/","-"),CHAR(39),"")),"")&amp;IF(I499="Duplicate","_Dub"&amp;IF(SUMPRODUCT(($B$2:B499=B499)*($D$2:D499=D499)*($E$2:E499=E499)*($F$2:F499=F499)*($G$2:G499=G499)*($I$2:I499="Duplicate"))&lt;=1,"",SUMPRODUCT(($B$2:B499=B499)*($D$2:D499=D499)*($E$2:E499=E499)*($F$2:F499=F499)*($G$2:G499=G499)*($I$2:I499="Duplicate"))-1),"")&amp;".jpeg")</f>
        <v/>
      </c>
      <c r="L499" s="6"/>
      <c r="M499" s="5" t="str">
        <f>IFERROR(VLOOKUP(E499,Specifications!$A$2:$D$9,2,FALSE),"")</f>
        <v/>
      </c>
      <c r="N499" s="5" t="str">
        <f>IFERROR(VLOOKUP(E499,Specifications!$A$2:$D$9,3,FALSE),"")</f>
        <v/>
      </c>
      <c r="O499" s="5" t="str">
        <f>IFERROR(VLOOKUP(E499,Specifications!$A$2:$D$9,4,FALSE),"")</f>
        <v/>
      </c>
      <c r="P499" s="8" t="str">
        <f t="shared" si="24"/>
        <v/>
      </c>
      <c r="Q499" s="9"/>
    </row>
    <row r="500" spans="1:17" ht="15">
      <c r="A500" s="5" t="str">
        <f t="shared" si="22"/>
        <v/>
      </c>
      <c r="B500" s="6"/>
      <c r="C500" s="5" t="str">
        <f>IFERROR(VLOOKUP(B500,Lists!$A$2:$B$25,2,FALSE),"")</f>
        <v/>
      </c>
      <c r="D500" s="7"/>
      <c r="E500" s="6"/>
      <c r="F500" s="6" t="str">
        <f t="shared" si="23"/>
        <v/>
      </c>
      <c r="G500" s="6"/>
      <c r="H500" s="6"/>
      <c r="I500" s="6"/>
      <c r="J500" s="7"/>
      <c r="K500" s="5" t="str" cm="1">
        <f t="array" ref="K500">IF(OR(A500="",B500="",D500="",E500=""),"",A500&amp;"_"&amp;SUBSTITUTE(B500," ","-")&amp;"_"&amp;D500&amp;"_"&amp;SUBSTITUTE(SUBSTITUTE(E500," ",""),"€","Euro")&amp;"_"&amp;IF(F500="","Unknown",F500)&amp;IF(F500="Commemorative",IF(G500="","","_"&amp;SUBSTITUTE(SUBSTITUTE(SUBSTITUTE(G500," ","-"),"/","-"),CHAR(39),"")),"")&amp;IF(I500="Duplicate","_Dub"&amp;IF(SUMPRODUCT(($B$2:B500=B500)*($D$2:D500=D500)*($E$2:E500=E500)*($F$2:F500=F500)*($G$2:G500=G500)*($I$2:I500="Duplicate"))&lt;=1,"",SUMPRODUCT(($B$2:B500=B500)*($D$2:D500=D500)*($E$2:E500=E500)*($F$2:F500=F500)*($G$2:G500=G500)*($I$2:I500="Duplicate"))-1),"")&amp;".jpeg")</f>
        <v/>
      </c>
      <c r="L500" s="6"/>
      <c r="M500" s="5" t="str">
        <f>IFERROR(VLOOKUP(E500,Specifications!$A$2:$D$9,2,FALSE),"")</f>
        <v/>
      </c>
      <c r="N500" s="5" t="str">
        <f>IFERROR(VLOOKUP(E500,Specifications!$A$2:$D$9,3,FALSE),"")</f>
        <v/>
      </c>
      <c r="O500" s="5" t="str">
        <f>IFERROR(VLOOKUP(E500,Specifications!$A$2:$D$9,4,FALSE),"")</f>
        <v/>
      </c>
      <c r="P500" s="8" t="str">
        <f t="shared" si="24"/>
        <v/>
      </c>
      <c r="Q500" s="9"/>
    </row>
    <row r="501" spans="1:17" ht="15">
      <c r="A501" s="5" t="str">
        <f t="shared" si="22"/>
        <v/>
      </c>
      <c r="B501" s="6"/>
      <c r="C501" s="5" t="str">
        <f>IFERROR(VLOOKUP(B501,Lists!$A$2:$B$25,2,FALSE),"")</f>
        <v/>
      </c>
      <c r="D501" s="7"/>
      <c r="E501" s="6"/>
      <c r="F501" s="6" t="str">
        <f t="shared" si="23"/>
        <v/>
      </c>
      <c r="G501" s="6"/>
      <c r="H501" s="6"/>
      <c r="I501" s="6"/>
      <c r="J501" s="7"/>
      <c r="K501" s="5" t="str" cm="1">
        <f t="array" ref="K501">IF(OR(A501="",B501="",D501="",E501=""),"",A501&amp;"_"&amp;SUBSTITUTE(B501," ","-")&amp;"_"&amp;D501&amp;"_"&amp;SUBSTITUTE(SUBSTITUTE(E501," ",""),"€","Euro")&amp;"_"&amp;IF(F501="","Unknown",F501)&amp;IF(F501="Commemorative",IF(G501="","","_"&amp;SUBSTITUTE(SUBSTITUTE(SUBSTITUTE(G501," ","-"),"/","-"),CHAR(39),"")),"")&amp;IF(I501="Duplicate","_Dub"&amp;IF(SUMPRODUCT(($B$2:B501=B501)*($D$2:D501=D501)*($E$2:E501=E501)*($F$2:F501=F501)*($G$2:G501=G501)*($I$2:I501="Duplicate"))&lt;=1,"",SUMPRODUCT(($B$2:B501=B501)*($D$2:D501=D501)*($E$2:E501=E501)*($F$2:F501=F501)*($G$2:G501=G501)*($I$2:I501="Duplicate"))-1),"")&amp;".jpeg")</f>
        <v/>
      </c>
      <c r="L501" s="6"/>
      <c r="M501" s="5" t="str">
        <f>IFERROR(VLOOKUP(E501,Specifications!$A$2:$D$9,2,FALSE),"")</f>
        <v/>
      </c>
      <c r="N501" s="5" t="str">
        <f>IFERROR(VLOOKUP(E501,Specifications!$A$2:$D$9,3,FALSE),"")</f>
        <v/>
      </c>
      <c r="O501" s="5" t="str">
        <f>IFERROR(VLOOKUP(E501,Specifications!$A$2:$D$9,4,FALSE),"")</f>
        <v/>
      </c>
      <c r="P501" s="8" t="str">
        <f t="shared" si="24"/>
        <v/>
      </c>
      <c r="Q501" s="9"/>
    </row>
    <row r="502" spans="1:17" ht="15">
      <c r="A502" s="5" t="str">
        <f t="shared" si="22"/>
        <v/>
      </c>
      <c r="B502" s="6"/>
      <c r="C502" s="5" t="str">
        <f>IFERROR(VLOOKUP(B502,Lists!$A$2:$B$25,2,FALSE),"")</f>
        <v/>
      </c>
      <c r="D502" s="7"/>
      <c r="E502" s="6"/>
      <c r="F502" s="6" t="str">
        <f t="shared" si="23"/>
        <v/>
      </c>
      <c r="G502" s="6"/>
      <c r="H502" s="6"/>
      <c r="I502" s="6"/>
      <c r="J502" s="7"/>
      <c r="K502" s="5" t="str" cm="1">
        <f t="array" ref="K502">IF(OR(A502="",B502="",D502="",E502=""),"",A502&amp;"_"&amp;SUBSTITUTE(B502," ","-")&amp;"_"&amp;D502&amp;"_"&amp;SUBSTITUTE(SUBSTITUTE(E502," ",""),"€","Euro")&amp;"_"&amp;IF(F502="","Unknown",F502)&amp;IF(F502="Commemorative",IF(G502="","","_"&amp;SUBSTITUTE(SUBSTITUTE(SUBSTITUTE(G502," ","-"),"/","-"),CHAR(39),"")),"")&amp;IF(I502="Duplicate","_Dub"&amp;IF(SUMPRODUCT(($B$2:B502=B502)*($D$2:D502=D502)*($E$2:E502=E502)*($F$2:F502=F502)*($G$2:G502=G502)*($I$2:I502="Duplicate"))&lt;=1,"",SUMPRODUCT(($B$2:B502=B502)*($D$2:D502=D502)*($E$2:E502=E502)*($F$2:F502=F502)*($G$2:G502=G502)*($I$2:I502="Duplicate"))-1),"")&amp;".jpeg")</f>
        <v/>
      </c>
      <c r="L502" s="6"/>
      <c r="M502" s="5" t="str">
        <f>IFERROR(VLOOKUP(E502,Specifications!$A$2:$D$9,2,FALSE),"")</f>
        <v/>
      </c>
      <c r="N502" s="5" t="str">
        <f>IFERROR(VLOOKUP(E502,Specifications!$A$2:$D$9,3,FALSE),"")</f>
        <v/>
      </c>
      <c r="O502" s="5" t="str">
        <f>IFERROR(VLOOKUP(E502,Specifications!$A$2:$D$9,4,FALSE),"")</f>
        <v/>
      </c>
      <c r="P502" s="8" t="str">
        <f t="shared" si="24"/>
        <v/>
      </c>
      <c r="Q502" s="9"/>
    </row>
    <row r="503" spans="1:17" ht="15">
      <c r="A503" s="5" t="str">
        <f t="shared" si="22"/>
        <v/>
      </c>
      <c r="B503" s="6"/>
      <c r="C503" s="5" t="str">
        <f>IFERROR(VLOOKUP(B503,Lists!$A$2:$B$25,2,FALSE),"")</f>
        <v/>
      </c>
      <c r="D503" s="7"/>
      <c r="E503" s="6"/>
      <c r="F503" s="6" t="str">
        <f t="shared" si="23"/>
        <v/>
      </c>
      <c r="G503" s="6"/>
      <c r="H503" s="6"/>
      <c r="I503" s="6"/>
      <c r="J503" s="7"/>
      <c r="K503" s="5" t="str" cm="1">
        <f t="array" ref="K503">IF(OR(A503="",B503="",D503="",E503=""),"",A503&amp;"_"&amp;SUBSTITUTE(B503," ","-")&amp;"_"&amp;D503&amp;"_"&amp;SUBSTITUTE(SUBSTITUTE(E503," ",""),"€","Euro")&amp;"_"&amp;IF(F503="","Unknown",F503)&amp;IF(F503="Commemorative",IF(G503="","","_"&amp;SUBSTITUTE(SUBSTITUTE(SUBSTITUTE(G503," ","-"),"/","-"),CHAR(39),"")),"")&amp;IF(I503="Duplicate","_Dub"&amp;IF(SUMPRODUCT(($B$2:B503=B503)*($D$2:D503=D503)*($E$2:E503=E503)*($F$2:F503=F503)*($G$2:G503=G503)*($I$2:I503="Duplicate"))&lt;=1,"",SUMPRODUCT(($B$2:B503=B503)*($D$2:D503=D503)*($E$2:E503=E503)*($F$2:F503=F503)*($G$2:G503=G503)*($I$2:I503="Duplicate"))-1),"")&amp;".jpeg")</f>
        <v/>
      </c>
      <c r="L503" s="6"/>
      <c r="M503" s="5" t="str">
        <f>IFERROR(VLOOKUP(E503,Specifications!$A$2:$D$9,2,FALSE),"")</f>
        <v/>
      </c>
      <c r="N503" s="5" t="str">
        <f>IFERROR(VLOOKUP(E503,Specifications!$A$2:$D$9,3,FALSE),"")</f>
        <v/>
      </c>
      <c r="O503" s="5" t="str">
        <f>IFERROR(VLOOKUP(E503,Specifications!$A$2:$D$9,4,FALSE),"")</f>
        <v/>
      </c>
      <c r="P503" s="8" t="str">
        <f t="shared" si="24"/>
        <v/>
      </c>
      <c r="Q503" s="9"/>
    </row>
    <row r="504" spans="1:17" ht="15">
      <c r="A504" s="5" t="str">
        <f t="shared" si="22"/>
        <v/>
      </c>
      <c r="B504" s="6"/>
      <c r="C504" s="5" t="str">
        <f>IFERROR(VLOOKUP(B504,Lists!$A$2:$B$25,2,FALSE),"")</f>
        <v/>
      </c>
      <c r="D504" s="7"/>
      <c r="E504" s="6"/>
      <c r="F504" s="6" t="str">
        <f t="shared" si="23"/>
        <v/>
      </c>
      <c r="G504" s="6"/>
      <c r="H504" s="6"/>
      <c r="I504" s="6"/>
      <c r="J504" s="7"/>
      <c r="K504" s="5" t="str" cm="1">
        <f t="array" ref="K504">IF(OR(A504="",B504="",D504="",E504=""),"",A504&amp;"_"&amp;SUBSTITUTE(B504," ","-")&amp;"_"&amp;D504&amp;"_"&amp;SUBSTITUTE(SUBSTITUTE(E504," ",""),"€","Euro")&amp;"_"&amp;IF(F504="","Unknown",F504)&amp;IF(F504="Commemorative",IF(G504="","","_"&amp;SUBSTITUTE(SUBSTITUTE(SUBSTITUTE(G504," ","-"),"/","-"),CHAR(39),"")),"")&amp;IF(I504="Duplicate","_Dub"&amp;IF(SUMPRODUCT(($B$2:B504=B504)*($D$2:D504=D504)*($E$2:E504=E504)*($F$2:F504=F504)*($G$2:G504=G504)*($I$2:I504="Duplicate"))&lt;=1,"",SUMPRODUCT(($B$2:B504=B504)*($D$2:D504=D504)*($E$2:E504=E504)*($F$2:F504=F504)*($G$2:G504=G504)*($I$2:I504="Duplicate"))-1),"")&amp;".jpeg")</f>
        <v/>
      </c>
      <c r="L504" s="6"/>
      <c r="M504" s="5" t="str">
        <f>IFERROR(VLOOKUP(E504,Specifications!$A$2:$D$9,2,FALSE),"")</f>
        <v/>
      </c>
      <c r="N504" s="5" t="str">
        <f>IFERROR(VLOOKUP(E504,Specifications!$A$2:$D$9,3,FALSE),"")</f>
        <v/>
      </c>
      <c r="O504" s="5" t="str">
        <f>IFERROR(VLOOKUP(E504,Specifications!$A$2:$D$9,4,FALSE),"")</f>
        <v/>
      </c>
      <c r="P504" s="8" t="str">
        <f t="shared" si="24"/>
        <v/>
      </c>
      <c r="Q504" s="9"/>
    </row>
    <row r="505" spans="1:17" ht="15">
      <c r="A505" s="5" t="str">
        <f t="shared" si="22"/>
        <v/>
      </c>
      <c r="B505" s="6"/>
      <c r="C505" s="5" t="str">
        <f>IFERROR(VLOOKUP(B505,Lists!$A$2:$B$25,2,FALSE),"")</f>
        <v/>
      </c>
      <c r="D505" s="7"/>
      <c r="E505" s="6"/>
      <c r="F505" s="6" t="str">
        <f t="shared" si="23"/>
        <v/>
      </c>
      <c r="G505" s="6"/>
      <c r="H505" s="6"/>
      <c r="I505" s="6"/>
      <c r="J505" s="7"/>
      <c r="K505" s="5" t="str" cm="1">
        <f t="array" ref="K505">IF(OR(A505="",B505="",D505="",E505=""),"",A505&amp;"_"&amp;SUBSTITUTE(B505," ","-")&amp;"_"&amp;D505&amp;"_"&amp;SUBSTITUTE(SUBSTITUTE(E505," ",""),"€","Euro")&amp;"_"&amp;IF(F505="","Unknown",F505)&amp;IF(F505="Commemorative",IF(G505="","","_"&amp;SUBSTITUTE(SUBSTITUTE(SUBSTITUTE(G505," ","-"),"/","-"),CHAR(39),"")),"")&amp;IF(I505="Duplicate","_Dub"&amp;IF(SUMPRODUCT(($B$2:B505=B505)*($D$2:D505=D505)*($E$2:E505=E505)*($F$2:F505=F505)*($G$2:G505=G505)*($I$2:I505="Duplicate"))&lt;=1,"",SUMPRODUCT(($B$2:B505=B505)*($D$2:D505=D505)*($E$2:E505=E505)*($F$2:F505=F505)*($G$2:G505=G505)*($I$2:I505="Duplicate"))-1),"")&amp;".jpeg")</f>
        <v/>
      </c>
      <c r="L505" s="6"/>
      <c r="M505" s="5" t="str">
        <f>IFERROR(VLOOKUP(E505,Specifications!$A$2:$D$9,2,FALSE),"")</f>
        <v/>
      </c>
      <c r="N505" s="5" t="str">
        <f>IFERROR(VLOOKUP(E505,Specifications!$A$2:$D$9,3,FALSE),"")</f>
        <v/>
      </c>
      <c r="O505" s="5" t="str">
        <f>IFERROR(VLOOKUP(E505,Specifications!$A$2:$D$9,4,FALSE),"")</f>
        <v/>
      </c>
      <c r="P505" s="8" t="str">
        <f t="shared" si="24"/>
        <v/>
      </c>
      <c r="Q505" s="9"/>
    </row>
    <row r="506" spans="1:17" ht="15">
      <c r="A506" s="5" t="str">
        <f t="shared" si="22"/>
        <v/>
      </c>
      <c r="B506" s="6"/>
      <c r="C506" s="5" t="str">
        <f>IFERROR(VLOOKUP(B506,Lists!$A$2:$B$25,2,FALSE),"")</f>
        <v/>
      </c>
      <c r="D506" s="7"/>
      <c r="E506" s="6"/>
      <c r="F506" s="6" t="str">
        <f t="shared" si="23"/>
        <v/>
      </c>
      <c r="G506" s="6"/>
      <c r="H506" s="6"/>
      <c r="I506" s="6"/>
      <c r="J506" s="7"/>
      <c r="K506" s="5" t="str" cm="1">
        <f t="array" ref="K506">IF(OR(A506="",B506="",D506="",E506=""),"",A506&amp;"_"&amp;SUBSTITUTE(B506," ","-")&amp;"_"&amp;D506&amp;"_"&amp;SUBSTITUTE(SUBSTITUTE(E506," ",""),"€","Euro")&amp;"_"&amp;IF(F506="","Unknown",F506)&amp;IF(F506="Commemorative",IF(G506="","","_"&amp;SUBSTITUTE(SUBSTITUTE(SUBSTITUTE(G506," ","-"),"/","-"),CHAR(39),"")),"")&amp;IF(I506="Duplicate","_Dub"&amp;IF(SUMPRODUCT(($B$2:B506=B506)*($D$2:D506=D506)*($E$2:E506=E506)*($F$2:F506=F506)*($G$2:G506=G506)*($I$2:I506="Duplicate"))&lt;=1,"",SUMPRODUCT(($B$2:B506=B506)*($D$2:D506=D506)*($E$2:E506=E506)*($F$2:F506=F506)*($G$2:G506=G506)*($I$2:I506="Duplicate"))-1),"")&amp;".jpeg")</f>
        <v/>
      </c>
      <c r="L506" s="6"/>
      <c r="M506" s="5" t="str">
        <f>IFERROR(VLOOKUP(E506,Specifications!$A$2:$D$9,2,FALSE),"")</f>
        <v/>
      </c>
      <c r="N506" s="5" t="str">
        <f>IFERROR(VLOOKUP(E506,Specifications!$A$2:$D$9,3,FALSE),"")</f>
        <v/>
      </c>
      <c r="O506" s="5" t="str">
        <f>IFERROR(VLOOKUP(E506,Specifications!$A$2:$D$9,4,FALSE),"")</f>
        <v/>
      </c>
      <c r="P506" s="8" t="str">
        <f t="shared" si="24"/>
        <v/>
      </c>
      <c r="Q506" s="9"/>
    </row>
    <row r="507" spans="1:17" ht="15">
      <c r="A507" s="5" t="str">
        <f t="shared" si="22"/>
        <v/>
      </c>
      <c r="B507" s="6"/>
      <c r="C507" s="5" t="str">
        <f>IFERROR(VLOOKUP(B507,Lists!$A$2:$B$25,2,FALSE),"")</f>
        <v/>
      </c>
      <c r="D507" s="7"/>
      <c r="E507" s="6"/>
      <c r="F507" s="6" t="str">
        <f t="shared" si="23"/>
        <v/>
      </c>
      <c r="G507" s="6"/>
      <c r="H507" s="6"/>
      <c r="I507" s="6"/>
      <c r="J507" s="7"/>
      <c r="K507" s="5" t="str" cm="1">
        <f t="array" ref="K507">IF(OR(A507="",B507="",D507="",E507=""),"",A507&amp;"_"&amp;SUBSTITUTE(B507," ","-")&amp;"_"&amp;D507&amp;"_"&amp;SUBSTITUTE(SUBSTITUTE(E507," ",""),"€","Euro")&amp;"_"&amp;IF(F507="","Unknown",F507)&amp;IF(F507="Commemorative",IF(G507="","","_"&amp;SUBSTITUTE(SUBSTITUTE(SUBSTITUTE(G507," ","-"),"/","-"),CHAR(39),"")),"")&amp;IF(I507="Duplicate","_Dub"&amp;IF(SUMPRODUCT(($B$2:B507=B507)*($D$2:D507=D507)*($E$2:E507=E507)*($F$2:F507=F507)*($G$2:G507=G507)*($I$2:I507="Duplicate"))&lt;=1,"",SUMPRODUCT(($B$2:B507=B507)*($D$2:D507=D507)*($E$2:E507=E507)*($F$2:F507=F507)*($G$2:G507=G507)*($I$2:I507="Duplicate"))-1),"")&amp;".jpeg")</f>
        <v/>
      </c>
      <c r="L507" s="6"/>
      <c r="M507" s="5" t="str">
        <f>IFERROR(VLOOKUP(E507,Specifications!$A$2:$D$9,2,FALSE),"")</f>
        <v/>
      </c>
      <c r="N507" s="5" t="str">
        <f>IFERROR(VLOOKUP(E507,Specifications!$A$2:$D$9,3,FALSE),"")</f>
        <v/>
      </c>
      <c r="O507" s="5" t="str">
        <f>IFERROR(VLOOKUP(E507,Specifications!$A$2:$D$9,4,FALSE),"")</f>
        <v/>
      </c>
      <c r="P507" s="8" t="str">
        <f t="shared" si="24"/>
        <v/>
      </c>
      <c r="Q507" s="9"/>
    </row>
    <row r="508" spans="1:17" ht="15">
      <c r="A508" s="5" t="str">
        <f t="shared" si="22"/>
        <v/>
      </c>
      <c r="B508" s="6"/>
      <c r="C508" s="5" t="str">
        <f>IFERROR(VLOOKUP(B508,Lists!$A$2:$B$25,2,FALSE),"")</f>
        <v/>
      </c>
      <c r="D508" s="7"/>
      <c r="E508" s="6"/>
      <c r="F508" s="6" t="str">
        <f t="shared" si="23"/>
        <v/>
      </c>
      <c r="G508" s="6"/>
      <c r="H508" s="6"/>
      <c r="I508" s="6"/>
      <c r="J508" s="7"/>
      <c r="K508" s="5" t="str" cm="1">
        <f t="array" ref="K508">IF(OR(A508="",B508="",D508="",E508=""),"",A508&amp;"_"&amp;SUBSTITUTE(B508," ","-")&amp;"_"&amp;D508&amp;"_"&amp;SUBSTITUTE(SUBSTITUTE(E508," ",""),"€","Euro")&amp;"_"&amp;IF(F508="","Unknown",F508)&amp;IF(F508="Commemorative",IF(G508="","","_"&amp;SUBSTITUTE(SUBSTITUTE(SUBSTITUTE(G508," ","-"),"/","-"),CHAR(39),"")),"")&amp;IF(I508="Duplicate","_Dub"&amp;IF(SUMPRODUCT(($B$2:B508=B508)*($D$2:D508=D508)*($E$2:E508=E508)*($F$2:F508=F508)*($G$2:G508=G508)*($I$2:I508="Duplicate"))&lt;=1,"",SUMPRODUCT(($B$2:B508=B508)*($D$2:D508=D508)*($E$2:E508=E508)*($F$2:F508=F508)*($G$2:G508=G508)*($I$2:I508="Duplicate"))-1),"")&amp;".jpeg")</f>
        <v/>
      </c>
      <c r="L508" s="6"/>
      <c r="M508" s="5" t="str">
        <f>IFERROR(VLOOKUP(E508,Specifications!$A$2:$D$9,2,FALSE),"")</f>
        <v/>
      </c>
      <c r="N508" s="5" t="str">
        <f>IFERROR(VLOOKUP(E508,Specifications!$A$2:$D$9,3,FALSE),"")</f>
        <v/>
      </c>
      <c r="O508" s="5" t="str">
        <f>IFERROR(VLOOKUP(E508,Specifications!$A$2:$D$9,4,FALSE),"")</f>
        <v/>
      </c>
      <c r="P508" s="8" t="str">
        <f t="shared" si="24"/>
        <v/>
      </c>
      <c r="Q508" s="9"/>
    </row>
    <row r="509" spans="1:17" ht="15">
      <c r="A509" s="5" t="str">
        <f t="shared" si="22"/>
        <v/>
      </c>
      <c r="B509" s="6"/>
      <c r="C509" s="5" t="str">
        <f>IFERROR(VLOOKUP(B509,Lists!$A$2:$B$25,2,FALSE),"")</f>
        <v/>
      </c>
      <c r="D509" s="7"/>
      <c r="E509" s="6"/>
      <c r="F509" s="6" t="str">
        <f t="shared" si="23"/>
        <v/>
      </c>
      <c r="G509" s="6"/>
      <c r="H509" s="6"/>
      <c r="I509" s="6"/>
      <c r="J509" s="7"/>
      <c r="K509" s="5" t="str" cm="1">
        <f t="array" ref="K509">IF(OR(A509="",B509="",D509="",E509=""),"",A509&amp;"_"&amp;SUBSTITUTE(B509," ","-")&amp;"_"&amp;D509&amp;"_"&amp;SUBSTITUTE(SUBSTITUTE(E509," ",""),"€","Euro")&amp;"_"&amp;IF(F509="","Unknown",F509)&amp;IF(F509="Commemorative",IF(G509="","","_"&amp;SUBSTITUTE(SUBSTITUTE(SUBSTITUTE(G509," ","-"),"/","-"),CHAR(39),"")),"")&amp;IF(I509="Duplicate","_Dub"&amp;IF(SUMPRODUCT(($B$2:B509=B509)*($D$2:D509=D509)*($E$2:E509=E509)*($F$2:F509=F509)*($G$2:G509=G509)*($I$2:I509="Duplicate"))&lt;=1,"",SUMPRODUCT(($B$2:B509=B509)*($D$2:D509=D509)*($E$2:E509=E509)*($F$2:F509=F509)*($G$2:G509=G509)*($I$2:I509="Duplicate"))-1),"")&amp;".jpeg")</f>
        <v/>
      </c>
      <c r="L509" s="6"/>
      <c r="M509" s="5" t="str">
        <f>IFERROR(VLOOKUP(E509,Specifications!$A$2:$D$9,2,FALSE),"")</f>
        <v/>
      </c>
      <c r="N509" s="5" t="str">
        <f>IFERROR(VLOOKUP(E509,Specifications!$A$2:$D$9,3,FALSE),"")</f>
        <v/>
      </c>
      <c r="O509" s="5" t="str">
        <f>IFERROR(VLOOKUP(E509,Specifications!$A$2:$D$9,4,FALSE),"")</f>
        <v/>
      </c>
      <c r="P509" s="8" t="str">
        <f t="shared" si="24"/>
        <v/>
      </c>
      <c r="Q509" s="9"/>
    </row>
    <row r="510" spans="1:17" ht="15">
      <c r="A510" s="5" t="str">
        <f t="shared" si="22"/>
        <v/>
      </c>
      <c r="B510" s="6"/>
      <c r="C510" s="5" t="str">
        <f>IFERROR(VLOOKUP(B510,Lists!$A$2:$B$25,2,FALSE),"")</f>
        <v/>
      </c>
      <c r="D510" s="7"/>
      <c r="E510" s="6"/>
      <c r="F510" s="6" t="str">
        <f t="shared" si="23"/>
        <v/>
      </c>
      <c r="G510" s="6"/>
      <c r="H510" s="6"/>
      <c r="I510" s="6"/>
      <c r="J510" s="7"/>
      <c r="K510" s="5" t="str" cm="1">
        <f t="array" ref="K510">IF(OR(A510="",B510="",D510="",E510=""),"",A510&amp;"_"&amp;SUBSTITUTE(B510," ","-")&amp;"_"&amp;D510&amp;"_"&amp;SUBSTITUTE(SUBSTITUTE(E510," ",""),"€","Euro")&amp;"_"&amp;IF(F510="","Unknown",F510)&amp;IF(F510="Commemorative",IF(G510="","","_"&amp;SUBSTITUTE(SUBSTITUTE(SUBSTITUTE(G510," ","-"),"/","-"),CHAR(39),"")),"")&amp;IF(I510="Duplicate","_Dub"&amp;IF(SUMPRODUCT(($B$2:B510=B510)*($D$2:D510=D510)*($E$2:E510=E510)*($F$2:F510=F510)*($G$2:G510=G510)*($I$2:I510="Duplicate"))&lt;=1,"",SUMPRODUCT(($B$2:B510=B510)*($D$2:D510=D510)*($E$2:E510=E510)*($F$2:F510=F510)*($G$2:G510=G510)*($I$2:I510="Duplicate"))-1),"")&amp;".jpeg")</f>
        <v/>
      </c>
      <c r="L510" s="6"/>
      <c r="M510" s="5" t="str">
        <f>IFERROR(VLOOKUP(E510,Specifications!$A$2:$D$9,2,FALSE),"")</f>
        <v/>
      </c>
      <c r="N510" s="5" t="str">
        <f>IFERROR(VLOOKUP(E510,Specifications!$A$2:$D$9,3,FALSE),"")</f>
        <v/>
      </c>
      <c r="O510" s="5" t="str">
        <f>IFERROR(VLOOKUP(E510,Specifications!$A$2:$D$9,4,FALSE),"")</f>
        <v/>
      </c>
      <c r="P510" s="8" t="str">
        <f t="shared" si="24"/>
        <v/>
      </c>
      <c r="Q510" s="9"/>
    </row>
    <row r="511" spans="1:17" ht="15">
      <c r="A511" s="5" t="str">
        <f t="shared" si="22"/>
        <v/>
      </c>
      <c r="B511" s="6"/>
      <c r="C511" s="5" t="str">
        <f>IFERROR(VLOOKUP(B511,Lists!$A$2:$B$25,2,FALSE),"")</f>
        <v/>
      </c>
      <c r="D511" s="7"/>
      <c r="E511" s="6"/>
      <c r="F511" s="6" t="str">
        <f t="shared" si="23"/>
        <v/>
      </c>
      <c r="G511" s="6"/>
      <c r="H511" s="6"/>
      <c r="I511" s="6"/>
      <c r="J511" s="7"/>
      <c r="K511" s="5" t="str" cm="1">
        <f t="array" ref="K511">IF(OR(A511="",B511="",D511="",E511=""),"",A511&amp;"_"&amp;SUBSTITUTE(B511," ","-")&amp;"_"&amp;D511&amp;"_"&amp;SUBSTITUTE(SUBSTITUTE(E511," ",""),"€","Euro")&amp;"_"&amp;IF(F511="","Unknown",F511)&amp;IF(F511="Commemorative",IF(G511="","","_"&amp;SUBSTITUTE(SUBSTITUTE(SUBSTITUTE(G511," ","-"),"/","-"),CHAR(39),"")),"")&amp;IF(I511="Duplicate","_Dub"&amp;IF(SUMPRODUCT(($B$2:B511=B511)*($D$2:D511=D511)*($E$2:E511=E511)*($F$2:F511=F511)*($G$2:G511=G511)*($I$2:I511="Duplicate"))&lt;=1,"",SUMPRODUCT(($B$2:B511=B511)*($D$2:D511=D511)*($E$2:E511=E511)*($F$2:F511=F511)*($G$2:G511=G511)*($I$2:I511="Duplicate"))-1),"")&amp;".jpeg")</f>
        <v/>
      </c>
      <c r="L511" s="6"/>
      <c r="M511" s="5" t="str">
        <f>IFERROR(VLOOKUP(E511,Specifications!$A$2:$D$9,2,FALSE),"")</f>
        <v/>
      </c>
      <c r="N511" s="5" t="str">
        <f>IFERROR(VLOOKUP(E511,Specifications!$A$2:$D$9,3,FALSE),"")</f>
        <v/>
      </c>
      <c r="O511" s="5" t="str">
        <f>IFERROR(VLOOKUP(E511,Specifications!$A$2:$D$9,4,FALSE),"")</f>
        <v/>
      </c>
      <c r="P511" s="8" t="str">
        <f t="shared" si="24"/>
        <v/>
      </c>
      <c r="Q511" s="9"/>
    </row>
    <row r="512" spans="1:17" ht="15">
      <c r="A512" s="5" t="str">
        <f t="shared" si="22"/>
        <v/>
      </c>
      <c r="B512" s="6"/>
      <c r="C512" s="5" t="str">
        <f>IFERROR(VLOOKUP(B512,Lists!$A$2:$B$25,2,FALSE),"")</f>
        <v/>
      </c>
      <c r="D512" s="7"/>
      <c r="E512" s="6"/>
      <c r="F512" s="6" t="str">
        <f t="shared" si="23"/>
        <v/>
      </c>
      <c r="G512" s="6"/>
      <c r="H512" s="6"/>
      <c r="I512" s="6"/>
      <c r="J512" s="7"/>
      <c r="K512" s="5" t="str" cm="1">
        <f t="array" ref="K512">IF(OR(A512="",B512="",D512="",E512=""),"",A512&amp;"_"&amp;SUBSTITUTE(B512," ","-")&amp;"_"&amp;D512&amp;"_"&amp;SUBSTITUTE(SUBSTITUTE(E512," ",""),"€","Euro")&amp;"_"&amp;IF(F512="","Unknown",F512)&amp;IF(F512="Commemorative",IF(G512="","","_"&amp;SUBSTITUTE(SUBSTITUTE(SUBSTITUTE(G512," ","-"),"/","-"),CHAR(39),"")),"")&amp;IF(I512="Duplicate","_Dub"&amp;IF(SUMPRODUCT(($B$2:B512=B512)*($D$2:D512=D512)*($E$2:E512=E512)*($F$2:F512=F512)*($G$2:G512=G512)*($I$2:I512="Duplicate"))&lt;=1,"",SUMPRODUCT(($B$2:B512=B512)*($D$2:D512=D512)*($E$2:E512=E512)*($F$2:F512=F512)*($G$2:G512=G512)*($I$2:I512="Duplicate"))-1),"")&amp;".jpeg")</f>
        <v/>
      </c>
      <c r="L512" s="6"/>
      <c r="M512" s="5" t="str">
        <f>IFERROR(VLOOKUP(E512,Specifications!$A$2:$D$9,2,FALSE),"")</f>
        <v/>
      </c>
      <c r="N512" s="5" t="str">
        <f>IFERROR(VLOOKUP(E512,Specifications!$A$2:$D$9,3,FALSE),"")</f>
        <v/>
      </c>
      <c r="O512" s="5" t="str">
        <f>IFERROR(VLOOKUP(E512,Specifications!$A$2:$D$9,4,FALSE),"")</f>
        <v/>
      </c>
      <c r="P512" s="8" t="str">
        <f t="shared" si="24"/>
        <v/>
      </c>
      <c r="Q512" s="9"/>
    </row>
    <row r="513" spans="1:17" ht="15">
      <c r="A513" s="5" t="str">
        <f t="shared" si="22"/>
        <v/>
      </c>
      <c r="B513" s="6"/>
      <c r="C513" s="5" t="str">
        <f>IFERROR(VLOOKUP(B513,Lists!$A$2:$B$25,2,FALSE),"")</f>
        <v/>
      </c>
      <c r="D513" s="7"/>
      <c r="E513" s="6"/>
      <c r="F513" s="6" t="str">
        <f t="shared" si="23"/>
        <v/>
      </c>
      <c r="G513" s="6"/>
      <c r="H513" s="6"/>
      <c r="I513" s="6"/>
      <c r="J513" s="7"/>
      <c r="K513" s="5" t="str" cm="1">
        <f t="array" ref="K513">IF(OR(A513="",B513="",D513="",E513=""),"",A513&amp;"_"&amp;SUBSTITUTE(B513," ","-")&amp;"_"&amp;D513&amp;"_"&amp;SUBSTITUTE(SUBSTITUTE(E513," ",""),"€","Euro")&amp;"_"&amp;IF(F513="","Unknown",F513)&amp;IF(F513="Commemorative",IF(G513="","","_"&amp;SUBSTITUTE(SUBSTITUTE(SUBSTITUTE(G513," ","-"),"/","-"),CHAR(39),"")),"")&amp;IF(I513="Duplicate","_Dub"&amp;IF(SUMPRODUCT(($B$2:B513=B513)*($D$2:D513=D513)*($E$2:E513=E513)*($F$2:F513=F513)*($G$2:G513=G513)*($I$2:I513="Duplicate"))&lt;=1,"",SUMPRODUCT(($B$2:B513=B513)*($D$2:D513=D513)*($E$2:E513=E513)*($F$2:F513=F513)*($G$2:G513=G513)*($I$2:I513="Duplicate"))-1),"")&amp;".jpeg")</f>
        <v/>
      </c>
      <c r="L513" s="6"/>
      <c r="M513" s="5" t="str">
        <f>IFERROR(VLOOKUP(E513,Specifications!$A$2:$D$9,2,FALSE),"")</f>
        <v/>
      </c>
      <c r="N513" s="5" t="str">
        <f>IFERROR(VLOOKUP(E513,Specifications!$A$2:$D$9,3,FALSE),"")</f>
        <v/>
      </c>
      <c r="O513" s="5" t="str">
        <f>IFERROR(VLOOKUP(E513,Specifications!$A$2:$D$9,4,FALSE),"")</f>
        <v/>
      </c>
      <c r="P513" s="8" t="str">
        <f t="shared" si="24"/>
        <v/>
      </c>
      <c r="Q513" s="9"/>
    </row>
    <row r="514" spans="1:17" ht="15">
      <c r="A514" s="5" t="str">
        <f t="shared" ref="A514:A577" si="25">IF(B514="","",TEXT(ROW()-1,"000"))</f>
        <v/>
      </c>
      <c r="B514" s="6"/>
      <c r="C514" s="5" t="str">
        <f>IFERROR(VLOOKUP(B514,Lists!$A$2:$B$25,2,FALSE),"")</f>
        <v/>
      </c>
      <c r="D514" s="7"/>
      <c r="E514" s="6"/>
      <c r="F514" s="6" t="str">
        <f t="shared" ref="F514:F577" si="26">IF(E514="","",IF(E514="2 €","", "Regular"))</f>
        <v/>
      </c>
      <c r="G514" s="6"/>
      <c r="H514" s="6"/>
      <c r="I514" s="6"/>
      <c r="J514" s="7"/>
      <c r="K514" s="5" t="str" cm="1">
        <f t="array" ref="K514">IF(OR(A514="",B514="",D514="",E514=""),"",A514&amp;"_"&amp;SUBSTITUTE(B514," ","-")&amp;"_"&amp;D514&amp;"_"&amp;SUBSTITUTE(SUBSTITUTE(E514," ",""),"€","Euro")&amp;"_"&amp;IF(F514="","Unknown",F514)&amp;IF(F514="Commemorative",IF(G514="","","_"&amp;SUBSTITUTE(SUBSTITUTE(SUBSTITUTE(G514," ","-"),"/","-"),CHAR(39),"")),"")&amp;IF(I514="Duplicate","_Dub"&amp;IF(SUMPRODUCT(($B$2:B514=B514)*($D$2:D514=D514)*($E$2:E514=E514)*($F$2:F514=F514)*($G$2:G514=G514)*($I$2:I514="Duplicate"))&lt;=1,"",SUMPRODUCT(($B$2:B514=B514)*($D$2:D514=D514)*($E$2:E514=E514)*($F$2:F514=F514)*($G$2:G514=G514)*($I$2:I514="Duplicate"))-1),"")&amp;".jpeg")</f>
        <v/>
      </c>
      <c r="L514" s="6"/>
      <c r="M514" s="5" t="str">
        <f>IFERROR(VLOOKUP(E514,Specifications!$A$2:$D$9,2,FALSE),"")</f>
        <v/>
      </c>
      <c r="N514" s="5" t="str">
        <f>IFERROR(VLOOKUP(E514,Specifications!$A$2:$D$9,3,FALSE),"")</f>
        <v/>
      </c>
      <c r="O514" s="5" t="str">
        <f>IFERROR(VLOOKUP(E514,Specifications!$A$2:$D$9,4,FALSE),"")</f>
        <v/>
      </c>
      <c r="P514" s="8" t="str">
        <f t="shared" ref="P514:P577" si="27">IF(OR(B514="",E514="",F514=""),"",IF(F514="Regular","Regular "&amp;E514&amp;" circulation coin of "&amp;B514&amp;".",IF(F514="Commemorative",IF(G514="","",E514&amp;" commemorative coin of "&amp;B514&amp;" – "&amp;G514&amp;"."),"")))</f>
        <v/>
      </c>
      <c r="Q514" s="9"/>
    </row>
    <row r="515" spans="1:17" ht="15">
      <c r="A515" s="5" t="str">
        <f t="shared" si="25"/>
        <v/>
      </c>
      <c r="B515" s="6"/>
      <c r="C515" s="5" t="str">
        <f>IFERROR(VLOOKUP(B515,Lists!$A$2:$B$25,2,FALSE),"")</f>
        <v/>
      </c>
      <c r="D515" s="7"/>
      <c r="E515" s="6"/>
      <c r="F515" s="6" t="str">
        <f t="shared" si="26"/>
        <v/>
      </c>
      <c r="G515" s="6"/>
      <c r="H515" s="6"/>
      <c r="I515" s="6"/>
      <c r="J515" s="7"/>
      <c r="K515" s="5" t="str" cm="1">
        <f t="array" ref="K515">IF(OR(A515="",B515="",D515="",E515=""),"",A515&amp;"_"&amp;SUBSTITUTE(B515," ","-")&amp;"_"&amp;D515&amp;"_"&amp;SUBSTITUTE(SUBSTITUTE(E515," ",""),"€","Euro")&amp;"_"&amp;IF(F515="","Unknown",F515)&amp;IF(F515="Commemorative",IF(G515="","","_"&amp;SUBSTITUTE(SUBSTITUTE(SUBSTITUTE(G515," ","-"),"/","-"),CHAR(39),"")),"")&amp;IF(I515="Duplicate","_Dub"&amp;IF(SUMPRODUCT(($B$2:B515=B515)*($D$2:D515=D515)*($E$2:E515=E515)*($F$2:F515=F515)*($G$2:G515=G515)*($I$2:I515="Duplicate"))&lt;=1,"",SUMPRODUCT(($B$2:B515=B515)*($D$2:D515=D515)*($E$2:E515=E515)*($F$2:F515=F515)*($G$2:G515=G515)*($I$2:I515="Duplicate"))-1),"")&amp;".jpeg")</f>
        <v/>
      </c>
      <c r="L515" s="6"/>
      <c r="M515" s="5" t="str">
        <f>IFERROR(VLOOKUP(E515,Specifications!$A$2:$D$9,2,FALSE),"")</f>
        <v/>
      </c>
      <c r="N515" s="5" t="str">
        <f>IFERROR(VLOOKUP(E515,Specifications!$A$2:$D$9,3,FALSE),"")</f>
        <v/>
      </c>
      <c r="O515" s="5" t="str">
        <f>IFERROR(VLOOKUP(E515,Specifications!$A$2:$D$9,4,FALSE),"")</f>
        <v/>
      </c>
      <c r="P515" s="8" t="str">
        <f t="shared" si="27"/>
        <v/>
      </c>
      <c r="Q515" s="9"/>
    </row>
    <row r="516" spans="1:17" ht="15">
      <c r="A516" s="5" t="str">
        <f t="shared" si="25"/>
        <v/>
      </c>
      <c r="B516" s="6"/>
      <c r="C516" s="5" t="str">
        <f>IFERROR(VLOOKUP(B516,Lists!$A$2:$B$25,2,FALSE),"")</f>
        <v/>
      </c>
      <c r="D516" s="7"/>
      <c r="E516" s="6"/>
      <c r="F516" s="6" t="str">
        <f t="shared" si="26"/>
        <v/>
      </c>
      <c r="G516" s="6"/>
      <c r="H516" s="6"/>
      <c r="I516" s="6"/>
      <c r="J516" s="7"/>
      <c r="K516" s="5" t="str" cm="1">
        <f t="array" ref="K516">IF(OR(A516="",B516="",D516="",E516=""),"",A516&amp;"_"&amp;SUBSTITUTE(B516," ","-")&amp;"_"&amp;D516&amp;"_"&amp;SUBSTITUTE(SUBSTITUTE(E516," ",""),"€","Euro")&amp;"_"&amp;IF(F516="","Unknown",F516)&amp;IF(F516="Commemorative",IF(G516="","","_"&amp;SUBSTITUTE(SUBSTITUTE(SUBSTITUTE(G516," ","-"),"/","-"),CHAR(39),"")),"")&amp;IF(I516="Duplicate","_Dub"&amp;IF(SUMPRODUCT(($B$2:B516=B516)*($D$2:D516=D516)*($E$2:E516=E516)*($F$2:F516=F516)*($G$2:G516=G516)*($I$2:I516="Duplicate"))&lt;=1,"",SUMPRODUCT(($B$2:B516=B516)*($D$2:D516=D516)*($E$2:E516=E516)*($F$2:F516=F516)*($G$2:G516=G516)*($I$2:I516="Duplicate"))-1),"")&amp;".jpeg")</f>
        <v/>
      </c>
      <c r="L516" s="6"/>
      <c r="M516" s="5" t="str">
        <f>IFERROR(VLOOKUP(E516,Specifications!$A$2:$D$9,2,FALSE),"")</f>
        <v/>
      </c>
      <c r="N516" s="5" t="str">
        <f>IFERROR(VLOOKUP(E516,Specifications!$A$2:$D$9,3,FALSE),"")</f>
        <v/>
      </c>
      <c r="O516" s="5" t="str">
        <f>IFERROR(VLOOKUP(E516,Specifications!$A$2:$D$9,4,FALSE),"")</f>
        <v/>
      </c>
      <c r="P516" s="8" t="str">
        <f t="shared" si="27"/>
        <v/>
      </c>
      <c r="Q516" s="9"/>
    </row>
    <row r="517" spans="1:17" ht="15">
      <c r="A517" s="5" t="str">
        <f t="shared" si="25"/>
        <v/>
      </c>
      <c r="B517" s="6"/>
      <c r="C517" s="5" t="str">
        <f>IFERROR(VLOOKUP(B517,Lists!$A$2:$B$25,2,FALSE),"")</f>
        <v/>
      </c>
      <c r="D517" s="7"/>
      <c r="E517" s="6"/>
      <c r="F517" s="6" t="str">
        <f t="shared" si="26"/>
        <v/>
      </c>
      <c r="G517" s="6"/>
      <c r="H517" s="6"/>
      <c r="I517" s="6"/>
      <c r="J517" s="7"/>
      <c r="K517" s="5" t="str" cm="1">
        <f t="array" ref="K517">IF(OR(A517="",B517="",D517="",E517=""),"",A517&amp;"_"&amp;SUBSTITUTE(B517," ","-")&amp;"_"&amp;D517&amp;"_"&amp;SUBSTITUTE(SUBSTITUTE(E517," ",""),"€","Euro")&amp;"_"&amp;IF(F517="","Unknown",F517)&amp;IF(F517="Commemorative",IF(G517="","","_"&amp;SUBSTITUTE(SUBSTITUTE(SUBSTITUTE(G517," ","-"),"/","-"),CHAR(39),"")),"")&amp;IF(I517="Duplicate","_Dub"&amp;IF(SUMPRODUCT(($B$2:B517=B517)*($D$2:D517=D517)*($E$2:E517=E517)*($F$2:F517=F517)*($G$2:G517=G517)*($I$2:I517="Duplicate"))&lt;=1,"",SUMPRODUCT(($B$2:B517=B517)*($D$2:D517=D517)*($E$2:E517=E517)*($F$2:F517=F517)*($G$2:G517=G517)*($I$2:I517="Duplicate"))-1),"")&amp;".jpeg")</f>
        <v/>
      </c>
      <c r="L517" s="6"/>
      <c r="M517" s="5" t="str">
        <f>IFERROR(VLOOKUP(E517,Specifications!$A$2:$D$9,2,FALSE),"")</f>
        <v/>
      </c>
      <c r="N517" s="5" t="str">
        <f>IFERROR(VLOOKUP(E517,Specifications!$A$2:$D$9,3,FALSE),"")</f>
        <v/>
      </c>
      <c r="O517" s="5" t="str">
        <f>IFERROR(VLOOKUP(E517,Specifications!$A$2:$D$9,4,FALSE),"")</f>
        <v/>
      </c>
      <c r="P517" s="8" t="str">
        <f t="shared" si="27"/>
        <v/>
      </c>
      <c r="Q517" s="9"/>
    </row>
    <row r="518" spans="1:17" ht="15">
      <c r="A518" s="5" t="str">
        <f t="shared" si="25"/>
        <v/>
      </c>
      <c r="B518" s="6"/>
      <c r="C518" s="5" t="str">
        <f>IFERROR(VLOOKUP(B518,Lists!$A$2:$B$25,2,FALSE),"")</f>
        <v/>
      </c>
      <c r="D518" s="7"/>
      <c r="E518" s="6"/>
      <c r="F518" s="6" t="str">
        <f t="shared" si="26"/>
        <v/>
      </c>
      <c r="G518" s="6"/>
      <c r="H518" s="6"/>
      <c r="I518" s="6"/>
      <c r="J518" s="7"/>
      <c r="K518" s="5" t="str" cm="1">
        <f t="array" ref="K518">IF(OR(A518="",B518="",D518="",E518=""),"",A518&amp;"_"&amp;SUBSTITUTE(B518," ","-")&amp;"_"&amp;D518&amp;"_"&amp;SUBSTITUTE(SUBSTITUTE(E518," ",""),"€","Euro")&amp;"_"&amp;IF(F518="","Unknown",F518)&amp;IF(F518="Commemorative",IF(G518="","","_"&amp;SUBSTITUTE(SUBSTITUTE(SUBSTITUTE(G518," ","-"),"/","-"),CHAR(39),"")),"")&amp;IF(I518="Duplicate","_Dub"&amp;IF(SUMPRODUCT(($B$2:B518=B518)*($D$2:D518=D518)*($E$2:E518=E518)*($F$2:F518=F518)*($G$2:G518=G518)*($I$2:I518="Duplicate"))&lt;=1,"",SUMPRODUCT(($B$2:B518=B518)*($D$2:D518=D518)*($E$2:E518=E518)*($F$2:F518=F518)*($G$2:G518=G518)*($I$2:I518="Duplicate"))-1),"")&amp;".jpeg")</f>
        <v/>
      </c>
      <c r="L518" s="6"/>
      <c r="M518" s="5" t="str">
        <f>IFERROR(VLOOKUP(E518,Specifications!$A$2:$D$9,2,FALSE),"")</f>
        <v/>
      </c>
      <c r="N518" s="5" t="str">
        <f>IFERROR(VLOOKUP(E518,Specifications!$A$2:$D$9,3,FALSE),"")</f>
        <v/>
      </c>
      <c r="O518" s="5" t="str">
        <f>IFERROR(VLOOKUP(E518,Specifications!$A$2:$D$9,4,FALSE),"")</f>
        <v/>
      </c>
      <c r="P518" s="8" t="str">
        <f t="shared" si="27"/>
        <v/>
      </c>
      <c r="Q518" s="9"/>
    </row>
    <row r="519" spans="1:17" ht="15">
      <c r="A519" s="5" t="str">
        <f t="shared" si="25"/>
        <v/>
      </c>
      <c r="B519" s="6"/>
      <c r="C519" s="5" t="str">
        <f>IFERROR(VLOOKUP(B519,Lists!$A$2:$B$25,2,FALSE),"")</f>
        <v/>
      </c>
      <c r="D519" s="7"/>
      <c r="E519" s="6"/>
      <c r="F519" s="6" t="str">
        <f t="shared" si="26"/>
        <v/>
      </c>
      <c r="G519" s="6"/>
      <c r="H519" s="6"/>
      <c r="I519" s="6"/>
      <c r="J519" s="7"/>
      <c r="K519" s="5" t="str" cm="1">
        <f t="array" ref="K519">IF(OR(A519="",B519="",D519="",E519=""),"",A519&amp;"_"&amp;SUBSTITUTE(B519," ","-")&amp;"_"&amp;D519&amp;"_"&amp;SUBSTITUTE(SUBSTITUTE(E519," ",""),"€","Euro")&amp;"_"&amp;IF(F519="","Unknown",F519)&amp;IF(F519="Commemorative",IF(G519="","","_"&amp;SUBSTITUTE(SUBSTITUTE(SUBSTITUTE(G519," ","-"),"/","-"),CHAR(39),"")),"")&amp;IF(I519="Duplicate","_Dub"&amp;IF(SUMPRODUCT(($B$2:B519=B519)*($D$2:D519=D519)*($E$2:E519=E519)*($F$2:F519=F519)*($G$2:G519=G519)*($I$2:I519="Duplicate"))&lt;=1,"",SUMPRODUCT(($B$2:B519=B519)*($D$2:D519=D519)*($E$2:E519=E519)*($F$2:F519=F519)*($G$2:G519=G519)*($I$2:I519="Duplicate"))-1),"")&amp;".jpeg")</f>
        <v/>
      </c>
      <c r="L519" s="6"/>
      <c r="M519" s="5" t="str">
        <f>IFERROR(VLOOKUP(E519,Specifications!$A$2:$D$9,2,FALSE),"")</f>
        <v/>
      </c>
      <c r="N519" s="5" t="str">
        <f>IFERROR(VLOOKUP(E519,Specifications!$A$2:$D$9,3,FALSE),"")</f>
        <v/>
      </c>
      <c r="O519" s="5" t="str">
        <f>IFERROR(VLOOKUP(E519,Specifications!$A$2:$D$9,4,FALSE),"")</f>
        <v/>
      </c>
      <c r="P519" s="8" t="str">
        <f t="shared" si="27"/>
        <v/>
      </c>
      <c r="Q519" s="9"/>
    </row>
    <row r="520" spans="1:17" ht="15">
      <c r="A520" s="5" t="str">
        <f t="shared" si="25"/>
        <v/>
      </c>
      <c r="B520" s="6"/>
      <c r="C520" s="5" t="str">
        <f>IFERROR(VLOOKUP(B520,Lists!$A$2:$B$25,2,FALSE),"")</f>
        <v/>
      </c>
      <c r="D520" s="7"/>
      <c r="E520" s="6"/>
      <c r="F520" s="6" t="str">
        <f t="shared" si="26"/>
        <v/>
      </c>
      <c r="G520" s="6"/>
      <c r="H520" s="6"/>
      <c r="I520" s="6"/>
      <c r="J520" s="7"/>
      <c r="K520" s="5" t="str" cm="1">
        <f t="array" ref="K520">IF(OR(A520="",B520="",D520="",E520=""),"",A520&amp;"_"&amp;SUBSTITUTE(B520," ","-")&amp;"_"&amp;D520&amp;"_"&amp;SUBSTITUTE(SUBSTITUTE(E520," ",""),"€","Euro")&amp;"_"&amp;IF(F520="","Unknown",F520)&amp;IF(F520="Commemorative",IF(G520="","","_"&amp;SUBSTITUTE(SUBSTITUTE(SUBSTITUTE(G520," ","-"),"/","-"),CHAR(39),"")),"")&amp;IF(I520="Duplicate","_Dub"&amp;IF(SUMPRODUCT(($B$2:B520=B520)*($D$2:D520=D520)*($E$2:E520=E520)*($F$2:F520=F520)*($G$2:G520=G520)*($I$2:I520="Duplicate"))&lt;=1,"",SUMPRODUCT(($B$2:B520=B520)*($D$2:D520=D520)*($E$2:E520=E520)*($F$2:F520=F520)*($G$2:G520=G520)*($I$2:I520="Duplicate"))-1),"")&amp;".jpeg")</f>
        <v/>
      </c>
      <c r="L520" s="6"/>
      <c r="M520" s="5" t="str">
        <f>IFERROR(VLOOKUP(E520,Specifications!$A$2:$D$9,2,FALSE),"")</f>
        <v/>
      </c>
      <c r="N520" s="5" t="str">
        <f>IFERROR(VLOOKUP(E520,Specifications!$A$2:$D$9,3,FALSE),"")</f>
        <v/>
      </c>
      <c r="O520" s="5" t="str">
        <f>IFERROR(VLOOKUP(E520,Specifications!$A$2:$D$9,4,FALSE),"")</f>
        <v/>
      </c>
      <c r="P520" s="8" t="str">
        <f t="shared" si="27"/>
        <v/>
      </c>
      <c r="Q520" s="9"/>
    </row>
    <row r="521" spans="1:17" ht="15">
      <c r="A521" s="5" t="str">
        <f t="shared" si="25"/>
        <v/>
      </c>
      <c r="B521" s="6"/>
      <c r="C521" s="5" t="str">
        <f>IFERROR(VLOOKUP(B521,Lists!$A$2:$B$25,2,FALSE),"")</f>
        <v/>
      </c>
      <c r="D521" s="7"/>
      <c r="E521" s="6"/>
      <c r="F521" s="6" t="str">
        <f t="shared" si="26"/>
        <v/>
      </c>
      <c r="G521" s="6"/>
      <c r="H521" s="6"/>
      <c r="I521" s="6"/>
      <c r="J521" s="7"/>
      <c r="K521" s="5" t="str" cm="1">
        <f t="array" ref="K521">IF(OR(A521="",B521="",D521="",E521=""),"",A521&amp;"_"&amp;SUBSTITUTE(B521," ","-")&amp;"_"&amp;D521&amp;"_"&amp;SUBSTITUTE(SUBSTITUTE(E521," ",""),"€","Euro")&amp;"_"&amp;IF(F521="","Unknown",F521)&amp;IF(F521="Commemorative",IF(G521="","","_"&amp;SUBSTITUTE(SUBSTITUTE(SUBSTITUTE(G521," ","-"),"/","-"),CHAR(39),"")),"")&amp;IF(I521="Duplicate","_Dub"&amp;IF(SUMPRODUCT(($B$2:B521=B521)*($D$2:D521=D521)*($E$2:E521=E521)*($F$2:F521=F521)*($G$2:G521=G521)*($I$2:I521="Duplicate"))&lt;=1,"",SUMPRODUCT(($B$2:B521=B521)*($D$2:D521=D521)*($E$2:E521=E521)*($F$2:F521=F521)*($G$2:G521=G521)*($I$2:I521="Duplicate"))-1),"")&amp;".jpeg")</f>
        <v/>
      </c>
      <c r="L521" s="6"/>
      <c r="M521" s="5" t="str">
        <f>IFERROR(VLOOKUP(E521,Specifications!$A$2:$D$9,2,FALSE),"")</f>
        <v/>
      </c>
      <c r="N521" s="5" t="str">
        <f>IFERROR(VLOOKUP(E521,Specifications!$A$2:$D$9,3,FALSE),"")</f>
        <v/>
      </c>
      <c r="O521" s="5" t="str">
        <f>IFERROR(VLOOKUP(E521,Specifications!$A$2:$D$9,4,FALSE),"")</f>
        <v/>
      </c>
      <c r="P521" s="8" t="str">
        <f t="shared" si="27"/>
        <v/>
      </c>
      <c r="Q521" s="9"/>
    </row>
    <row r="522" spans="1:17" ht="15">
      <c r="A522" s="5" t="str">
        <f t="shared" si="25"/>
        <v/>
      </c>
      <c r="B522" s="6"/>
      <c r="C522" s="5" t="str">
        <f>IFERROR(VLOOKUP(B522,Lists!$A$2:$B$25,2,FALSE),"")</f>
        <v/>
      </c>
      <c r="D522" s="7"/>
      <c r="E522" s="6"/>
      <c r="F522" s="6" t="str">
        <f t="shared" si="26"/>
        <v/>
      </c>
      <c r="G522" s="6"/>
      <c r="H522" s="6"/>
      <c r="I522" s="6"/>
      <c r="J522" s="7"/>
      <c r="K522" s="5" t="str" cm="1">
        <f t="array" ref="K522">IF(OR(A522="",B522="",D522="",E522=""),"",A522&amp;"_"&amp;SUBSTITUTE(B522," ","-")&amp;"_"&amp;D522&amp;"_"&amp;SUBSTITUTE(SUBSTITUTE(E522," ",""),"€","Euro")&amp;"_"&amp;IF(F522="","Unknown",F522)&amp;IF(F522="Commemorative",IF(G522="","","_"&amp;SUBSTITUTE(SUBSTITUTE(SUBSTITUTE(G522," ","-"),"/","-"),CHAR(39),"")),"")&amp;IF(I522="Duplicate","_Dub"&amp;IF(SUMPRODUCT(($B$2:B522=B522)*($D$2:D522=D522)*($E$2:E522=E522)*($F$2:F522=F522)*($G$2:G522=G522)*($I$2:I522="Duplicate"))&lt;=1,"",SUMPRODUCT(($B$2:B522=B522)*($D$2:D522=D522)*($E$2:E522=E522)*($F$2:F522=F522)*($G$2:G522=G522)*($I$2:I522="Duplicate"))-1),"")&amp;".jpeg")</f>
        <v/>
      </c>
      <c r="L522" s="6"/>
      <c r="M522" s="5" t="str">
        <f>IFERROR(VLOOKUP(E522,Specifications!$A$2:$D$9,2,FALSE),"")</f>
        <v/>
      </c>
      <c r="N522" s="5" t="str">
        <f>IFERROR(VLOOKUP(E522,Specifications!$A$2:$D$9,3,FALSE),"")</f>
        <v/>
      </c>
      <c r="O522" s="5" t="str">
        <f>IFERROR(VLOOKUP(E522,Specifications!$A$2:$D$9,4,FALSE),"")</f>
        <v/>
      </c>
      <c r="P522" s="8" t="str">
        <f t="shared" si="27"/>
        <v/>
      </c>
      <c r="Q522" s="9"/>
    </row>
    <row r="523" spans="1:17" ht="15">
      <c r="A523" s="5" t="str">
        <f t="shared" si="25"/>
        <v/>
      </c>
      <c r="B523" s="6"/>
      <c r="C523" s="5" t="str">
        <f>IFERROR(VLOOKUP(B523,Lists!$A$2:$B$25,2,FALSE),"")</f>
        <v/>
      </c>
      <c r="D523" s="7"/>
      <c r="E523" s="6"/>
      <c r="F523" s="6" t="str">
        <f t="shared" si="26"/>
        <v/>
      </c>
      <c r="G523" s="6"/>
      <c r="H523" s="6"/>
      <c r="I523" s="6"/>
      <c r="J523" s="7"/>
      <c r="K523" s="5" t="str" cm="1">
        <f t="array" ref="K523">IF(OR(A523="",B523="",D523="",E523=""),"",A523&amp;"_"&amp;SUBSTITUTE(B523," ","-")&amp;"_"&amp;D523&amp;"_"&amp;SUBSTITUTE(SUBSTITUTE(E523," ",""),"€","Euro")&amp;"_"&amp;IF(F523="","Unknown",F523)&amp;IF(F523="Commemorative",IF(G523="","","_"&amp;SUBSTITUTE(SUBSTITUTE(SUBSTITUTE(G523," ","-"),"/","-"),CHAR(39),"")),"")&amp;IF(I523="Duplicate","_Dub"&amp;IF(SUMPRODUCT(($B$2:B523=B523)*($D$2:D523=D523)*($E$2:E523=E523)*($F$2:F523=F523)*($G$2:G523=G523)*($I$2:I523="Duplicate"))&lt;=1,"",SUMPRODUCT(($B$2:B523=B523)*($D$2:D523=D523)*($E$2:E523=E523)*($F$2:F523=F523)*($G$2:G523=G523)*($I$2:I523="Duplicate"))-1),"")&amp;".jpeg")</f>
        <v/>
      </c>
      <c r="L523" s="6"/>
      <c r="M523" s="5" t="str">
        <f>IFERROR(VLOOKUP(E523,Specifications!$A$2:$D$9,2,FALSE),"")</f>
        <v/>
      </c>
      <c r="N523" s="5" t="str">
        <f>IFERROR(VLOOKUP(E523,Specifications!$A$2:$D$9,3,FALSE),"")</f>
        <v/>
      </c>
      <c r="O523" s="5" t="str">
        <f>IFERROR(VLOOKUP(E523,Specifications!$A$2:$D$9,4,FALSE),"")</f>
        <v/>
      </c>
      <c r="P523" s="8" t="str">
        <f t="shared" si="27"/>
        <v/>
      </c>
      <c r="Q523" s="9"/>
    </row>
    <row r="524" spans="1:17" ht="15">
      <c r="A524" s="5" t="str">
        <f t="shared" si="25"/>
        <v/>
      </c>
      <c r="B524" s="6"/>
      <c r="C524" s="5" t="str">
        <f>IFERROR(VLOOKUP(B524,Lists!$A$2:$B$25,2,FALSE),"")</f>
        <v/>
      </c>
      <c r="D524" s="7"/>
      <c r="E524" s="6"/>
      <c r="F524" s="6" t="str">
        <f t="shared" si="26"/>
        <v/>
      </c>
      <c r="G524" s="6"/>
      <c r="H524" s="6"/>
      <c r="I524" s="6"/>
      <c r="J524" s="7"/>
      <c r="K524" s="5" t="str" cm="1">
        <f t="array" ref="K524">IF(OR(A524="",B524="",D524="",E524=""),"",A524&amp;"_"&amp;SUBSTITUTE(B524," ","-")&amp;"_"&amp;D524&amp;"_"&amp;SUBSTITUTE(SUBSTITUTE(E524," ",""),"€","Euro")&amp;"_"&amp;IF(F524="","Unknown",F524)&amp;IF(F524="Commemorative",IF(G524="","","_"&amp;SUBSTITUTE(SUBSTITUTE(SUBSTITUTE(G524," ","-"),"/","-"),CHAR(39),"")),"")&amp;IF(I524="Duplicate","_Dub"&amp;IF(SUMPRODUCT(($B$2:B524=B524)*($D$2:D524=D524)*($E$2:E524=E524)*($F$2:F524=F524)*($G$2:G524=G524)*($I$2:I524="Duplicate"))&lt;=1,"",SUMPRODUCT(($B$2:B524=B524)*($D$2:D524=D524)*($E$2:E524=E524)*($F$2:F524=F524)*($G$2:G524=G524)*($I$2:I524="Duplicate"))-1),"")&amp;".jpeg")</f>
        <v/>
      </c>
      <c r="L524" s="6"/>
      <c r="M524" s="5" t="str">
        <f>IFERROR(VLOOKUP(E524,Specifications!$A$2:$D$9,2,FALSE),"")</f>
        <v/>
      </c>
      <c r="N524" s="5" t="str">
        <f>IFERROR(VLOOKUP(E524,Specifications!$A$2:$D$9,3,FALSE),"")</f>
        <v/>
      </c>
      <c r="O524" s="5" t="str">
        <f>IFERROR(VLOOKUP(E524,Specifications!$A$2:$D$9,4,FALSE),"")</f>
        <v/>
      </c>
      <c r="P524" s="8" t="str">
        <f t="shared" si="27"/>
        <v/>
      </c>
      <c r="Q524" s="9"/>
    </row>
    <row r="525" spans="1:17" ht="15">
      <c r="A525" s="5" t="str">
        <f t="shared" si="25"/>
        <v/>
      </c>
      <c r="B525" s="6"/>
      <c r="C525" s="5" t="str">
        <f>IFERROR(VLOOKUP(B525,Lists!$A$2:$B$25,2,FALSE),"")</f>
        <v/>
      </c>
      <c r="D525" s="7"/>
      <c r="E525" s="6"/>
      <c r="F525" s="6" t="str">
        <f t="shared" si="26"/>
        <v/>
      </c>
      <c r="G525" s="6"/>
      <c r="H525" s="6"/>
      <c r="I525" s="6"/>
      <c r="J525" s="7"/>
      <c r="K525" s="5" t="str" cm="1">
        <f t="array" ref="K525">IF(OR(A525="",B525="",D525="",E525=""),"",A525&amp;"_"&amp;SUBSTITUTE(B525," ","-")&amp;"_"&amp;D525&amp;"_"&amp;SUBSTITUTE(SUBSTITUTE(E525," ",""),"€","Euro")&amp;"_"&amp;IF(F525="","Unknown",F525)&amp;IF(F525="Commemorative",IF(G525="","","_"&amp;SUBSTITUTE(SUBSTITUTE(SUBSTITUTE(G525," ","-"),"/","-"),CHAR(39),"")),"")&amp;IF(I525="Duplicate","_Dub"&amp;IF(SUMPRODUCT(($B$2:B525=B525)*($D$2:D525=D525)*($E$2:E525=E525)*($F$2:F525=F525)*($G$2:G525=G525)*($I$2:I525="Duplicate"))&lt;=1,"",SUMPRODUCT(($B$2:B525=B525)*($D$2:D525=D525)*($E$2:E525=E525)*($F$2:F525=F525)*($G$2:G525=G525)*($I$2:I525="Duplicate"))-1),"")&amp;".jpeg")</f>
        <v/>
      </c>
      <c r="L525" s="6"/>
      <c r="M525" s="5" t="str">
        <f>IFERROR(VLOOKUP(E525,Specifications!$A$2:$D$9,2,FALSE),"")</f>
        <v/>
      </c>
      <c r="N525" s="5" t="str">
        <f>IFERROR(VLOOKUP(E525,Specifications!$A$2:$D$9,3,FALSE),"")</f>
        <v/>
      </c>
      <c r="O525" s="5" t="str">
        <f>IFERROR(VLOOKUP(E525,Specifications!$A$2:$D$9,4,FALSE),"")</f>
        <v/>
      </c>
      <c r="P525" s="8" t="str">
        <f t="shared" si="27"/>
        <v/>
      </c>
      <c r="Q525" s="9"/>
    </row>
    <row r="526" spans="1:17" ht="15">
      <c r="A526" s="5" t="str">
        <f t="shared" si="25"/>
        <v/>
      </c>
      <c r="B526" s="6"/>
      <c r="C526" s="5" t="str">
        <f>IFERROR(VLOOKUP(B526,Lists!$A$2:$B$25,2,FALSE),"")</f>
        <v/>
      </c>
      <c r="D526" s="7"/>
      <c r="E526" s="6"/>
      <c r="F526" s="6" t="str">
        <f t="shared" si="26"/>
        <v/>
      </c>
      <c r="G526" s="6"/>
      <c r="H526" s="6"/>
      <c r="I526" s="6"/>
      <c r="J526" s="7"/>
      <c r="K526" s="5" t="str" cm="1">
        <f t="array" ref="K526">IF(OR(A526="",B526="",D526="",E526=""),"",A526&amp;"_"&amp;SUBSTITUTE(B526," ","-")&amp;"_"&amp;D526&amp;"_"&amp;SUBSTITUTE(SUBSTITUTE(E526," ",""),"€","Euro")&amp;"_"&amp;IF(F526="","Unknown",F526)&amp;IF(F526="Commemorative",IF(G526="","","_"&amp;SUBSTITUTE(SUBSTITUTE(SUBSTITUTE(G526," ","-"),"/","-"),CHAR(39),"")),"")&amp;IF(I526="Duplicate","_Dub"&amp;IF(SUMPRODUCT(($B$2:B526=B526)*($D$2:D526=D526)*($E$2:E526=E526)*($F$2:F526=F526)*($G$2:G526=G526)*($I$2:I526="Duplicate"))&lt;=1,"",SUMPRODUCT(($B$2:B526=B526)*($D$2:D526=D526)*($E$2:E526=E526)*($F$2:F526=F526)*($G$2:G526=G526)*($I$2:I526="Duplicate"))-1),"")&amp;".jpeg")</f>
        <v/>
      </c>
      <c r="L526" s="6"/>
      <c r="M526" s="5" t="str">
        <f>IFERROR(VLOOKUP(E526,Specifications!$A$2:$D$9,2,FALSE),"")</f>
        <v/>
      </c>
      <c r="N526" s="5" t="str">
        <f>IFERROR(VLOOKUP(E526,Specifications!$A$2:$D$9,3,FALSE),"")</f>
        <v/>
      </c>
      <c r="O526" s="5" t="str">
        <f>IFERROR(VLOOKUP(E526,Specifications!$A$2:$D$9,4,FALSE),"")</f>
        <v/>
      </c>
      <c r="P526" s="8" t="str">
        <f t="shared" si="27"/>
        <v/>
      </c>
      <c r="Q526" s="9"/>
    </row>
    <row r="527" spans="1:17" ht="15">
      <c r="A527" s="5" t="str">
        <f t="shared" si="25"/>
        <v/>
      </c>
      <c r="B527" s="6"/>
      <c r="C527" s="5" t="str">
        <f>IFERROR(VLOOKUP(B527,Lists!$A$2:$B$25,2,FALSE),"")</f>
        <v/>
      </c>
      <c r="D527" s="7"/>
      <c r="E527" s="6"/>
      <c r="F527" s="6" t="str">
        <f t="shared" si="26"/>
        <v/>
      </c>
      <c r="G527" s="6"/>
      <c r="H527" s="6"/>
      <c r="I527" s="6"/>
      <c r="J527" s="7"/>
      <c r="K527" s="5" t="str" cm="1">
        <f t="array" ref="K527">IF(OR(A527="",B527="",D527="",E527=""),"",A527&amp;"_"&amp;SUBSTITUTE(B527," ","-")&amp;"_"&amp;D527&amp;"_"&amp;SUBSTITUTE(SUBSTITUTE(E527," ",""),"€","Euro")&amp;"_"&amp;IF(F527="","Unknown",F527)&amp;IF(F527="Commemorative",IF(G527="","","_"&amp;SUBSTITUTE(SUBSTITUTE(SUBSTITUTE(G527," ","-"),"/","-"),CHAR(39),"")),"")&amp;IF(I527="Duplicate","_Dub"&amp;IF(SUMPRODUCT(($B$2:B527=B527)*($D$2:D527=D527)*($E$2:E527=E527)*($F$2:F527=F527)*($G$2:G527=G527)*($I$2:I527="Duplicate"))&lt;=1,"",SUMPRODUCT(($B$2:B527=B527)*($D$2:D527=D527)*($E$2:E527=E527)*($F$2:F527=F527)*($G$2:G527=G527)*($I$2:I527="Duplicate"))-1),"")&amp;".jpeg")</f>
        <v/>
      </c>
      <c r="L527" s="6"/>
      <c r="M527" s="5" t="str">
        <f>IFERROR(VLOOKUP(E527,Specifications!$A$2:$D$9,2,FALSE),"")</f>
        <v/>
      </c>
      <c r="N527" s="5" t="str">
        <f>IFERROR(VLOOKUP(E527,Specifications!$A$2:$D$9,3,FALSE),"")</f>
        <v/>
      </c>
      <c r="O527" s="5" t="str">
        <f>IFERROR(VLOOKUP(E527,Specifications!$A$2:$D$9,4,FALSE),"")</f>
        <v/>
      </c>
      <c r="P527" s="8" t="str">
        <f t="shared" si="27"/>
        <v/>
      </c>
      <c r="Q527" s="9"/>
    </row>
    <row r="528" spans="1:17" ht="15">
      <c r="A528" s="5" t="str">
        <f t="shared" si="25"/>
        <v/>
      </c>
      <c r="B528" s="6"/>
      <c r="C528" s="5" t="str">
        <f>IFERROR(VLOOKUP(B528,Lists!$A$2:$B$25,2,FALSE),"")</f>
        <v/>
      </c>
      <c r="D528" s="7"/>
      <c r="E528" s="6"/>
      <c r="F528" s="6" t="str">
        <f t="shared" si="26"/>
        <v/>
      </c>
      <c r="G528" s="6"/>
      <c r="H528" s="6"/>
      <c r="I528" s="6"/>
      <c r="J528" s="7"/>
      <c r="K528" s="5" t="str" cm="1">
        <f t="array" ref="K528">IF(OR(A528="",B528="",D528="",E528=""),"",A528&amp;"_"&amp;SUBSTITUTE(B528," ","-")&amp;"_"&amp;D528&amp;"_"&amp;SUBSTITUTE(SUBSTITUTE(E528," ",""),"€","Euro")&amp;"_"&amp;IF(F528="","Unknown",F528)&amp;IF(F528="Commemorative",IF(G528="","","_"&amp;SUBSTITUTE(SUBSTITUTE(SUBSTITUTE(G528," ","-"),"/","-"),CHAR(39),"")),"")&amp;IF(I528="Duplicate","_Dub"&amp;IF(SUMPRODUCT(($B$2:B528=B528)*($D$2:D528=D528)*($E$2:E528=E528)*($F$2:F528=F528)*($G$2:G528=G528)*($I$2:I528="Duplicate"))&lt;=1,"",SUMPRODUCT(($B$2:B528=B528)*($D$2:D528=D528)*($E$2:E528=E528)*($F$2:F528=F528)*($G$2:G528=G528)*($I$2:I528="Duplicate"))-1),"")&amp;".jpeg")</f>
        <v/>
      </c>
      <c r="L528" s="6"/>
      <c r="M528" s="5" t="str">
        <f>IFERROR(VLOOKUP(E528,Specifications!$A$2:$D$9,2,FALSE),"")</f>
        <v/>
      </c>
      <c r="N528" s="5" t="str">
        <f>IFERROR(VLOOKUP(E528,Specifications!$A$2:$D$9,3,FALSE),"")</f>
        <v/>
      </c>
      <c r="O528" s="5" t="str">
        <f>IFERROR(VLOOKUP(E528,Specifications!$A$2:$D$9,4,FALSE),"")</f>
        <v/>
      </c>
      <c r="P528" s="8" t="str">
        <f t="shared" si="27"/>
        <v/>
      </c>
      <c r="Q528" s="9"/>
    </row>
    <row r="529" spans="1:17" ht="15">
      <c r="A529" s="5" t="str">
        <f t="shared" si="25"/>
        <v/>
      </c>
      <c r="B529" s="6"/>
      <c r="C529" s="5" t="str">
        <f>IFERROR(VLOOKUP(B529,Lists!$A$2:$B$25,2,FALSE),"")</f>
        <v/>
      </c>
      <c r="D529" s="7"/>
      <c r="E529" s="6"/>
      <c r="F529" s="6" t="str">
        <f t="shared" si="26"/>
        <v/>
      </c>
      <c r="G529" s="6"/>
      <c r="H529" s="6"/>
      <c r="I529" s="6"/>
      <c r="J529" s="7"/>
      <c r="K529" s="5" t="str" cm="1">
        <f t="array" ref="K529">IF(OR(A529="",B529="",D529="",E529=""),"",A529&amp;"_"&amp;SUBSTITUTE(B529," ","-")&amp;"_"&amp;D529&amp;"_"&amp;SUBSTITUTE(SUBSTITUTE(E529," ",""),"€","Euro")&amp;"_"&amp;IF(F529="","Unknown",F529)&amp;IF(F529="Commemorative",IF(G529="","","_"&amp;SUBSTITUTE(SUBSTITUTE(SUBSTITUTE(G529," ","-"),"/","-"),CHAR(39),"")),"")&amp;IF(I529="Duplicate","_Dub"&amp;IF(SUMPRODUCT(($B$2:B529=B529)*($D$2:D529=D529)*($E$2:E529=E529)*($F$2:F529=F529)*($G$2:G529=G529)*($I$2:I529="Duplicate"))&lt;=1,"",SUMPRODUCT(($B$2:B529=B529)*($D$2:D529=D529)*($E$2:E529=E529)*($F$2:F529=F529)*($G$2:G529=G529)*($I$2:I529="Duplicate"))-1),"")&amp;".jpeg")</f>
        <v/>
      </c>
      <c r="L529" s="6"/>
      <c r="M529" s="5" t="str">
        <f>IFERROR(VLOOKUP(E529,Specifications!$A$2:$D$9,2,FALSE),"")</f>
        <v/>
      </c>
      <c r="N529" s="5" t="str">
        <f>IFERROR(VLOOKUP(E529,Specifications!$A$2:$D$9,3,FALSE),"")</f>
        <v/>
      </c>
      <c r="O529" s="5" t="str">
        <f>IFERROR(VLOOKUP(E529,Specifications!$A$2:$D$9,4,FALSE),"")</f>
        <v/>
      </c>
      <c r="P529" s="8" t="str">
        <f t="shared" si="27"/>
        <v/>
      </c>
      <c r="Q529" s="9"/>
    </row>
    <row r="530" spans="1:17" ht="15">
      <c r="A530" s="5" t="str">
        <f t="shared" si="25"/>
        <v/>
      </c>
      <c r="B530" s="6"/>
      <c r="C530" s="5" t="str">
        <f>IFERROR(VLOOKUP(B530,Lists!$A$2:$B$25,2,FALSE),"")</f>
        <v/>
      </c>
      <c r="D530" s="7"/>
      <c r="E530" s="6"/>
      <c r="F530" s="6" t="str">
        <f t="shared" si="26"/>
        <v/>
      </c>
      <c r="G530" s="6"/>
      <c r="H530" s="6"/>
      <c r="I530" s="6"/>
      <c r="J530" s="7"/>
      <c r="K530" s="5" t="str" cm="1">
        <f t="array" ref="K530">IF(OR(A530="",B530="",D530="",E530=""),"",A530&amp;"_"&amp;SUBSTITUTE(B530," ","-")&amp;"_"&amp;D530&amp;"_"&amp;SUBSTITUTE(SUBSTITUTE(E530," ",""),"€","Euro")&amp;"_"&amp;IF(F530="","Unknown",F530)&amp;IF(F530="Commemorative",IF(G530="","","_"&amp;SUBSTITUTE(SUBSTITUTE(SUBSTITUTE(G530," ","-"),"/","-"),CHAR(39),"")),"")&amp;IF(I530="Duplicate","_Dub"&amp;IF(SUMPRODUCT(($B$2:B530=B530)*($D$2:D530=D530)*($E$2:E530=E530)*($F$2:F530=F530)*($G$2:G530=G530)*($I$2:I530="Duplicate"))&lt;=1,"",SUMPRODUCT(($B$2:B530=B530)*($D$2:D530=D530)*($E$2:E530=E530)*($F$2:F530=F530)*($G$2:G530=G530)*($I$2:I530="Duplicate"))-1),"")&amp;".jpeg")</f>
        <v/>
      </c>
      <c r="L530" s="6"/>
      <c r="M530" s="5" t="str">
        <f>IFERROR(VLOOKUP(E530,Specifications!$A$2:$D$9,2,FALSE),"")</f>
        <v/>
      </c>
      <c r="N530" s="5" t="str">
        <f>IFERROR(VLOOKUP(E530,Specifications!$A$2:$D$9,3,FALSE),"")</f>
        <v/>
      </c>
      <c r="O530" s="5" t="str">
        <f>IFERROR(VLOOKUP(E530,Specifications!$A$2:$D$9,4,FALSE),"")</f>
        <v/>
      </c>
      <c r="P530" s="8" t="str">
        <f t="shared" si="27"/>
        <v/>
      </c>
      <c r="Q530" s="9"/>
    </row>
    <row r="531" spans="1:17" ht="15">
      <c r="A531" s="5" t="str">
        <f t="shared" si="25"/>
        <v/>
      </c>
      <c r="B531" s="6"/>
      <c r="C531" s="5" t="str">
        <f>IFERROR(VLOOKUP(B531,Lists!$A$2:$B$25,2,FALSE),"")</f>
        <v/>
      </c>
      <c r="D531" s="7"/>
      <c r="E531" s="6"/>
      <c r="F531" s="6" t="str">
        <f t="shared" si="26"/>
        <v/>
      </c>
      <c r="G531" s="6"/>
      <c r="H531" s="6"/>
      <c r="I531" s="6"/>
      <c r="J531" s="7"/>
      <c r="K531" s="5" t="str" cm="1">
        <f t="array" ref="K531">IF(OR(A531="",B531="",D531="",E531=""),"",A531&amp;"_"&amp;SUBSTITUTE(B531," ","-")&amp;"_"&amp;D531&amp;"_"&amp;SUBSTITUTE(SUBSTITUTE(E531," ",""),"€","Euro")&amp;"_"&amp;IF(F531="","Unknown",F531)&amp;IF(F531="Commemorative",IF(G531="","","_"&amp;SUBSTITUTE(SUBSTITUTE(SUBSTITUTE(G531," ","-"),"/","-"),CHAR(39),"")),"")&amp;IF(I531="Duplicate","_Dub"&amp;IF(SUMPRODUCT(($B$2:B531=B531)*($D$2:D531=D531)*($E$2:E531=E531)*($F$2:F531=F531)*($G$2:G531=G531)*($I$2:I531="Duplicate"))&lt;=1,"",SUMPRODUCT(($B$2:B531=B531)*($D$2:D531=D531)*($E$2:E531=E531)*($F$2:F531=F531)*($G$2:G531=G531)*($I$2:I531="Duplicate"))-1),"")&amp;".jpeg")</f>
        <v/>
      </c>
      <c r="L531" s="6"/>
      <c r="M531" s="5" t="str">
        <f>IFERROR(VLOOKUP(E531,Specifications!$A$2:$D$9,2,FALSE),"")</f>
        <v/>
      </c>
      <c r="N531" s="5" t="str">
        <f>IFERROR(VLOOKUP(E531,Specifications!$A$2:$D$9,3,FALSE),"")</f>
        <v/>
      </c>
      <c r="O531" s="5" t="str">
        <f>IFERROR(VLOOKUP(E531,Specifications!$A$2:$D$9,4,FALSE),"")</f>
        <v/>
      </c>
      <c r="P531" s="8" t="str">
        <f t="shared" si="27"/>
        <v/>
      </c>
      <c r="Q531" s="9"/>
    </row>
    <row r="532" spans="1:17" ht="15">
      <c r="A532" s="5" t="str">
        <f t="shared" si="25"/>
        <v/>
      </c>
      <c r="B532" s="6"/>
      <c r="C532" s="5" t="str">
        <f>IFERROR(VLOOKUP(B532,Lists!$A$2:$B$25,2,FALSE),"")</f>
        <v/>
      </c>
      <c r="D532" s="7"/>
      <c r="E532" s="6"/>
      <c r="F532" s="6" t="str">
        <f t="shared" si="26"/>
        <v/>
      </c>
      <c r="G532" s="6"/>
      <c r="H532" s="6"/>
      <c r="I532" s="6"/>
      <c r="J532" s="7"/>
      <c r="K532" s="5" t="str" cm="1">
        <f t="array" ref="K532">IF(OR(A532="",B532="",D532="",E532=""),"",A532&amp;"_"&amp;SUBSTITUTE(B532," ","-")&amp;"_"&amp;D532&amp;"_"&amp;SUBSTITUTE(SUBSTITUTE(E532," ",""),"€","Euro")&amp;"_"&amp;IF(F532="","Unknown",F532)&amp;IF(F532="Commemorative",IF(G532="","","_"&amp;SUBSTITUTE(SUBSTITUTE(SUBSTITUTE(G532," ","-"),"/","-"),CHAR(39),"")),"")&amp;IF(I532="Duplicate","_Dub"&amp;IF(SUMPRODUCT(($B$2:B532=B532)*($D$2:D532=D532)*($E$2:E532=E532)*($F$2:F532=F532)*($G$2:G532=G532)*($I$2:I532="Duplicate"))&lt;=1,"",SUMPRODUCT(($B$2:B532=B532)*($D$2:D532=D532)*($E$2:E532=E532)*($F$2:F532=F532)*($G$2:G532=G532)*($I$2:I532="Duplicate"))-1),"")&amp;".jpeg")</f>
        <v/>
      </c>
      <c r="L532" s="6"/>
      <c r="M532" s="5" t="str">
        <f>IFERROR(VLOOKUP(E532,Specifications!$A$2:$D$9,2,FALSE),"")</f>
        <v/>
      </c>
      <c r="N532" s="5" t="str">
        <f>IFERROR(VLOOKUP(E532,Specifications!$A$2:$D$9,3,FALSE),"")</f>
        <v/>
      </c>
      <c r="O532" s="5" t="str">
        <f>IFERROR(VLOOKUP(E532,Specifications!$A$2:$D$9,4,FALSE),"")</f>
        <v/>
      </c>
      <c r="P532" s="8" t="str">
        <f t="shared" si="27"/>
        <v/>
      </c>
      <c r="Q532" s="9"/>
    </row>
    <row r="533" spans="1:17" ht="15">
      <c r="A533" s="5" t="str">
        <f t="shared" si="25"/>
        <v/>
      </c>
      <c r="B533" s="6"/>
      <c r="C533" s="5" t="str">
        <f>IFERROR(VLOOKUP(B533,Lists!$A$2:$B$25,2,FALSE),"")</f>
        <v/>
      </c>
      <c r="D533" s="7"/>
      <c r="E533" s="6"/>
      <c r="F533" s="6" t="str">
        <f t="shared" si="26"/>
        <v/>
      </c>
      <c r="G533" s="6"/>
      <c r="H533" s="6"/>
      <c r="I533" s="6"/>
      <c r="J533" s="7"/>
      <c r="K533" s="5" t="str" cm="1">
        <f t="array" ref="K533">IF(OR(A533="",B533="",D533="",E533=""),"",A533&amp;"_"&amp;SUBSTITUTE(B533," ","-")&amp;"_"&amp;D533&amp;"_"&amp;SUBSTITUTE(SUBSTITUTE(E533," ",""),"€","Euro")&amp;"_"&amp;IF(F533="","Unknown",F533)&amp;IF(F533="Commemorative",IF(G533="","","_"&amp;SUBSTITUTE(SUBSTITUTE(SUBSTITUTE(G533," ","-"),"/","-"),CHAR(39),"")),"")&amp;IF(I533="Duplicate","_Dub"&amp;IF(SUMPRODUCT(($B$2:B533=B533)*($D$2:D533=D533)*($E$2:E533=E533)*($F$2:F533=F533)*($G$2:G533=G533)*($I$2:I533="Duplicate"))&lt;=1,"",SUMPRODUCT(($B$2:B533=B533)*($D$2:D533=D533)*($E$2:E533=E533)*($F$2:F533=F533)*($G$2:G533=G533)*($I$2:I533="Duplicate"))-1),"")&amp;".jpeg")</f>
        <v/>
      </c>
      <c r="L533" s="6"/>
      <c r="M533" s="5" t="str">
        <f>IFERROR(VLOOKUP(E533,Specifications!$A$2:$D$9,2,FALSE),"")</f>
        <v/>
      </c>
      <c r="N533" s="5" t="str">
        <f>IFERROR(VLOOKUP(E533,Specifications!$A$2:$D$9,3,FALSE),"")</f>
        <v/>
      </c>
      <c r="O533" s="5" t="str">
        <f>IFERROR(VLOOKUP(E533,Specifications!$A$2:$D$9,4,FALSE),"")</f>
        <v/>
      </c>
      <c r="P533" s="8" t="str">
        <f t="shared" si="27"/>
        <v/>
      </c>
      <c r="Q533" s="9"/>
    </row>
    <row r="534" spans="1:17" ht="15">
      <c r="A534" s="5" t="str">
        <f t="shared" si="25"/>
        <v/>
      </c>
      <c r="B534" s="6"/>
      <c r="C534" s="5" t="str">
        <f>IFERROR(VLOOKUP(B534,Lists!$A$2:$B$25,2,FALSE),"")</f>
        <v/>
      </c>
      <c r="D534" s="7"/>
      <c r="E534" s="6"/>
      <c r="F534" s="6" t="str">
        <f t="shared" si="26"/>
        <v/>
      </c>
      <c r="G534" s="6"/>
      <c r="H534" s="6"/>
      <c r="I534" s="6"/>
      <c r="J534" s="7"/>
      <c r="K534" s="5" t="str" cm="1">
        <f t="array" ref="K534">IF(OR(A534="",B534="",D534="",E534=""),"",A534&amp;"_"&amp;SUBSTITUTE(B534," ","-")&amp;"_"&amp;D534&amp;"_"&amp;SUBSTITUTE(SUBSTITUTE(E534," ",""),"€","Euro")&amp;"_"&amp;IF(F534="","Unknown",F534)&amp;IF(F534="Commemorative",IF(G534="","","_"&amp;SUBSTITUTE(SUBSTITUTE(SUBSTITUTE(G534," ","-"),"/","-"),CHAR(39),"")),"")&amp;IF(I534="Duplicate","_Dub"&amp;IF(SUMPRODUCT(($B$2:B534=B534)*($D$2:D534=D534)*($E$2:E534=E534)*($F$2:F534=F534)*($G$2:G534=G534)*($I$2:I534="Duplicate"))&lt;=1,"",SUMPRODUCT(($B$2:B534=B534)*($D$2:D534=D534)*($E$2:E534=E534)*($F$2:F534=F534)*($G$2:G534=G534)*($I$2:I534="Duplicate"))-1),"")&amp;".jpeg")</f>
        <v/>
      </c>
      <c r="L534" s="6"/>
      <c r="M534" s="5" t="str">
        <f>IFERROR(VLOOKUP(E534,Specifications!$A$2:$D$9,2,FALSE),"")</f>
        <v/>
      </c>
      <c r="N534" s="5" t="str">
        <f>IFERROR(VLOOKUP(E534,Specifications!$A$2:$D$9,3,FALSE),"")</f>
        <v/>
      </c>
      <c r="O534" s="5" t="str">
        <f>IFERROR(VLOOKUP(E534,Specifications!$A$2:$D$9,4,FALSE),"")</f>
        <v/>
      </c>
      <c r="P534" s="8" t="str">
        <f t="shared" si="27"/>
        <v/>
      </c>
      <c r="Q534" s="9"/>
    </row>
    <row r="535" spans="1:17" ht="15">
      <c r="A535" s="5" t="str">
        <f t="shared" si="25"/>
        <v/>
      </c>
      <c r="B535" s="6"/>
      <c r="C535" s="5" t="str">
        <f>IFERROR(VLOOKUP(B535,Lists!$A$2:$B$25,2,FALSE),"")</f>
        <v/>
      </c>
      <c r="D535" s="7"/>
      <c r="E535" s="6"/>
      <c r="F535" s="6" t="str">
        <f t="shared" si="26"/>
        <v/>
      </c>
      <c r="G535" s="6"/>
      <c r="H535" s="6"/>
      <c r="I535" s="6"/>
      <c r="J535" s="7"/>
      <c r="K535" s="5" t="str" cm="1">
        <f t="array" ref="K535">IF(OR(A535="",B535="",D535="",E535=""),"",A535&amp;"_"&amp;SUBSTITUTE(B535," ","-")&amp;"_"&amp;D535&amp;"_"&amp;SUBSTITUTE(SUBSTITUTE(E535," ",""),"€","Euro")&amp;"_"&amp;IF(F535="","Unknown",F535)&amp;IF(F535="Commemorative",IF(G535="","","_"&amp;SUBSTITUTE(SUBSTITUTE(SUBSTITUTE(G535," ","-"),"/","-"),CHAR(39),"")),"")&amp;IF(I535="Duplicate","_Dub"&amp;IF(SUMPRODUCT(($B$2:B535=B535)*($D$2:D535=D535)*($E$2:E535=E535)*($F$2:F535=F535)*($G$2:G535=G535)*($I$2:I535="Duplicate"))&lt;=1,"",SUMPRODUCT(($B$2:B535=B535)*($D$2:D535=D535)*($E$2:E535=E535)*($F$2:F535=F535)*($G$2:G535=G535)*($I$2:I535="Duplicate"))-1),"")&amp;".jpeg")</f>
        <v/>
      </c>
      <c r="L535" s="6"/>
      <c r="M535" s="5" t="str">
        <f>IFERROR(VLOOKUP(E535,Specifications!$A$2:$D$9,2,FALSE),"")</f>
        <v/>
      </c>
      <c r="N535" s="5" t="str">
        <f>IFERROR(VLOOKUP(E535,Specifications!$A$2:$D$9,3,FALSE),"")</f>
        <v/>
      </c>
      <c r="O535" s="5" t="str">
        <f>IFERROR(VLOOKUP(E535,Specifications!$A$2:$D$9,4,FALSE),"")</f>
        <v/>
      </c>
      <c r="P535" s="8" t="str">
        <f t="shared" si="27"/>
        <v/>
      </c>
      <c r="Q535" s="9"/>
    </row>
    <row r="536" spans="1:17" ht="15">
      <c r="A536" s="5" t="str">
        <f t="shared" si="25"/>
        <v/>
      </c>
      <c r="B536" s="6"/>
      <c r="C536" s="5" t="str">
        <f>IFERROR(VLOOKUP(B536,Lists!$A$2:$B$25,2,FALSE),"")</f>
        <v/>
      </c>
      <c r="D536" s="7"/>
      <c r="E536" s="6"/>
      <c r="F536" s="6" t="str">
        <f t="shared" si="26"/>
        <v/>
      </c>
      <c r="G536" s="6"/>
      <c r="H536" s="6"/>
      <c r="I536" s="6"/>
      <c r="J536" s="7"/>
      <c r="K536" s="5" t="str" cm="1">
        <f t="array" ref="K536">IF(OR(A536="",B536="",D536="",E536=""),"",A536&amp;"_"&amp;SUBSTITUTE(B536," ","-")&amp;"_"&amp;D536&amp;"_"&amp;SUBSTITUTE(SUBSTITUTE(E536," ",""),"€","Euro")&amp;"_"&amp;IF(F536="","Unknown",F536)&amp;IF(F536="Commemorative",IF(G536="","","_"&amp;SUBSTITUTE(SUBSTITUTE(SUBSTITUTE(G536," ","-"),"/","-"),CHAR(39),"")),"")&amp;IF(I536="Duplicate","_Dub"&amp;IF(SUMPRODUCT(($B$2:B536=B536)*($D$2:D536=D536)*($E$2:E536=E536)*($F$2:F536=F536)*($G$2:G536=G536)*($I$2:I536="Duplicate"))&lt;=1,"",SUMPRODUCT(($B$2:B536=B536)*($D$2:D536=D536)*($E$2:E536=E536)*($F$2:F536=F536)*($G$2:G536=G536)*($I$2:I536="Duplicate"))-1),"")&amp;".jpeg")</f>
        <v/>
      </c>
      <c r="L536" s="6"/>
      <c r="M536" s="5" t="str">
        <f>IFERROR(VLOOKUP(E536,Specifications!$A$2:$D$9,2,FALSE),"")</f>
        <v/>
      </c>
      <c r="N536" s="5" t="str">
        <f>IFERROR(VLOOKUP(E536,Specifications!$A$2:$D$9,3,FALSE),"")</f>
        <v/>
      </c>
      <c r="O536" s="5" t="str">
        <f>IFERROR(VLOOKUP(E536,Specifications!$A$2:$D$9,4,FALSE),"")</f>
        <v/>
      </c>
      <c r="P536" s="8" t="str">
        <f t="shared" si="27"/>
        <v/>
      </c>
      <c r="Q536" s="9"/>
    </row>
    <row r="537" spans="1:17" ht="15">
      <c r="A537" s="5" t="str">
        <f t="shared" si="25"/>
        <v/>
      </c>
      <c r="B537" s="6"/>
      <c r="C537" s="5" t="str">
        <f>IFERROR(VLOOKUP(B537,Lists!$A$2:$B$25,2,FALSE),"")</f>
        <v/>
      </c>
      <c r="D537" s="7"/>
      <c r="E537" s="6"/>
      <c r="F537" s="6" t="str">
        <f t="shared" si="26"/>
        <v/>
      </c>
      <c r="G537" s="6"/>
      <c r="H537" s="6"/>
      <c r="I537" s="6"/>
      <c r="J537" s="7"/>
      <c r="K537" s="5" t="str" cm="1">
        <f t="array" ref="K537">IF(OR(A537="",B537="",D537="",E537=""),"",A537&amp;"_"&amp;SUBSTITUTE(B537," ","-")&amp;"_"&amp;D537&amp;"_"&amp;SUBSTITUTE(SUBSTITUTE(E537," ",""),"€","Euro")&amp;"_"&amp;IF(F537="","Unknown",F537)&amp;IF(F537="Commemorative",IF(G537="","","_"&amp;SUBSTITUTE(SUBSTITUTE(SUBSTITUTE(G537," ","-"),"/","-"),CHAR(39),"")),"")&amp;IF(I537="Duplicate","_Dub"&amp;IF(SUMPRODUCT(($B$2:B537=B537)*($D$2:D537=D537)*($E$2:E537=E537)*($F$2:F537=F537)*($G$2:G537=G537)*($I$2:I537="Duplicate"))&lt;=1,"",SUMPRODUCT(($B$2:B537=B537)*($D$2:D537=D537)*($E$2:E537=E537)*($F$2:F537=F537)*($G$2:G537=G537)*($I$2:I537="Duplicate"))-1),"")&amp;".jpeg")</f>
        <v/>
      </c>
      <c r="L537" s="6"/>
      <c r="M537" s="5" t="str">
        <f>IFERROR(VLOOKUP(E537,Specifications!$A$2:$D$9,2,FALSE),"")</f>
        <v/>
      </c>
      <c r="N537" s="5" t="str">
        <f>IFERROR(VLOOKUP(E537,Specifications!$A$2:$D$9,3,FALSE),"")</f>
        <v/>
      </c>
      <c r="O537" s="5" t="str">
        <f>IFERROR(VLOOKUP(E537,Specifications!$A$2:$D$9,4,FALSE),"")</f>
        <v/>
      </c>
      <c r="P537" s="8" t="str">
        <f t="shared" si="27"/>
        <v/>
      </c>
      <c r="Q537" s="9"/>
    </row>
    <row r="538" spans="1:17" ht="15">
      <c r="A538" s="5" t="str">
        <f t="shared" si="25"/>
        <v/>
      </c>
      <c r="B538" s="6"/>
      <c r="C538" s="5" t="str">
        <f>IFERROR(VLOOKUP(B538,Lists!$A$2:$B$25,2,FALSE),"")</f>
        <v/>
      </c>
      <c r="D538" s="7"/>
      <c r="E538" s="6"/>
      <c r="F538" s="6" t="str">
        <f t="shared" si="26"/>
        <v/>
      </c>
      <c r="G538" s="6"/>
      <c r="H538" s="6"/>
      <c r="I538" s="6"/>
      <c r="J538" s="7"/>
      <c r="K538" s="5" t="str" cm="1">
        <f t="array" ref="K538">IF(OR(A538="",B538="",D538="",E538=""),"",A538&amp;"_"&amp;SUBSTITUTE(B538," ","-")&amp;"_"&amp;D538&amp;"_"&amp;SUBSTITUTE(SUBSTITUTE(E538," ",""),"€","Euro")&amp;"_"&amp;IF(F538="","Unknown",F538)&amp;IF(F538="Commemorative",IF(G538="","","_"&amp;SUBSTITUTE(SUBSTITUTE(SUBSTITUTE(G538," ","-"),"/","-"),CHAR(39),"")),"")&amp;IF(I538="Duplicate","_Dub"&amp;IF(SUMPRODUCT(($B$2:B538=B538)*($D$2:D538=D538)*($E$2:E538=E538)*($F$2:F538=F538)*($G$2:G538=G538)*($I$2:I538="Duplicate"))&lt;=1,"",SUMPRODUCT(($B$2:B538=B538)*($D$2:D538=D538)*($E$2:E538=E538)*($F$2:F538=F538)*($G$2:G538=G538)*($I$2:I538="Duplicate"))-1),"")&amp;".jpeg")</f>
        <v/>
      </c>
      <c r="L538" s="6"/>
      <c r="M538" s="5" t="str">
        <f>IFERROR(VLOOKUP(E538,Specifications!$A$2:$D$9,2,FALSE),"")</f>
        <v/>
      </c>
      <c r="N538" s="5" t="str">
        <f>IFERROR(VLOOKUP(E538,Specifications!$A$2:$D$9,3,FALSE),"")</f>
        <v/>
      </c>
      <c r="O538" s="5" t="str">
        <f>IFERROR(VLOOKUP(E538,Specifications!$A$2:$D$9,4,FALSE),"")</f>
        <v/>
      </c>
      <c r="P538" s="8" t="str">
        <f t="shared" si="27"/>
        <v/>
      </c>
      <c r="Q538" s="9"/>
    </row>
    <row r="539" spans="1:17" ht="15">
      <c r="A539" s="5" t="str">
        <f t="shared" si="25"/>
        <v/>
      </c>
      <c r="B539" s="6"/>
      <c r="C539" s="5" t="str">
        <f>IFERROR(VLOOKUP(B539,Lists!$A$2:$B$25,2,FALSE),"")</f>
        <v/>
      </c>
      <c r="D539" s="7"/>
      <c r="E539" s="6"/>
      <c r="F539" s="6" t="str">
        <f t="shared" si="26"/>
        <v/>
      </c>
      <c r="G539" s="6"/>
      <c r="H539" s="6"/>
      <c r="I539" s="6"/>
      <c r="J539" s="7"/>
      <c r="K539" s="5" t="str" cm="1">
        <f t="array" ref="K539">IF(OR(A539="",B539="",D539="",E539=""),"",A539&amp;"_"&amp;SUBSTITUTE(B539," ","-")&amp;"_"&amp;D539&amp;"_"&amp;SUBSTITUTE(SUBSTITUTE(E539," ",""),"€","Euro")&amp;"_"&amp;IF(F539="","Unknown",F539)&amp;IF(F539="Commemorative",IF(G539="","","_"&amp;SUBSTITUTE(SUBSTITUTE(SUBSTITUTE(G539," ","-"),"/","-"),CHAR(39),"")),"")&amp;IF(I539="Duplicate","_Dub"&amp;IF(SUMPRODUCT(($B$2:B539=B539)*($D$2:D539=D539)*($E$2:E539=E539)*($F$2:F539=F539)*($G$2:G539=G539)*($I$2:I539="Duplicate"))&lt;=1,"",SUMPRODUCT(($B$2:B539=B539)*($D$2:D539=D539)*($E$2:E539=E539)*($F$2:F539=F539)*($G$2:G539=G539)*($I$2:I539="Duplicate"))-1),"")&amp;".jpeg")</f>
        <v/>
      </c>
      <c r="L539" s="6"/>
      <c r="M539" s="5" t="str">
        <f>IFERROR(VLOOKUP(E539,Specifications!$A$2:$D$9,2,FALSE),"")</f>
        <v/>
      </c>
      <c r="N539" s="5" t="str">
        <f>IFERROR(VLOOKUP(E539,Specifications!$A$2:$D$9,3,FALSE),"")</f>
        <v/>
      </c>
      <c r="O539" s="5" t="str">
        <f>IFERROR(VLOOKUP(E539,Specifications!$A$2:$D$9,4,FALSE),"")</f>
        <v/>
      </c>
      <c r="P539" s="8" t="str">
        <f t="shared" si="27"/>
        <v/>
      </c>
      <c r="Q539" s="9"/>
    </row>
    <row r="540" spans="1:17" ht="15">
      <c r="A540" s="5" t="str">
        <f t="shared" si="25"/>
        <v/>
      </c>
      <c r="B540" s="6"/>
      <c r="C540" s="5" t="str">
        <f>IFERROR(VLOOKUP(B540,Lists!$A$2:$B$25,2,FALSE),"")</f>
        <v/>
      </c>
      <c r="D540" s="7"/>
      <c r="E540" s="6"/>
      <c r="F540" s="6" t="str">
        <f t="shared" si="26"/>
        <v/>
      </c>
      <c r="G540" s="6"/>
      <c r="H540" s="6"/>
      <c r="I540" s="6"/>
      <c r="J540" s="7"/>
      <c r="K540" s="5" t="str" cm="1">
        <f t="array" ref="K540">IF(OR(A540="",B540="",D540="",E540=""),"",A540&amp;"_"&amp;SUBSTITUTE(B540," ","-")&amp;"_"&amp;D540&amp;"_"&amp;SUBSTITUTE(SUBSTITUTE(E540," ",""),"€","Euro")&amp;"_"&amp;IF(F540="","Unknown",F540)&amp;IF(F540="Commemorative",IF(G540="","","_"&amp;SUBSTITUTE(SUBSTITUTE(SUBSTITUTE(G540," ","-"),"/","-"),CHAR(39),"")),"")&amp;IF(I540="Duplicate","_Dub"&amp;IF(SUMPRODUCT(($B$2:B540=B540)*($D$2:D540=D540)*($E$2:E540=E540)*($F$2:F540=F540)*($G$2:G540=G540)*($I$2:I540="Duplicate"))&lt;=1,"",SUMPRODUCT(($B$2:B540=B540)*($D$2:D540=D540)*($E$2:E540=E540)*($F$2:F540=F540)*($G$2:G540=G540)*($I$2:I540="Duplicate"))-1),"")&amp;".jpeg")</f>
        <v/>
      </c>
      <c r="L540" s="6"/>
      <c r="M540" s="5" t="str">
        <f>IFERROR(VLOOKUP(E540,Specifications!$A$2:$D$9,2,FALSE),"")</f>
        <v/>
      </c>
      <c r="N540" s="5" t="str">
        <f>IFERROR(VLOOKUP(E540,Specifications!$A$2:$D$9,3,FALSE),"")</f>
        <v/>
      </c>
      <c r="O540" s="5" t="str">
        <f>IFERROR(VLOOKUP(E540,Specifications!$A$2:$D$9,4,FALSE),"")</f>
        <v/>
      </c>
      <c r="P540" s="8" t="str">
        <f t="shared" si="27"/>
        <v/>
      </c>
      <c r="Q540" s="9"/>
    </row>
    <row r="541" spans="1:17" ht="15">
      <c r="A541" s="5" t="str">
        <f t="shared" si="25"/>
        <v/>
      </c>
      <c r="B541" s="6"/>
      <c r="C541" s="5" t="str">
        <f>IFERROR(VLOOKUP(B541,Lists!$A$2:$B$25,2,FALSE),"")</f>
        <v/>
      </c>
      <c r="D541" s="7"/>
      <c r="E541" s="6"/>
      <c r="F541" s="6" t="str">
        <f t="shared" si="26"/>
        <v/>
      </c>
      <c r="G541" s="6"/>
      <c r="H541" s="6"/>
      <c r="I541" s="6"/>
      <c r="J541" s="7"/>
      <c r="K541" s="5" t="str" cm="1">
        <f t="array" ref="K541">IF(OR(A541="",B541="",D541="",E541=""),"",A541&amp;"_"&amp;SUBSTITUTE(B541," ","-")&amp;"_"&amp;D541&amp;"_"&amp;SUBSTITUTE(SUBSTITUTE(E541," ",""),"€","Euro")&amp;"_"&amp;IF(F541="","Unknown",F541)&amp;IF(F541="Commemorative",IF(G541="","","_"&amp;SUBSTITUTE(SUBSTITUTE(SUBSTITUTE(G541," ","-"),"/","-"),CHAR(39),"")),"")&amp;IF(I541="Duplicate","_Dub"&amp;IF(SUMPRODUCT(($B$2:B541=B541)*($D$2:D541=D541)*($E$2:E541=E541)*($F$2:F541=F541)*($G$2:G541=G541)*($I$2:I541="Duplicate"))&lt;=1,"",SUMPRODUCT(($B$2:B541=B541)*($D$2:D541=D541)*($E$2:E541=E541)*($F$2:F541=F541)*($G$2:G541=G541)*($I$2:I541="Duplicate"))-1),"")&amp;".jpeg")</f>
        <v/>
      </c>
      <c r="L541" s="6"/>
      <c r="M541" s="5" t="str">
        <f>IFERROR(VLOOKUP(E541,Specifications!$A$2:$D$9,2,FALSE),"")</f>
        <v/>
      </c>
      <c r="N541" s="5" t="str">
        <f>IFERROR(VLOOKUP(E541,Specifications!$A$2:$D$9,3,FALSE),"")</f>
        <v/>
      </c>
      <c r="O541" s="5" t="str">
        <f>IFERROR(VLOOKUP(E541,Specifications!$A$2:$D$9,4,FALSE),"")</f>
        <v/>
      </c>
      <c r="P541" s="8" t="str">
        <f t="shared" si="27"/>
        <v/>
      </c>
      <c r="Q541" s="9"/>
    </row>
    <row r="542" spans="1:17" ht="15">
      <c r="A542" s="5" t="str">
        <f t="shared" si="25"/>
        <v/>
      </c>
      <c r="B542" s="6"/>
      <c r="C542" s="5" t="str">
        <f>IFERROR(VLOOKUP(B542,Lists!$A$2:$B$25,2,FALSE),"")</f>
        <v/>
      </c>
      <c r="D542" s="7"/>
      <c r="E542" s="6"/>
      <c r="F542" s="6" t="str">
        <f t="shared" si="26"/>
        <v/>
      </c>
      <c r="G542" s="6"/>
      <c r="H542" s="6"/>
      <c r="I542" s="6"/>
      <c r="J542" s="7"/>
      <c r="K542" s="5" t="str" cm="1">
        <f t="array" ref="K542">IF(OR(A542="",B542="",D542="",E542=""),"",A542&amp;"_"&amp;SUBSTITUTE(B542," ","-")&amp;"_"&amp;D542&amp;"_"&amp;SUBSTITUTE(SUBSTITUTE(E542," ",""),"€","Euro")&amp;"_"&amp;IF(F542="","Unknown",F542)&amp;IF(F542="Commemorative",IF(G542="","","_"&amp;SUBSTITUTE(SUBSTITUTE(SUBSTITUTE(G542," ","-"),"/","-"),CHAR(39),"")),"")&amp;IF(I542="Duplicate","_Dub"&amp;IF(SUMPRODUCT(($B$2:B542=B542)*($D$2:D542=D542)*($E$2:E542=E542)*($F$2:F542=F542)*($G$2:G542=G542)*($I$2:I542="Duplicate"))&lt;=1,"",SUMPRODUCT(($B$2:B542=B542)*($D$2:D542=D542)*($E$2:E542=E542)*($F$2:F542=F542)*($G$2:G542=G542)*($I$2:I542="Duplicate"))-1),"")&amp;".jpeg")</f>
        <v/>
      </c>
      <c r="L542" s="6"/>
      <c r="M542" s="5" t="str">
        <f>IFERROR(VLOOKUP(E542,Specifications!$A$2:$D$9,2,FALSE),"")</f>
        <v/>
      </c>
      <c r="N542" s="5" t="str">
        <f>IFERROR(VLOOKUP(E542,Specifications!$A$2:$D$9,3,FALSE),"")</f>
        <v/>
      </c>
      <c r="O542" s="5" t="str">
        <f>IFERROR(VLOOKUP(E542,Specifications!$A$2:$D$9,4,FALSE),"")</f>
        <v/>
      </c>
      <c r="P542" s="8" t="str">
        <f t="shared" si="27"/>
        <v/>
      </c>
      <c r="Q542" s="9"/>
    </row>
    <row r="543" spans="1:17" ht="15">
      <c r="A543" s="5" t="str">
        <f t="shared" si="25"/>
        <v/>
      </c>
      <c r="B543" s="6"/>
      <c r="C543" s="5" t="str">
        <f>IFERROR(VLOOKUP(B543,Lists!$A$2:$B$25,2,FALSE),"")</f>
        <v/>
      </c>
      <c r="D543" s="7"/>
      <c r="E543" s="6"/>
      <c r="F543" s="6" t="str">
        <f t="shared" si="26"/>
        <v/>
      </c>
      <c r="G543" s="6"/>
      <c r="H543" s="6"/>
      <c r="I543" s="6"/>
      <c r="J543" s="7"/>
      <c r="K543" s="5" t="str" cm="1">
        <f t="array" ref="K543">IF(OR(A543="",B543="",D543="",E543=""),"",A543&amp;"_"&amp;SUBSTITUTE(B543," ","-")&amp;"_"&amp;D543&amp;"_"&amp;SUBSTITUTE(SUBSTITUTE(E543," ",""),"€","Euro")&amp;"_"&amp;IF(F543="","Unknown",F543)&amp;IF(F543="Commemorative",IF(G543="","","_"&amp;SUBSTITUTE(SUBSTITUTE(SUBSTITUTE(G543," ","-"),"/","-"),CHAR(39),"")),"")&amp;IF(I543="Duplicate","_Dub"&amp;IF(SUMPRODUCT(($B$2:B543=B543)*($D$2:D543=D543)*($E$2:E543=E543)*($F$2:F543=F543)*($G$2:G543=G543)*($I$2:I543="Duplicate"))&lt;=1,"",SUMPRODUCT(($B$2:B543=B543)*($D$2:D543=D543)*($E$2:E543=E543)*($F$2:F543=F543)*($G$2:G543=G543)*($I$2:I543="Duplicate"))-1),"")&amp;".jpeg")</f>
        <v/>
      </c>
      <c r="L543" s="6"/>
      <c r="M543" s="5" t="str">
        <f>IFERROR(VLOOKUP(E543,Specifications!$A$2:$D$9,2,FALSE),"")</f>
        <v/>
      </c>
      <c r="N543" s="5" t="str">
        <f>IFERROR(VLOOKUP(E543,Specifications!$A$2:$D$9,3,FALSE),"")</f>
        <v/>
      </c>
      <c r="O543" s="5" t="str">
        <f>IFERROR(VLOOKUP(E543,Specifications!$A$2:$D$9,4,FALSE),"")</f>
        <v/>
      </c>
      <c r="P543" s="8" t="str">
        <f t="shared" si="27"/>
        <v/>
      </c>
      <c r="Q543" s="9"/>
    </row>
    <row r="544" spans="1:17" ht="15">
      <c r="A544" s="5" t="str">
        <f t="shared" si="25"/>
        <v/>
      </c>
      <c r="B544" s="6"/>
      <c r="C544" s="5" t="str">
        <f>IFERROR(VLOOKUP(B544,Lists!$A$2:$B$25,2,FALSE),"")</f>
        <v/>
      </c>
      <c r="D544" s="7"/>
      <c r="E544" s="6"/>
      <c r="F544" s="6" t="str">
        <f t="shared" si="26"/>
        <v/>
      </c>
      <c r="G544" s="6"/>
      <c r="H544" s="6"/>
      <c r="I544" s="6"/>
      <c r="J544" s="7"/>
      <c r="K544" s="5" t="str" cm="1">
        <f t="array" ref="K544">IF(OR(A544="",B544="",D544="",E544=""),"",A544&amp;"_"&amp;SUBSTITUTE(B544," ","-")&amp;"_"&amp;D544&amp;"_"&amp;SUBSTITUTE(SUBSTITUTE(E544," ",""),"€","Euro")&amp;"_"&amp;IF(F544="","Unknown",F544)&amp;IF(F544="Commemorative",IF(G544="","","_"&amp;SUBSTITUTE(SUBSTITUTE(SUBSTITUTE(G544," ","-"),"/","-"),CHAR(39),"")),"")&amp;IF(I544="Duplicate","_Dub"&amp;IF(SUMPRODUCT(($B$2:B544=B544)*($D$2:D544=D544)*($E$2:E544=E544)*($F$2:F544=F544)*($G$2:G544=G544)*($I$2:I544="Duplicate"))&lt;=1,"",SUMPRODUCT(($B$2:B544=B544)*($D$2:D544=D544)*($E$2:E544=E544)*($F$2:F544=F544)*($G$2:G544=G544)*($I$2:I544="Duplicate"))-1),"")&amp;".jpeg")</f>
        <v/>
      </c>
      <c r="L544" s="6"/>
      <c r="M544" s="5" t="str">
        <f>IFERROR(VLOOKUP(E544,Specifications!$A$2:$D$9,2,FALSE),"")</f>
        <v/>
      </c>
      <c r="N544" s="5" t="str">
        <f>IFERROR(VLOOKUP(E544,Specifications!$A$2:$D$9,3,FALSE),"")</f>
        <v/>
      </c>
      <c r="O544" s="5" t="str">
        <f>IFERROR(VLOOKUP(E544,Specifications!$A$2:$D$9,4,FALSE),"")</f>
        <v/>
      </c>
      <c r="P544" s="8" t="str">
        <f t="shared" si="27"/>
        <v/>
      </c>
      <c r="Q544" s="9"/>
    </row>
    <row r="545" spans="1:17" ht="15">
      <c r="A545" s="5" t="str">
        <f t="shared" si="25"/>
        <v/>
      </c>
      <c r="B545" s="6"/>
      <c r="C545" s="5" t="str">
        <f>IFERROR(VLOOKUP(B545,Lists!$A$2:$B$25,2,FALSE),"")</f>
        <v/>
      </c>
      <c r="D545" s="7"/>
      <c r="E545" s="6"/>
      <c r="F545" s="6" t="str">
        <f t="shared" si="26"/>
        <v/>
      </c>
      <c r="G545" s="6"/>
      <c r="H545" s="6"/>
      <c r="I545" s="6"/>
      <c r="J545" s="7"/>
      <c r="K545" s="5" t="str" cm="1">
        <f t="array" ref="K545">IF(OR(A545="",B545="",D545="",E545=""),"",A545&amp;"_"&amp;SUBSTITUTE(B545," ","-")&amp;"_"&amp;D545&amp;"_"&amp;SUBSTITUTE(SUBSTITUTE(E545," ",""),"€","Euro")&amp;"_"&amp;IF(F545="","Unknown",F545)&amp;IF(F545="Commemorative",IF(G545="","","_"&amp;SUBSTITUTE(SUBSTITUTE(SUBSTITUTE(G545," ","-"),"/","-"),CHAR(39),"")),"")&amp;IF(I545="Duplicate","_Dub"&amp;IF(SUMPRODUCT(($B$2:B545=B545)*($D$2:D545=D545)*($E$2:E545=E545)*($F$2:F545=F545)*($G$2:G545=G545)*($I$2:I545="Duplicate"))&lt;=1,"",SUMPRODUCT(($B$2:B545=B545)*($D$2:D545=D545)*($E$2:E545=E545)*($F$2:F545=F545)*($G$2:G545=G545)*($I$2:I545="Duplicate"))-1),"")&amp;".jpeg")</f>
        <v/>
      </c>
      <c r="L545" s="6"/>
      <c r="M545" s="5" t="str">
        <f>IFERROR(VLOOKUP(E545,Specifications!$A$2:$D$9,2,FALSE),"")</f>
        <v/>
      </c>
      <c r="N545" s="5" t="str">
        <f>IFERROR(VLOOKUP(E545,Specifications!$A$2:$D$9,3,FALSE),"")</f>
        <v/>
      </c>
      <c r="O545" s="5" t="str">
        <f>IFERROR(VLOOKUP(E545,Specifications!$A$2:$D$9,4,FALSE),"")</f>
        <v/>
      </c>
      <c r="P545" s="8" t="str">
        <f t="shared" si="27"/>
        <v/>
      </c>
      <c r="Q545" s="9"/>
    </row>
    <row r="546" spans="1:17" ht="15">
      <c r="A546" s="5" t="str">
        <f t="shared" si="25"/>
        <v/>
      </c>
      <c r="B546" s="6"/>
      <c r="C546" s="5" t="str">
        <f>IFERROR(VLOOKUP(B546,Lists!$A$2:$B$25,2,FALSE),"")</f>
        <v/>
      </c>
      <c r="D546" s="7"/>
      <c r="E546" s="6"/>
      <c r="F546" s="6" t="str">
        <f t="shared" si="26"/>
        <v/>
      </c>
      <c r="G546" s="6"/>
      <c r="H546" s="6"/>
      <c r="I546" s="6"/>
      <c r="J546" s="7"/>
      <c r="K546" s="5" t="str" cm="1">
        <f t="array" ref="K546">IF(OR(A546="",B546="",D546="",E546=""),"",A546&amp;"_"&amp;SUBSTITUTE(B546," ","-")&amp;"_"&amp;D546&amp;"_"&amp;SUBSTITUTE(SUBSTITUTE(E546," ",""),"€","Euro")&amp;"_"&amp;IF(F546="","Unknown",F546)&amp;IF(F546="Commemorative",IF(G546="","","_"&amp;SUBSTITUTE(SUBSTITUTE(SUBSTITUTE(G546," ","-"),"/","-"),CHAR(39),"")),"")&amp;IF(I546="Duplicate","_Dub"&amp;IF(SUMPRODUCT(($B$2:B546=B546)*($D$2:D546=D546)*($E$2:E546=E546)*($F$2:F546=F546)*($G$2:G546=G546)*($I$2:I546="Duplicate"))&lt;=1,"",SUMPRODUCT(($B$2:B546=B546)*($D$2:D546=D546)*($E$2:E546=E546)*($F$2:F546=F546)*($G$2:G546=G546)*($I$2:I546="Duplicate"))-1),"")&amp;".jpeg")</f>
        <v/>
      </c>
      <c r="L546" s="6"/>
      <c r="M546" s="5" t="str">
        <f>IFERROR(VLOOKUP(E546,Specifications!$A$2:$D$9,2,FALSE),"")</f>
        <v/>
      </c>
      <c r="N546" s="5" t="str">
        <f>IFERROR(VLOOKUP(E546,Specifications!$A$2:$D$9,3,FALSE),"")</f>
        <v/>
      </c>
      <c r="O546" s="5" t="str">
        <f>IFERROR(VLOOKUP(E546,Specifications!$A$2:$D$9,4,FALSE),"")</f>
        <v/>
      </c>
      <c r="P546" s="8" t="str">
        <f t="shared" si="27"/>
        <v/>
      </c>
      <c r="Q546" s="9"/>
    </row>
    <row r="547" spans="1:17" ht="15">
      <c r="A547" s="5" t="str">
        <f t="shared" si="25"/>
        <v/>
      </c>
      <c r="B547" s="6"/>
      <c r="C547" s="5" t="str">
        <f>IFERROR(VLOOKUP(B547,Lists!$A$2:$B$25,2,FALSE),"")</f>
        <v/>
      </c>
      <c r="D547" s="7"/>
      <c r="E547" s="6"/>
      <c r="F547" s="6" t="str">
        <f t="shared" si="26"/>
        <v/>
      </c>
      <c r="G547" s="6"/>
      <c r="H547" s="6"/>
      <c r="I547" s="6"/>
      <c r="J547" s="7"/>
      <c r="K547" s="5" t="str" cm="1">
        <f t="array" ref="K547">IF(OR(A547="",B547="",D547="",E547=""),"",A547&amp;"_"&amp;SUBSTITUTE(B547," ","-")&amp;"_"&amp;D547&amp;"_"&amp;SUBSTITUTE(SUBSTITUTE(E547," ",""),"€","Euro")&amp;"_"&amp;IF(F547="","Unknown",F547)&amp;IF(F547="Commemorative",IF(G547="","","_"&amp;SUBSTITUTE(SUBSTITUTE(SUBSTITUTE(G547," ","-"),"/","-"),CHAR(39),"")),"")&amp;IF(I547="Duplicate","_Dub"&amp;IF(SUMPRODUCT(($B$2:B547=B547)*($D$2:D547=D547)*($E$2:E547=E547)*($F$2:F547=F547)*($G$2:G547=G547)*($I$2:I547="Duplicate"))&lt;=1,"",SUMPRODUCT(($B$2:B547=B547)*($D$2:D547=D547)*($E$2:E547=E547)*($F$2:F547=F547)*($G$2:G547=G547)*($I$2:I547="Duplicate"))-1),"")&amp;".jpeg")</f>
        <v/>
      </c>
      <c r="L547" s="6"/>
      <c r="M547" s="5" t="str">
        <f>IFERROR(VLOOKUP(E547,Specifications!$A$2:$D$9,2,FALSE),"")</f>
        <v/>
      </c>
      <c r="N547" s="5" t="str">
        <f>IFERROR(VLOOKUP(E547,Specifications!$A$2:$D$9,3,FALSE),"")</f>
        <v/>
      </c>
      <c r="O547" s="5" t="str">
        <f>IFERROR(VLOOKUP(E547,Specifications!$A$2:$D$9,4,FALSE),"")</f>
        <v/>
      </c>
      <c r="P547" s="8" t="str">
        <f t="shared" si="27"/>
        <v/>
      </c>
      <c r="Q547" s="9"/>
    </row>
    <row r="548" spans="1:17" ht="15">
      <c r="A548" s="5" t="str">
        <f t="shared" si="25"/>
        <v/>
      </c>
      <c r="B548" s="6"/>
      <c r="C548" s="5" t="str">
        <f>IFERROR(VLOOKUP(B548,Lists!$A$2:$B$25,2,FALSE),"")</f>
        <v/>
      </c>
      <c r="D548" s="7"/>
      <c r="E548" s="6"/>
      <c r="F548" s="6" t="str">
        <f t="shared" si="26"/>
        <v/>
      </c>
      <c r="G548" s="6"/>
      <c r="H548" s="6"/>
      <c r="I548" s="6"/>
      <c r="J548" s="7"/>
      <c r="K548" s="5" t="str" cm="1">
        <f t="array" ref="K548">IF(OR(A548="",B548="",D548="",E548=""),"",A548&amp;"_"&amp;SUBSTITUTE(B548," ","-")&amp;"_"&amp;D548&amp;"_"&amp;SUBSTITUTE(SUBSTITUTE(E548," ",""),"€","Euro")&amp;"_"&amp;IF(F548="","Unknown",F548)&amp;IF(F548="Commemorative",IF(G548="","","_"&amp;SUBSTITUTE(SUBSTITUTE(SUBSTITUTE(G548," ","-"),"/","-"),CHAR(39),"")),"")&amp;IF(I548="Duplicate","_Dub"&amp;IF(SUMPRODUCT(($B$2:B548=B548)*($D$2:D548=D548)*($E$2:E548=E548)*($F$2:F548=F548)*($G$2:G548=G548)*($I$2:I548="Duplicate"))&lt;=1,"",SUMPRODUCT(($B$2:B548=B548)*($D$2:D548=D548)*($E$2:E548=E548)*($F$2:F548=F548)*($G$2:G548=G548)*($I$2:I548="Duplicate"))-1),"")&amp;".jpeg")</f>
        <v/>
      </c>
      <c r="L548" s="6"/>
      <c r="M548" s="5" t="str">
        <f>IFERROR(VLOOKUP(E548,Specifications!$A$2:$D$9,2,FALSE),"")</f>
        <v/>
      </c>
      <c r="N548" s="5" t="str">
        <f>IFERROR(VLOOKUP(E548,Specifications!$A$2:$D$9,3,FALSE),"")</f>
        <v/>
      </c>
      <c r="O548" s="5" t="str">
        <f>IFERROR(VLOOKUP(E548,Specifications!$A$2:$D$9,4,FALSE),"")</f>
        <v/>
      </c>
      <c r="P548" s="8" t="str">
        <f t="shared" si="27"/>
        <v/>
      </c>
      <c r="Q548" s="9"/>
    </row>
    <row r="549" spans="1:17" ht="15">
      <c r="A549" s="5" t="str">
        <f t="shared" si="25"/>
        <v/>
      </c>
      <c r="B549" s="6"/>
      <c r="C549" s="5" t="str">
        <f>IFERROR(VLOOKUP(B549,Lists!$A$2:$B$25,2,FALSE),"")</f>
        <v/>
      </c>
      <c r="D549" s="7"/>
      <c r="E549" s="6"/>
      <c r="F549" s="6" t="str">
        <f t="shared" si="26"/>
        <v/>
      </c>
      <c r="G549" s="6"/>
      <c r="H549" s="6"/>
      <c r="I549" s="6"/>
      <c r="J549" s="7"/>
      <c r="K549" s="5" t="str" cm="1">
        <f t="array" ref="K549">IF(OR(A549="",B549="",D549="",E549=""),"",A549&amp;"_"&amp;SUBSTITUTE(B549," ","-")&amp;"_"&amp;D549&amp;"_"&amp;SUBSTITUTE(SUBSTITUTE(E549," ",""),"€","Euro")&amp;"_"&amp;IF(F549="","Unknown",F549)&amp;IF(F549="Commemorative",IF(G549="","","_"&amp;SUBSTITUTE(SUBSTITUTE(SUBSTITUTE(G549," ","-"),"/","-"),CHAR(39),"")),"")&amp;IF(I549="Duplicate","_Dub"&amp;IF(SUMPRODUCT(($B$2:B549=B549)*($D$2:D549=D549)*($E$2:E549=E549)*($F$2:F549=F549)*($G$2:G549=G549)*($I$2:I549="Duplicate"))&lt;=1,"",SUMPRODUCT(($B$2:B549=B549)*($D$2:D549=D549)*($E$2:E549=E549)*($F$2:F549=F549)*($G$2:G549=G549)*($I$2:I549="Duplicate"))-1),"")&amp;".jpeg")</f>
        <v/>
      </c>
      <c r="L549" s="6"/>
      <c r="M549" s="5" t="str">
        <f>IFERROR(VLOOKUP(E549,Specifications!$A$2:$D$9,2,FALSE),"")</f>
        <v/>
      </c>
      <c r="N549" s="5" t="str">
        <f>IFERROR(VLOOKUP(E549,Specifications!$A$2:$D$9,3,FALSE),"")</f>
        <v/>
      </c>
      <c r="O549" s="5" t="str">
        <f>IFERROR(VLOOKUP(E549,Specifications!$A$2:$D$9,4,FALSE),"")</f>
        <v/>
      </c>
      <c r="P549" s="8" t="str">
        <f t="shared" si="27"/>
        <v/>
      </c>
      <c r="Q549" s="9"/>
    </row>
    <row r="550" spans="1:17" ht="15">
      <c r="A550" s="5" t="str">
        <f t="shared" si="25"/>
        <v/>
      </c>
      <c r="B550" s="6"/>
      <c r="C550" s="5" t="str">
        <f>IFERROR(VLOOKUP(B550,Lists!$A$2:$B$25,2,FALSE),"")</f>
        <v/>
      </c>
      <c r="D550" s="7"/>
      <c r="E550" s="6"/>
      <c r="F550" s="6" t="str">
        <f t="shared" si="26"/>
        <v/>
      </c>
      <c r="G550" s="6"/>
      <c r="H550" s="6"/>
      <c r="I550" s="6"/>
      <c r="J550" s="7"/>
      <c r="K550" s="5" t="str" cm="1">
        <f t="array" ref="K550">IF(OR(A550="",B550="",D550="",E550=""),"",A550&amp;"_"&amp;SUBSTITUTE(B550," ","-")&amp;"_"&amp;D550&amp;"_"&amp;SUBSTITUTE(SUBSTITUTE(E550," ",""),"€","Euro")&amp;"_"&amp;IF(F550="","Unknown",F550)&amp;IF(F550="Commemorative",IF(G550="","","_"&amp;SUBSTITUTE(SUBSTITUTE(SUBSTITUTE(G550," ","-"),"/","-"),CHAR(39),"")),"")&amp;IF(I550="Duplicate","_Dub"&amp;IF(SUMPRODUCT(($B$2:B550=B550)*($D$2:D550=D550)*($E$2:E550=E550)*($F$2:F550=F550)*($G$2:G550=G550)*($I$2:I550="Duplicate"))&lt;=1,"",SUMPRODUCT(($B$2:B550=B550)*($D$2:D550=D550)*($E$2:E550=E550)*($F$2:F550=F550)*($G$2:G550=G550)*($I$2:I550="Duplicate"))-1),"")&amp;".jpeg")</f>
        <v/>
      </c>
      <c r="L550" s="6"/>
      <c r="M550" s="5" t="str">
        <f>IFERROR(VLOOKUP(E550,Specifications!$A$2:$D$9,2,FALSE),"")</f>
        <v/>
      </c>
      <c r="N550" s="5" t="str">
        <f>IFERROR(VLOOKUP(E550,Specifications!$A$2:$D$9,3,FALSE),"")</f>
        <v/>
      </c>
      <c r="O550" s="5" t="str">
        <f>IFERROR(VLOOKUP(E550,Specifications!$A$2:$D$9,4,FALSE),"")</f>
        <v/>
      </c>
      <c r="P550" s="8" t="str">
        <f t="shared" si="27"/>
        <v/>
      </c>
      <c r="Q550" s="9"/>
    </row>
    <row r="551" spans="1:17" ht="15">
      <c r="A551" s="5" t="str">
        <f t="shared" si="25"/>
        <v/>
      </c>
      <c r="B551" s="6"/>
      <c r="C551" s="5" t="str">
        <f>IFERROR(VLOOKUP(B551,Lists!$A$2:$B$25,2,FALSE),"")</f>
        <v/>
      </c>
      <c r="D551" s="7"/>
      <c r="E551" s="6"/>
      <c r="F551" s="6" t="str">
        <f t="shared" si="26"/>
        <v/>
      </c>
      <c r="G551" s="6"/>
      <c r="H551" s="6"/>
      <c r="I551" s="6"/>
      <c r="J551" s="7"/>
      <c r="K551" s="5" t="str" cm="1">
        <f t="array" ref="K551">IF(OR(A551="",B551="",D551="",E551=""),"",A551&amp;"_"&amp;SUBSTITUTE(B551," ","-")&amp;"_"&amp;D551&amp;"_"&amp;SUBSTITUTE(SUBSTITUTE(E551," ",""),"€","Euro")&amp;"_"&amp;IF(F551="","Unknown",F551)&amp;IF(F551="Commemorative",IF(G551="","","_"&amp;SUBSTITUTE(SUBSTITUTE(SUBSTITUTE(G551," ","-"),"/","-"),CHAR(39),"")),"")&amp;IF(I551="Duplicate","_Dub"&amp;IF(SUMPRODUCT(($B$2:B551=B551)*($D$2:D551=D551)*($E$2:E551=E551)*($F$2:F551=F551)*($G$2:G551=G551)*($I$2:I551="Duplicate"))&lt;=1,"",SUMPRODUCT(($B$2:B551=B551)*($D$2:D551=D551)*($E$2:E551=E551)*($F$2:F551=F551)*($G$2:G551=G551)*($I$2:I551="Duplicate"))-1),"")&amp;".jpeg")</f>
        <v/>
      </c>
      <c r="L551" s="6"/>
      <c r="M551" s="5" t="str">
        <f>IFERROR(VLOOKUP(E551,Specifications!$A$2:$D$9,2,FALSE),"")</f>
        <v/>
      </c>
      <c r="N551" s="5" t="str">
        <f>IFERROR(VLOOKUP(E551,Specifications!$A$2:$D$9,3,FALSE),"")</f>
        <v/>
      </c>
      <c r="O551" s="5" t="str">
        <f>IFERROR(VLOOKUP(E551,Specifications!$A$2:$D$9,4,FALSE),"")</f>
        <v/>
      </c>
      <c r="P551" s="8" t="str">
        <f t="shared" si="27"/>
        <v/>
      </c>
      <c r="Q551" s="9"/>
    </row>
    <row r="552" spans="1:17" ht="15">
      <c r="A552" s="5" t="str">
        <f t="shared" si="25"/>
        <v/>
      </c>
      <c r="B552" s="6"/>
      <c r="C552" s="5" t="str">
        <f>IFERROR(VLOOKUP(B552,Lists!$A$2:$B$25,2,FALSE),"")</f>
        <v/>
      </c>
      <c r="D552" s="7"/>
      <c r="E552" s="6"/>
      <c r="F552" s="6" t="str">
        <f t="shared" si="26"/>
        <v/>
      </c>
      <c r="G552" s="6"/>
      <c r="H552" s="6"/>
      <c r="I552" s="6"/>
      <c r="J552" s="7"/>
      <c r="K552" s="5" t="str" cm="1">
        <f t="array" ref="K552">IF(OR(A552="",B552="",D552="",E552=""),"",A552&amp;"_"&amp;SUBSTITUTE(B552," ","-")&amp;"_"&amp;D552&amp;"_"&amp;SUBSTITUTE(SUBSTITUTE(E552," ",""),"€","Euro")&amp;"_"&amp;IF(F552="","Unknown",F552)&amp;IF(F552="Commemorative",IF(G552="","","_"&amp;SUBSTITUTE(SUBSTITUTE(SUBSTITUTE(G552," ","-"),"/","-"),CHAR(39),"")),"")&amp;IF(I552="Duplicate","_Dub"&amp;IF(SUMPRODUCT(($B$2:B552=B552)*($D$2:D552=D552)*($E$2:E552=E552)*($F$2:F552=F552)*($G$2:G552=G552)*($I$2:I552="Duplicate"))&lt;=1,"",SUMPRODUCT(($B$2:B552=B552)*($D$2:D552=D552)*($E$2:E552=E552)*($F$2:F552=F552)*($G$2:G552=G552)*($I$2:I552="Duplicate"))-1),"")&amp;".jpeg")</f>
        <v/>
      </c>
      <c r="L552" s="6"/>
      <c r="M552" s="5" t="str">
        <f>IFERROR(VLOOKUP(E552,Specifications!$A$2:$D$9,2,FALSE),"")</f>
        <v/>
      </c>
      <c r="N552" s="5" t="str">
        <f>IFERROR(VLOOKUP(E552,Specifications!$A$2:$D$9,3,FALSE),"")</f>
        <v/>
      </c>
      <c r="O552" s="5" t="str">
        <f>IFERROR(VLOOKUP(E552,Specifications!$A$2:$D$9,4,FALSE),"")</f>
        <v/>
      </c>
      <c r="P552" s="8" t="str">
        <f t="shared" si="27"/>
        <v/>
      </c>
      <c r="Q552" s="9"/>
    </row>
    <row r="553" spans="1:17" ht="15">
      <c r="A553" s="5" t="str">
        <f t="shared" si="25"/>
        <v/>
      </c>
      <c r="B553" s="6"/>
      <c r="C553" s="5" t="str">
        <f>IFERROR(VLOOKUP(B553,Lists!$A$2:$B$25,2,FALSE),"")</f>
        <v/>
      </c>
      <c r="D553" s="7"/>
      <c r="E553" s="6"/>
      <c r="F553" s="6" t="str">
        <f t="shared" si="26"/>
        <v/>
      </c>
      <c r="G553" s="6"/>
      <c r="H553" s="6"/>
      <c r="I553" s="6"/>
      <c r="J553" s="7"/>
      <c r="K553" s="5" t="str" cm="1">
        <f t="array" ref="K553">IF(OR(A553="",B553="",D553="",E553=""),"",A553&amp;"_"&amp;SUBSTITUTE(B553," ","-")&amp;"_"&amp;D553&amp;"_"&amp;SUBSTITUTE(SUBSTITUTE(E553," ",""),"€","Euro")&amp;"_"&amp;IF(F553="","Unknown",F553)&amp;IF(F553="Commemorative",IF(G553="","","_"&amp;SUBSTITUTE(SUBSTITUTE(SUBSTITUTE(G553," ","-"),"/","-"),CHAR(39),"")),"")&amp;IF(I553="Duplicate","_Dub"&amp;IF(SUMPRODUCT(($B$2:B553=B553)*($D$2:D553=D553)*($E$2:E553=E553)*($F$2:F553=F553)*($G$2:G553=G553)*($I$2:I553="Duplicate"))&lt;=1,"",SUMPRODUCT(($B$2:B553=B553)*($D$2:D553=D553)*($E$2:E553=E553)*($F$2:F553=F553)*($G$2:G553=G553)*($I$2:I553="Duplicate"))-1),"")&amp;".jpeg")</f>
        <v/>
      </c>
      <c r="L553" s="6"/>
      <c r="M553" s="5" t="str">
        <f>IFERROR(VLOOKUP(E553,Specifications!$A$2:$D$9,2,FALSE),"")</f>
        <v/>
      </c>
      <c r="N553" s="5" t="str">
        <f>IFERROR(VLOOKUP(E553,Specifications!$A$2:$D$9,3,FALSE),"")</f>
        <v/>
      </c>
      <c r="O553" s="5" t="str">
        <f>IFERROR(VLOOKUP(E553,Specifications!$A$2:$D$9,4,FALSE),"")</f>
        <v/>
      </c>
      <c r="P553" s="8" t="str">
        <f t="shared" si="27"/>
        <v/>
      </c>
      <c r="Q553" s="9"/>
    </row>
    <row r="554" spans="1:17" ht="15">
      <c r="A554" s="5" t="str">
        <f t="shared" si="25"/>
        <v/>
      </c>
      <c r="B554" s="6"/>
      <c r="C554" s="5" t="str">
        <f>IFERROR(VLOOKUP(B554,Lists!$A$2:$B$25,2,FALSE),"")</f>
        <v/>
      </c>
      <c r="D554" s="7"/>
      <c r="E554" s="6"/>
      <c r="F554" s="6" t="str">
        <f t="shared" si="26"/>
        <v/>
      </c>
      <c r="G554" s="6"/>
      <c r="H554" s="6"/>
      <c r="I554" s="6"/>
      <c r="J554" s="7"/>
      <c r="K554" s="5" t="str" cm="1">
        <f t="array" ref="K554">IF(OR(A554="",B554="",D554="",E554=""),"",A554&amp;"_"&amp;SUBSTITUTE(B554," ","-")&amp;"_"&amp;D554&amp;"_"&amp;SUBSTITUTE(SUBSTITUTE(E554," ",""),"€","Euro")&amp;"_"&amp;IF(F554="","Unknown",F554)&amp;IF(F554="Commemorative",IF(G554="","","_"&amp;SUBSTITUTE(SUBSTITUTE(SUBSTITUTE(G554," ","-"),"/","-"),CHAR(39),"")),"")&amp;IF(I554="Duplicate","_Dub"&amp;IF(SUMPRODUCT(($B$2:B554=B554)*($D$2:D554=D554)*($E$2:E554=E554)*($F$2:F554=F554)*($G$2:G554=G554)*($I$2:I554="Duplicate"))&lt;=1,"",SUMPRODUCT(($B$2:B554=B554)*($D$2:D554=D554)*($E$2:E554=E554)*($F$2:F554=F554)*($G$2:G554=G554)*($I$2:I554="Duplicate"))-1),"")&amp;".jpeg")</f>
        <v/>
      </c>
      <c r="L554" s="6"/>
      <c r="M554" s="5" t="str">
        <f>IFERROR(VLOOKUP(E554,Specifications!$A$2:$D$9,2,FALSE),"")</f>
        <v/>
      </c>
      <c r="N554" s="5" t="str">
        <f>IFERROR(VLOOKUP(E554,Specifications!$A$2:$D$9,3,FALSE),"")</f>
        <v/>
      </c>
      <c r="O554" s="5" t="str">
        <f>IFERROR(VLOOKUP(E554,Specifications!$A$2:$D$9,4,FALSE),"")</f>
        <v/>
      </c>
      <c r="P554" s="8" t="str">
        <f t="shared" si="27"/>
        <v/>
      </c>
      <c r="Q554" s="9"/>
    </row>
    <row r="555" spans="1:17" ht="15">
      <c r="A555" s="5" t="str">
        <f t="shared" si="25"/>
        <v/>
      </c>
      <c r="B555" s="6"/>
      <c r="C555" s="5" t="str">
        <f>IFERROR(VLOOKUP(B555,Lists!$A$2:$B$25,2,FALSE),"")</f>
        <v/>
      </c>
      <c r="D555" s="7"/>
      <c r="E555" s="6"/>
      <c r="F555" s="6" t="str">
        <f t="shared" si="26"/>
        <v/>
      </c>
      <c r="G555" s="6"/>
      <c r="H555" s="6"/>
      <c r="I555" s="6"/>
      <c r="J555" s="7"/>
      <c r="K555" s="5" t="str" cm="1">
        <f t="array" ref="K555">IF(OR(A555="",B555="",D555="",E555=""),"",A555&amp;"_"&amp;SUBSTITUTE(B555," ","-")&amp;"_"&amp;D555&amp;"_"&amp;SUBSTITUTE(SUBSTITUTE(E555," ",""),"€","Euro")&amp;"_"&amp;IF(F555="","Unknown",F555)&amp;IF(F555="Commemorative",IF(G555="","","_"&amp;SUBSTITUTE(SUBSTITUTE(SUBSTITUTE(G555," ","-"),"/","-"),CHAR(39),"")),"")&amp;IF(I555="Duplicate","_Dub"&amp;IF(SUMPRODUCT(($B$2:B555=B555)*($D$2:D555=D555)*($E$2:E555=E555)*($F$2:F555=F555)*($G$2:G555=G555)*($I$2:I555="Duplicate"))&lt;=1,"",SUMPRODUCT(($B$2:B555=B555)*($D$2:D555=D555)*($E$2:E555=E555)*($F$2:F555=F555)*($G$2:G555=G555)*($I$2:I555="Duplicate"))-1),"")&amp;".jpeg")</f>
        <v/>
      </c>
      <c r="L555" s="6"/>
      <c r="M555" s="5" t="str">
        <f>IFERROR(VLOOKUP(E555,Specifications!$A$2:$D$9,2,FALSE),"")</f>
        <v/>
      </c>
      <c r="N555" s="5" t="str">
        <f>IFERROR(VLOOKUP(E555,Specifications!$A$2:$D$9,3,FALSE),"")</f>
        <v/>
      </c>
      <c r="O555" s="5" t="str">
        <f>IFERROR(VLOOKUP(E555,Specifications!$A$2:$D$9,4,FALSE),"")</f>
        <v/>
      </c>
      <c r="P555" s="8" t="str">
        <f t="shared" si="27"/>
        <v/>
      </c>
      <c r="Q555" s="9"/>
    </row>
    <row r="556" spans="1:17" ht="15">
      <c r="A556" s="5" t="str">
        <f t="shared" si="25"/>
        <v/>
      </c>
      <c r="B556" s="6"/>
      <c r="C556" s="5" t="str">
        <f>IFERROR(VLOOKUP(B556,Lists!$A$2:$B$25,2,FALSE),"")</f>
        <v/>
      </c>
      <c r="D556" s="7"/>
      <c r="E556" s="6"/>
      <c r="F556" s="6" t="str">
        <f t="shared" si="26"/>
        <v/>
      </c>
      <c r="G556" s="6"/>
      <c r="H556" s="6"/>
      <c r="I556" s="6"/>
      <c r="J556" s="7"/>
      <c r="K556" s="5" t="str" cm="1">
        <f t="array" ref="K556">IF(OR(A556="",B556="",D556="",E556=""),"",A556&amp;"_"&amp;SUBSTITUTE(B556," ","-")&amp;"_"&amp;D556&amp;"_"&amp;SUBSTITUTE(SUBSTITUTE(E556," ",""),"€","Euro")&amp;"_"&amp;IF(F556="","Unknown",F556)&amp;IF(F556="Commemorative",IF(G556="","","_"&amp;SUBSTITUTE(SUBSTITUTE(SUBSTITUTE(G556," ","-"),"/","-"),CHAR(39),"")),"")&amp;IF(I556="Duplicate","_Dub"&amp;IF(SUMPRODUCT(($B$2:B556=B556)*($D$2:D556=D556)*($E$2:E556=E556)*($F$2:F556=F556)*($G$2:G556=G556)*($I$2:I556="Duplicate"))&lt;=1,"",SUMPRODUCT(($B$2:B556=B556)*($D$2:D556=D556)*($E$2:E556=E556)*($F$2:F556=F556)*($G$2:G556=G556)*($I$2:I556="Duplicate"))-1),"")&amp;".jpeg")</f>
        <v/>
      </c>
      <c r="L556" s="6"/>
      <c r="M556" s="5" t="str">
        <f>IFERROR(VLOOKUP(E556,Specifications!$A$2:$D$9,2,FALSE),"")</f>
        <v/>
      </c>
      <c r="N556" s="5" t="str">
        <f>IFERROR(VLOOKUP(E556,Specifications!$A$2:$D$9,3,FALSE),"")</f>
        <v/>
      </c>
      <c r="O556" s="5" t="str">
        <f>IFERROR(VLOOKUP(E556,Specifications!$A$2:$D$9,4,FALSE),"")</f>
        <v/>
      </c>
      <c r="P556" s="8" t="str">
        <f t="shared" si="27"/>
        <v/>
      </c>
      <c r="Q556" s="9"/>
    </row>
    <row r="557" spans="1:17" ht="15">
      <c r="A557" s="5" t="str">
        <f t="shared" si="25"/>
        <v/>
      </c>
      <c r="B557" s="6"/>
      <c r="C557" s="5" t="str">
        <f>IFERROR(VLOOKUP(B557,Lists!$A$2:$B$25,2,FALSE),"")</f>
        <v/>
      </c>
      <c r="D557" s="7"/>
      <c r="E557" s="6"/>
      <c r="F557" s="6" t="str">
        <f t="shared" si="26"/>
        <v/>
      </c>
      <c r="G557" s="6"/>
      <c r="H557" s="6"/>
      <c r="I557" s="6"/>
      <c r="J557" s="7"/>
      <c r="K557" s="5" t="str" cm="1">
        <f t="array" ref="K557">IF(OR(A557="",B557="",D557="",E557=""),"",A557&amp;"_"&amp;SUBSTITUTE(B557," ","-")&amp;"_"&amp;D557&amp;"_"&amp;SUBSTITUTE(SUBSTITUTE(E557," ",""),"€","Euro")&amp;"_"&amp;IF(F557="","Unknown",F557)&amp;IF(F557="Commemorative",IF(G557="","","_"&amp;SUBSTITUTE(SUBSTITUTE(SUBSTITUTE(G557," ","-"),"/","-"),CHAR(39),"")),"")&amp;IF(I557="Duplicate","_Dub"&amp;IF(SUMPRODUCT(($B$2:B557=B557)*($D$2:D557=D557)*($E$2:E557=E557)*($F$2:F557=F557)*($G$2:G557=G557)*($I$2:I557="Duplicate"))&lt;=1,"",SUMPRODUCT(($B$2:B557=B557)*($D$2:D557=D557)*($E$2:E557=E557)*($F$2:F557=F557)*($G$2:G557=G557)*($I$2:I557="Duplicate"))-1),"")&amp;".jpeg")</f>
        <v/>
      </c>
      <c r="L557" s="6"/>
      <c r="M557" s="5" t="str">
        <f>IFERROR(VLOOKUP(E557,Specifications!$A$2:$D$9,2,FALSE),"")</f>
        <v/>
      </c>
      <c r="N557" s="5" t="str">
        <f>IFERROR(VLOOKUP(E557,Specifications!$A$2:$D$9,3,FALSE),"")</f>
        <v/>
      </c>
      <c r="O557" s="5" t="str">
        <f>IFERROR(VLOOKUP(E557,Specifications!$A$2:$D$9,4,FALSE),"")</f>
        <v/>
      </c>
      <c r="P557" s="8" t="str">
        <f t="shared" si="27"/>
        <v/>
      </c>
      <c r="Q557" s="9"/>
    </row>
    <row r="558" spans="1:17" ht="15">
      <c r="A558" s="5" t="str">
        <f t="shared" si="25"/>
        <v/>
      </c>
      <c r="B558" s="6"/>
      <c r="C558" s="5" t="str">
        <f>IFERROR(VLOOKUP(B558,Lists!$A$2:$B$25,2,FALSE),"")</f>
        <v/>
      </c>
      <c r="D558" s="7"/>
      <c r="E558" s="6"/>
      <c r="F558" s="6" t="str">
        <f t="shared" si="26"/>
        <v/>
      </c>
      <c r="G558" s="6"/>
      <c r="H558" s="6"/>
      <c r="I558" s="6"/>
      <c r="J558" s="7"/>
      <c r="K558" s="5" t="str" cm="1">
        <f t="array" ref="K558">IF(OR(A558="",B558="",D558="",E558=""),"",A558&amp;"_"&amp;SUBSTITUTE(B558," ","-")&amp;"_"&amp;D558&amp;"_"&amp;SUBSTITUTE(SUBSTITUTE(E558," ",""),"€","Euro")&amp;"_"&amp;IF(F558="","Unknown",F558)&amp;IF(F558="Commemorative",IF(G558="","","_"&amp;SUBSTITUTE(SUBSTITUTE(SUBSTITUTE(G558," ","-"),"/","-"),CHAR(39),"")),"")&amp;IF(I558="Duplicate","_Dub"&amp;IF(SUMPRODUCT(($B$2:B558=B558)*($D$2:D558=D558)*($E$2:E558=E558)*($F$2:F558=F558)*($G$2:G558=G558)*($I$2:I558="Duplicate"))&lt;=1,"",SUMPRODUCT(($B$2:B558=B558)*($D$2:D558=D558)*($E$2:E558=E558)*($F$2:F558=F558)*($G$2:G558=G558)*($I$2:I558="Duplicate"))-1),"")&amp;".jpeg")</f>
        <v/>
      </c>
      <c r="L558" s="6"/>
      <c r="M558" s="5" t="str">
        <f>IFERROR(VLOOKUP(E558,Specifications!$A$2:$D$9,2,FALSE),"")</f>
        <v/>
      </c>
      <c r="N558" s="5" t="str">
        <f>IFERROR(VLOOKUP(E558,Specifications!$A$2:$D$9,3,FALSE),"")</f>
        <v/>
      </c>
      <c r="O558" s="5" t="str">
        <f>IFERROR(VLOOKUP(E558,Specifications!$A$2:$D$9,4,FALSE),"")</f>
        <v/>
      </c>
      <c r="P558" s="8" t="str">
        <f t="shared" si="27"/>
        <v/>
      </c>
      <c r="Q558" s="9"/>
    </row>
    <row r="559" spans="1:17" ht="15">
      <c r="A559" s="5" t="str">
        <f t="shared" si="25"/>
        <v/>
      </c>
      <c r="B559" s="6"/>
      <c r="C559" s="5" t="str">
        <f>IFERROR(VLOOKUP(B559,Lists!$A$2:$B$25,2,FALSE),"")</f>
        <v/>
      </c>
      <c r="D559" s="7"/>
      <c r="E559" s="6"/>
      <c r="F559" s="6" t="str">
        <f t="shared" si="26"/>
        <v/>
      </c>
      <c r="G559" s="6"/>
      <c r="H559" s="6"/>
      <c r="I559" s="6"/>
      <c r="J559" s="7"/>
      <c r="K559" s="5" t="str" cm="1">
        <f t="array" ref="K559">IF(OR(A559="",B559="",D559="",E559=""),"",A559&amp;"_"&amp;SUBSTITUTE(B559," ","-")&amp;"_"&amp;D559&amp;"_"&amp;SUBSTITUTE(SUBSTITUTE(E559," ",""),"€","Euro")&amp;"_"&amp;IF(F559="","Unknown",F559)&amp;IF(F559="Commemorative",IF(G559="","","_"&amp;SUBSTITUTE(SUBSTITUTE(SUBSTITUTE(G559," ","-"),"/","-"),CHAR(39),"")),"")&amp;IF(I559="Duplicate","_Dub"&amp;IF(SUMPRODUCT(($B$2:B559=B559)*($D$2:D559=D559)*($E$2:E559=E559)*($F$2:F559=F559)*($G$2:G559=G559)*($I$2:I559="Duplicate"))&lt;=1,"",SUMPRODUCT(($B$2:B559=B559)*($D$2:D559=D559)*($E$2:E559=E559)*($F$2:F559=F559)*($G$2:G559=G559)*($I$2:I559="Duplicate"))-1),"")&amp;".jpeg")</f>
        <v/>
      </c>
      <c r="L559" s="6"/>
      <c r="M559" s="5" t="str">
        <f>IFERROR(VLOOKUP(E559,Specifications!$A$2:$D$9,2,FALSE),"")</f>
        <v/>
      </c>
      <c r="N559" s="5" t="str">
        <f>IFERROR(VLOOKUP(E559,Specifications!$A$2:$D$9,3,FALSE),"")</f>
        <v/>
      </c>
      <c r="O559" s="5" t="str">
        <f>IFERROR(VLOOKUP(E559,Specifications!$A$2:$D$9,4,FALSE),"")</f>
        <v/>
      </c>
      <c r="P559" s="8" t="str">
        <f t="shared" si="27"/>
        <v/>
      </c>
      <c r="Q559" s="9"/>
    </row>
    <row r="560" spans="1:17" ht="15">
      <c r="A560" s="5" t="str">
        <f t="shared" si="25"/>
        <v/>
      </c>
      <c r="B560" s="6"/>
      <c r="C560" s="5" t="str">
        <f>IFERROR(VLOOKUP(B560,Lists!$A$2:$B$25,2,FALSE),"")</f>
        <v/>
      </c>
      <c r="D560" s="7"/>
      <c r="E560" s="6"/>
      <c r="F560" s="6" t="str">
        <f t="shared" si="26"/>
        <v/>
      </c>
      <c r="G560" s="6"/>
      <c r="H560" s="6"/>
      <c r="I560" s="6"/>
      <c r="J560" s="7"/>
      <c r="K560" s="5" t="str" cm="1">
        <f t="array" ref="K560">IF(OR(A560="",B560="",D560="",E560=""),"",A560&amp;"_"&amp;SUBSTITUTE(B560," ","-")&amp;"_"&amp;D560&amp;"_"&amp;SUBSTITUTE(SUBSTITUTE(E560," ",""),"€","Euro")&amp;"_"&amp;IF(F560="","Unknown",F560)&amp;IF(F560="Commemorative",IF(G560="","","_"&amp;SUBSTITUTE(SUBSTITUTE(SUBSTITUTE(G560," ","-"),"/","-"),CHAR(39),"")),"")&amp;IF(I560="Duplicate","_Dub"&amp;IF(SUMPRODUCT(($B$2:B560=B560)*($D$2:D560=D560)*($E$2:E560=E560)*($F$2:F560=F560)*($G$2:G560=G560)*($I$2:I560="Duplicate"))&lt;=1,"",SUMPRODUCT(($B$2:B560=B560)*($D$2:D560=D560)*($E$2:E560=E560)*($F$2:F560=F560)*($G$2:G560=G560)*($I$2:I560="Duplicate"))-1),"")&amp;".jpeg")</f>
        <v/>
      </c>
      <c r="L560" s="6"/>
      <c r="M560" s="5" t="str">
        <f>IFERROR(VLOOKUP(E560,Specifications!$A$2:$D$9,2,FALSE),"")</f>
        <v/>
      </c>
      <c r="N560" s="5" t="str">
        <f>IFERROR(VLOOKUP(E560,Specifications!$A$2:$D$9,3,FALSE),"")</f>
        <v/>
      </c>
      <c r="O560" s="5" t="str">
        <f>IFERROR(VLOOKUP(E560,Specifications!$A$2:$D$9,4,FALSE),"")</f>
        <v/>
      </c>
      <c r="P560" s="8" t="str">
        <f t="shared" si="27"/>
        <v/>
      </c>
      <c r="Q560" s="9"/>
    </row>
    <row r="561" spans="1:17" ht="15">
      <c r="A561" s="5" t="str">
        <f t="shared" si="25"/>
        <v/>
      </c>
      <c r="B561" s="6"/>
      <c r="C561" s="5" t="str">
        <f>IFERROR(VLOOKUP(B561,Lists!$A$2:$B$25,2,FALSE),"")</f>
        <v/>
      </c>
      <c r="D561" s="7"/>
      <c r="E561" s="6"/>
      <c r="F561" s="6" t="str">
        <f t="shared" si="26"/>
        <v/>
      </c>
      <c r="G561" s="6"/>
      <c r="H561" s="6"/>
      <c r="I561" s="6"/>
      <c r="J561" s="7"/>
      <c r="K561" s="5" t="str" cm="1">
        <f t="array" ref="K561">IF(OR(A561="",B561="",D561="",E561=""),"",A561&amp;"_"&amp;SUBSTITUTE(B561," ","-")&amp;"_"&amp;D561&amp;"_"&amp;SUBSTITUTE(SUBSTITUTE(E561," ",""),"€","Euro")&amp;"_"&amp;IF(F561="","Unknown",F561)&amp;IF(F561="Commemorative",IF(G561="","","_"&amp;SUBSTITUTE(SUBSTITUTE(SUBSTITUTE(G561," ","-"),"/","-"),CHAR(39),"")),"")&amp;IF(I561="Duplicate","_Dub"&amp;IF(SUMPRODUCT(($B$2:B561=B561)*($D$2:D561=D561)*($E$2:E561=E561)*($F$2:F561=F561)*($G$2:G561=G561)*($I$2:I561="Duplicate"))&lt;=1,"",SUMPRODUCT(($B$2:B561=B561)*($D$2:D561=D561)*($E$2:E561=E561)*($F$2:F561=F561)*($G$2:G561=G561)*($I$2:I561="Duplicate"))-1),"")&amp;".jpeg")</f>
        <v/>
      </c>
      <c r="L561" s="6"/>
      <c r="M561" s="5" t="str">
        <f>IFERROR(VLOOKUP(E561,Specifications!$A$2:$D$9,2,FALSE),"")</f>
        <v/>
      </c>
      <c r="N561" s="5" t="str">
        <f>IFERROR(VLOOKUP(E561,Specifications!$A$2:$D$9,3,FALSE),"")</f>
        <v/>
      </c>
      <c r="O561" s="5" t="str">
        <f>IFERROR(VLOOKUP(E561,Specifications!$A$2:$D$9,4,FALSE),"")</f>
        <v/>
      </c>
      <c r="P561" s="8" t="str">
        <f t="shared" si="27"/>
        <v/>
      </c>
      <c r="Q561" s="9"/>
    </row>
    <row r="562" spans="1:17" ht="15">
      <c r="A562" s="5" t="str">
        <f t="shared" si="25"/>
        <v/>
      </c>
      <c r="B562" s="6"/>
      <c r="C562" s="5" t="str">
        <f>IFERROR(VLOOKUP(B562,Lists!$A$2:$B$25,2,FALSE),"")</f>
        <v/>
      </c>
      <c r="D562" s="7"/>
      <c r="E562" s="6"/>
      <c r="F562" s="6" t="str">
        <f t="shared" si="26"/>
        <v/>
      </c>
      <c r="G562" s="6"/>
      <c r="H562" s="6"/>
      <c r="I562" s="6"/>
      <c r="J562" s="7"/>
      <c r="K562" s="5" t="str" cm="1">
        <f t="array" ref="K562">IF(OR(A562="",B562="",D562="",E562=""),"",A562&amp;"_"&amp;SUBSTITUTE(B562," ","-")&amp;"_"&amp;D562&amp;"_"&amp;SUBSTITUTE(SUBSTITUTE(E562," ",""),"€","Euro")&amp;"_"&amp;IF(F562="","Unknown",F562)&amp;IF(F562="Commemorative",IF(G562="","","_"&amp;SUBSTITUTE(SUBSTITUTE(SUBSTITUTE(G562," ","-"),"/","-"),CHAR(39),"")),"")&amp;IF(I562="Duplicate","_Dub"&amp;IF(SUMPRODUCT(($B$2:B562=B562)*($D$2:D562=D562)*($E$2:E562=E562)*($F$2:F562=F562)*($G$2:G562=G562)*($I$2:I562="Duplicate"))&lt;=1,"",SUMPRODUCT(($B$2:B562=B562)*($D$2:D562=D562)*($E$2:E562=E562)*($F$2:F562=F562)*($G$2:G562=G562)*($I$2:I562="Duplicate"))-1),"")&amp;".jpeg")</f>
        <v/>
      </c>
      <c r="L562" s="6"/>
      <c r="M562" s="5" t="str">
        <f>IFERROR(VLOOKUP(E562,Specifications!$A$2:$D$9,2,FALSE),"")</f>
        <v/>
      </c>
      <c r="N562" s="5" t="str">
        <f>IFERROR(VLOOKUP(E562,Specifications!$A$2:$D$9,3,FALSE),"")</f>
        <v/>
      </c>
      <c r="O562" s="5" t="str">
        <f>IFERROR(VLOOKUP(E562,Specifications!$A$2:$D$9,4,FALSE),"")</f>
        <v/>
      </c>
      <c r="P562" s="8" t="str">
        <f t="shared" si="27"/>
        <v/>
      </c>
      <c r="Q562" s="9"/>
    </row>
    <row r="563" spans="1:17" ht="15">
      <c r="A563" s="5" t="str">
        <f t="shared" si="25"/>
        <v/>
      </c>
      <c r="B563" s="6"/>
      <c r="C563" s="5" t="str">
        <f>IFERROR(VLOOKUP(B563,Lists!$A$2:$B$25,2,FALSE),"")</f>
        <v/>
      </c>
      <c r="D563" s="7"/>
      <c r="E563" s="6"/>
      <c r="F563" s="6" t="str">
        <f t="shared" si="26"/>
        <v/>
      </c>
      <c r="G563" s="6"/>
      <c r="H563" s="6"/>
      <c r="I563" s="6"/>
      <c r="J563" s="7"/>
      <c r="K563" s="5" t="str" cm="1">
        <f t="array" ref="K563">IF(OR(A563="",B563="",D563="",E563=""),"",A563&amp;"_"&amp;SUBSTITUTE(B563," ","-")&amp;"_"&amp;D563&amp;"_"&amp;SUBSTITUTE(SUBSTITUTE(E563," ",""),"€","Euro")&amp;"_"&amp;IF(F563="","Unknown",F563)&amp;IF(F563="Commemorative",IF(G563="","","_"&amp;SUBSTITUTE(SUBSTITUTE(SUBSTITUTE(G563," ","-"),"/","-"),CHAR(39),"")),"")&amp;IF(I563="Duplicate","_Dub"&amp;IF(SUMPRODUCT(($B$2:B563=B563)*($D$2:D563=D563)*($E$2:E563=E563)*($F$2:F563=F563)*($G$2:G563=G563)*($I$2:I563="Duplicate"))&lt;=1,"",SUMPRODUCT(($B$2:B563=B563)*($D$2:D563=D563)*($E$2:E563=E563)*($F$2:F563=F563)*($G$2:G563=G563)*($I$2:I563="Duplicate"))-1),"")&amp;".jpeg")</f>
        <v/>
      </c>
      <c r="L563" s="6"/>
      <c r="M563" s="5" t="str">
        <f>IFERROR(VLOOKUP(E563,Specifications!$A$2:$D$9,2,FALSE),"")</f>
        <v/>
      </c>
      <c r="N563" s="5" t="str">
        <f>IFERROR(VLOOKUP(E563,Specifications!$A$2:$D$9,3,FALSE),"")</f>
        <v/>
      </c>
      <c r="O563" s="5" t="str">
        <f>IFERROR(VLOOKUP(E563,Specifications!$A$2:$D$9,4,FALSE),"")</f>
        <v/>
      </c>
      <c r="P563" s="8" t="str">
        <f t="shared" si="27"/>
        <v/>
      </c>
      <c r="Q563" s="9"/>
    </row>
    <row r="564" spans="1:17" ht="15">
      <c r="A564" s="5" t="str">
        <f t="shared" si="25"/>
        <v/>
      </c>
      <c r="B564" s="6"/>
      <c r="C564" s="5" t="str">
        <f>IFERROR(VLOOKUP(B564,Lists!$A$2:$B$25,2,FALSE),"")</f>
        <v/>
      </c>
      <c r="D564" s="7"/>
      <c r="E564" s="6"/>
      <c r="F564" s="6" t="str">
        <f t="shared" si="26"/>
        <v/>
      </c>
      <c r="G564" s="6"/>
      <c r="H564" s="6"/>
      <c r="I564" s="6"/>
      <c r="J564" s="7"/>
      <c r="K564" s="5" t="str" cm="1">
        <f t="array" ref="K564">IF(OR(A564="",B564="",D564="",E564=""),"",A564&amp;"_"&amp;SUBSTITUTE(B564," ","-")&amp;"_"&amp;D564&amp;"_"&amp;SUBSTITUTE(SUBSTITUTE(E564," ",""),"€","Euro")&amp;"_"&amp;IF(F564="","Unknown",F564)&amp;IF(F564="Commemorative",IF(G564="","","_"&amp;SUBSTITUTE(SUBSTITUTE(SUBSTITUTE(G564," ","-"),"/","-"),CHAR(39),"")),"")&amp;IF(I564="Duplicate","_Dub"&amp;IF(SUMPRODUCT(($B$2:B564=B564)*($D$2:D564=D564)*($E$2:E564=E564)*($F$2:F564=F564)*($G$2:G564=G564)*($I$2:I564="Duplicate"))&lt;=1,"",SUMPRODUCT(($B$2:B564=B564)*($D$2:D564=D564)*($E$2:E564=E564)*($F$2:F564=F564)*($G$2:G564=G564)*($I$2:I564="Duplicate"))-1),"")&amp;".jpeg")</f>
        <v/>
      </c>
      <c r="L564" s="6"/>
      <c r="M564" s="5" t="str">
        <f>IFERROR(VLOOKUP(E564,Specifications!$A$2:$D$9,2,FALSE),"")</f>
        <v/>
      </c>
      <c r="N564" s="5" t="str">
        <f>IFERROR(VLOOKUP(E564,Specifications!$A$2:$D$9,3,FALSE),"")</f>
        <v/>
      </c>
      <c r="O564" s="5" t="str">
        <f>IFERROR(VLOOKUP(E564,Specifications!$A$2:$D$9,4,FALSE),"")</f>
        <v/>
      </c>
      <c r="P564" s="8" t="str">
        <f t="shared" si="27"/>
        <v/>
      </c>
      <c r="Q564" s="9"/>
    </row>
    <row r="565" spans="1:17" ht="15">
      <c r="A565" s="5" t="str">
        <f t="shared" si="25"/>
        <v/>
      </c>
      <c r="B565" s="6"/>
      <c r="C565" s="5" t="str">
        <f>IFERROR(VLOOKUP(B565,Lists!$A$2:$B$25,2,FALSE),"")</f>
        <v/>
      </c>
      <c r="D565" s="7"/>
      <c r="E565" s="6"/>
      <c r="F565" s="6" t="str">
        <f t="shared" si="26"/>
        <v/>
      </c>
      <c r="G565" s="6"/>
      <c r="H565" s="6"/>
      <c r="I565" s="6"/>
      <c r="J565" s="7"/>
      <c r="K565" s="5" t="str" cm="1">
        <f t="array" ref="K565">IF(OR(A565="",B565="",D565="",E565=""),"",A565&amp;"_"&amp;SUBSTITUTE(B565," ","-")&amp;"_"&amp;D565&amp;"_"&amp;SUBSTITUTE(SUBSTITUTE(E565," ",""),"€","Euro")&amp;"_"&amp;IF(F565="","Unknown",F565)&amp;IF(F565="Commemorative",IF(G565="","","_"&amp;SUBSTITUTE(SUBSTITUTE(SUBSTITUTE(G565," ","-"),"/","-"),CHAR(39),"")),"")&amp;IF(I565="Duplicate","_Dub"&amp;IF(SUMPRODUCT(($B$2:B565=B565)*($D$2:D565=D565)*($E$2:E565=E565)*($F$2:F565=F565)*($G$2:G565=G565)*($I$2:I565="Duplicate"))&lt;=1,"",SUMPRODUCT(($B$2:B565=B565)*($D$2:D565=D565)*($E$2:E565=E565)*($F$2:F565=F565)*($G$2:G565=G565)*($I$2:I565="Duplicate"))-1),"")&amp;".jpeg")</f>
        <v/>
      </c>
      <c r="L565" s="6"/>
      <c r="M565" s="5" t="str">
        <f>IFERROR(VLOOKUP(E565,Specifications!$A$2:$D$9,2,FALSE),"")</f>
        <v/>
      </c>
      <c r="N565" s="5" t="str">
        <f>IFERROR(VLOOKUP(E565,Specifications!$A$2:$D$9,3,FALSE),"")</f>
        <v/>
      </c>
      <c r="O565" s="5" t="str">
        <f>IFERROR(VLOOKUP(E565,Specifications!$A$2:$D$9,4,FALSE),"")</f>
        <v/>
      </c>
      <c r="P565" s="8" t="str">
        <f t="shared" si="27"/>
        <v/>
      </c>
      <c r="Q565" s="9"/>
    </row>
    <row r="566" spans="1:17" ht="15">
      <c r="A566" s="5" t="str">
        <f t="shared" si="25"/>
        <v/>
      </c>
      <c r="B566" s="6"/>
      <c r="C566" s="5" t="str">
        <f>IFERROR(VLOOKUP(B566,Lists!$A$2:$B$25,2,FALSE),"")</f>
        <v/>
      </c>
      <c r="D566" s="7"/>
      <c r="E566" s="6"/>
      <c r="F566" s="6" t="str">
        <f t="shared" si="26"/>
        <v/>
      </c>
      <c r="G566" s="6"/>
      <c r="H566" s="6"/>
      <c r="I566" s="6"/>
      <c r="J566" s="7"/>
      <c r="K566" s="5" t="str" cm="1">
        <f t="array" ref="K566">IF(OR(A566="",B566="",D566="",E566=""),"",A566&amp;"_"&amp;SUBSTITUTE(B566," ","-")&amp;"_"&amp;D566&amp;"_"&amp;SUBSTITUTE(SUBSTITUTE(E566," ",""),"€","Euro")&amp;"_"&amp;IF(F566="","Unknown",F566)&amp;IF(F566="Commemorative",IF(G566="","","_"&amp;SUBSTITUTE(SUBSTITUTE(SUBSTITUTE(G566," ","-"),"/","-"),CHAR(39),"")),"")&amp;IF(I566="Duplicate","_Dub"&amp;IF(SUMPRODUCT(($B$2:B566=B566)*($D$2:D566=D566)*($E$2:E566=E566)*($F$2:F566=F566)*($G$2:G566=G566)*($I$2:I566="Duplicate"))&lt;=1,"",SUMPRODUCT(($B$2:B566=B566)*($D$2:D566=D566)*($E$2:E566=E566)*($F$2:F566=F566)*($G$2:G566=G566)*($I$2:I566="Duplicate"))-1),"")&amp;".jpeg")</f>
        <v/>
      </c>
      <c r="L566" s="6"/>
      <c r="M566" s="5" t="str">
        <f>IFERROR(VLOOKUP(E566,Specifications!$A$2:$D$9,2,FALSE),"")</f>
        <v/>
      </c>
      <c r="N566" s="5" t="str">
        <f>IFERROR(VLOOKUP(E566,Specifications!$A$2:$D$9,3,FALSE),"")</f>
        <v/>
      </c>
      <c r="O566" s="5" t="str">
        <f>IFERROR(VLOOKUP(E566,Specifications!$A$2:$D$9,4,FALSE),"")</f>
        <v/>
      </c>
      <c r="P566" s="8" t="str">
        <f t="shared" si="27"/>
        <v/>
      </c>
      <c r="Q566" s="9"/>
    </row>
    <row r="567" spans="1:17" ht="15">
      <c r="A567" s="5" t="str">
        <f t="shared" si="25"/>
        <v/>
      </c>
      <c r="B567" s="6"/>
      <c r="C567" s="5" t="str">
        <f>IFERROR(VLOOKUP(B567,Lists!$A$2:$B$25,2,FALSE),"")</f>
        <v/>
      </c>
      <c r="D567" s="7"/>
      <c r="E567" s="6"/>
      <c r="F567" s="6" t="str">
        <f t="shared" si="26"/>
        <v/>
      </c>
      <c r="G567" s="6"/>
      <c r="H567" s="6"/>
      <c r="I567" s="6"/>
      <c r="J567" s="7"/>
      <c r="K567" s="5" t="str" cm="1">
        <f t="array" ref="K567">IF(OR(A567="",B567="",D567="",E567=""),"",A567&amp;"_"&amp;SUBSTITUTE(B567," ","-")&amp;"_"&amp;D567&amp;"_"&amp;SUBSTITUTE(SUBSTITUTE(E567," ",""),"€","Euro")&amp;"_"&amp;IF(F567="","Unknown",F567)&amp;IF(F567="Commemorative",IF(G567="","","_"&amp;SUBSTITUTE(SUBSTITUTE(SUBSTITUTE(G567," ","-"),"/","-"),CHAR(39),"")),"")&amp;IF(I567="Duplicate","_Dub"&amp;IF(SUMPRODUCT(($B$2:B567=B567)*($D$2:D567=D567)*($E$2:E567=E567)*($F$2:F567=F567)*($G$2:G567=G567)*($I$2:I567="Duplicate"))&lt;=1,"",SUMPRODUCT(($B$2:B567=B567)*($D$2:D567=D567)*($E$2:E567=E567)*($F$2:F567=F567)*($G$2:G567=G567)*($I$2:I567="Duplicate"))-1),"")&amp;".jpeg")</f>
        <v/>
      </c>
      <c r="L567" s="6"/>
      <c r="M567" s="5" t="str">
        <f>IFERROR(VLOOKUP(E567,Specifications!$A$2:$D$9,2,FALSE),"")</f>
        <v/>
      </c>
      <c r="N567" s="5" t="str">
        <f>IFERROR(VLOOKUP(E567,Specifications!$A$2:$D$9,3,FALSE),"")</f>
        <v/>
      </c>
      <c r="O567" s="5" t="str">
        <f>IFERROR(VLOOKUP(E567,Specifications!$A$2:$D$9,4,FALSE),"")</f>
        <v/>
      </c>
      <c r="P567" s="8" t="str">
        <f t="shared" si="27"/>
        <v/>
      </c>
      <c r="Q567" s="9"/>
    </row>
    <row r="568" spans="1:17" ht="15">
      <c r="A568" s="5" t="str">
        <f t="shared" si="25"/>
        <v/>
      </c>
      <c r="B568" s="6"/>
      <c r="C568" s="5" t="str">
        <f>IFERROR(VLOOKUP(B568,Lists!$A$2:$B$25,2,FALSE),"")</f>
        <v/>
      </c>
      <c r="D568" s="7"/>
      <c r="E568" s="6"/>
      <c r="F568" s="6" t="str">
        <f t="shared" si="26"/>
        <v/>
      </c>
      <c r="G568" s="6"/>
      <c r="H568" s="6"/>
      <c r="I568" s="6"/>
      <c r="J568" s="7"/>
      <c r="K568" s="5" t="str" cm="1">
        <f t="array" ref="K568">IF(OR(A568="",B568="",D568="",E568=""),"",A568&amp;"_"&amp;SUBSTITUTE(B568," ","-")&amp;"_"&amp;D568&amp;"_"&amp;SUBSTITUTE(SUBSTITUTE(E568," ",""),"€","Euro")&amp;"_"&amp;IF(F568="","Unknown",F568)&amp;IF(F568="Commemorative",IF(G568="","","_"&amp;SUBSTITUTE(SUBSTITUTE(SUBSTITUTE(G568," ","-"),"/","-"),CHAR(39),"")),"")&amp;IF(I568="Duplicate","_Dub"&amp;IF(SUMPRODUCT(($B$2:B568=B568)*($D$2:D568=D568)*($E$2:E568=E568)*($F$2:F568=F568)*($G$2:G568=G568)*($I$2:I568="Duplicate"))&lt;=1,"",SUMPRODUCT(($B$2:B568=B568)*($D$2:D568=D568)*($E$2:E568=E568)*($F$2:F568=F568)*($G$2:G568=G568)*($I$2:I568="Duplicate"))-1),"")&amp;".jpeg")</f>
        <v/>
      </c>
      <c r="L568" s="6"/>
      <c r="M568" s="5" t="str">
        <f>IFERROR(VLOOKUP(E568,Specifications!$A$2:$D$9,2,FALSE),"")</f>
        <v/>
      </c>
      <c r="N568" s="5" t="str">
        <f>IFERROR(VLOOKUP(E568,Specifications!$A$2:$D$9,3,FALSE),"")</f>
        <v/>
      </c>
      <c r="O568" s="5" t="str">
        <f>IFERROR(VLOOKUP(E568,Specifications!$A$2:$D$9,4,FALSE),"")</f>
        <v/>
      </c>
      <c r="P568" s="8" t="str">
        <f t="shared" si="27"/>
        <v/>
      </c>
      <c r="Q568" s="9"/>
    </row>
    <row r="569" spans="1:17" ht="15">
      <c r="A569" s="5" t="str">
        <f t="shared" si="25"/>
        <v/>
      </c>
      <c r="B569" s="6"/>
      <c r="C569" s="5" t="str">
        <f>IFERROR(VLOOKUP(B569,Lists!$A$2:$B$25,2,FALSE),"")</f>
        <v/>
      </c>
      <c r="D569" s="7"/>
      <c r="E569" s="6"/>
      <c r="F569" s="6" t="str">
        <f t="shared" si="26"/>
        <v/>
      </c>
      <c r="G569" s="6"/>
      <c r="H569" s="6"/>
      <c r="I569" s="6"/>
      <c r="J569" s="7"/>
      <c r="K569" s="5" t="str" cm="1">
        <f t="array" ref="K569">IF(OR(A569="",B569="",D569="",E569=""),"",A569&amp;"_"&amp;SUBSTITUTE(B569," ","-")&amp;"_"&amp;D569&amp;"_"&amp;SUBSTITUTE(SUBSTITUTE(E569," ",""),"€","Euro")&amp;"_"&amp;IF(F569="","Unknown",F569)&amp;IF(F569="Commemorative",IF(G569="","","_"&amp;SUBSTITUTE(SUBSTITUTE(SUBSTITUTE(G569," ","-"),"/","-"),CHAR(39),"")),"")&amp;IF(I569="Duplicate","_Dub"&amp;IF(SUMPRODUCT(($B$2:B569=B569)*($D$2:D569=D569)*($E$2:E569=E569)*($F$2:F569=F569)*($G$2:G569=G569)*($I$2:I569="Duplicate"))&lt;=1,"",SUMPRODUCT(($B$2:B569=B569)*($D$2:D569=D569)*($E$2:E569=E569)*($F$2:F569=F569)*($G$2:G569=G569)*($I$2:I569="Duplicate"))-1),"")&amp;".jpeg")</f>
        <v/>
      </c>
      <c r="L569" s="6"/>
      <c r="M569" s="5" t="str">
        <f>IFERROR(VLOOKUP(E569,Specifications!$A$2:$D$9,2,FALSE),"")</f>
        <v/>
      </c>
      <c r="N569" s="5" t="str">
        <f>IFERROR(VLOOKUP(E569,Specifications!$A$2:$D$9,3,FALSE),"")</f>
        <v/>
      </c>
      <c r="O569" s="5" t="str">
        <f>IFERROR(VLOOKUP(E569,Specifications!$A$2:$D$9,4,FALSE),"")</f>
        <v/>
      </c>
      <c r="P569" s="8" t="str">
        <f t="shared" si="27"/>
        <v/>
      </c>
      <c r="Q569" s="9"/>
    </row>
    <row r="570" spans="1:17" ht="15">
      <c r="A570" s="5" t="str">
        <f t="shared" si="25"/>
        <v/>
      </c>
      <c r="B570" s="6"/>
      <c r="C570" s="5" t="str">
        <f>IFERROR(VLOOKUP(B570,Lists!$A$2:$B$25,2,FALSE),"")</f>
        <v/>
      </c>
      <c r="D570" s="7"/>
      <c r="E570" s="6"/>
      <c r="F570" s="6" t="str">
        <f t="shared" si="26"/>
        <v/>
      </c>
      <c r="G570" s="6"/>
      <c r="H570" s="6"/>
      <c r="I570" s="6"/>
      <c r="J570" s="7"/>
      <c r="K570" s="5" t="str" cm="1">
        <f t="array" ref="K570">IF(OR(A570="",B570="",D570="",E570=""),"",A570&amp;"_"&amp;SUBSTITUTE(B570," ","-")&amp;"_"&amp;D570&amp;"_"&amp;SUBSTITUTE(SUBSTITUTE(E570," ",""),"€","Euro")&amp;"_"&amp;IF(F570="","Unknown",F570)&amp;IF(F570="Commemorative",IF(G570="","","_"&amp;SUBSTITUTE(SUBSTITUTE(SUBSTITUTE(G570," ","-"),"/","-"),CHAR(39),"")),"")&amp;IF(I570="Duplicate","_Dub"&amp;IF(SUMPRODUCT(($B$2:B570=B570)*($D$2:D570=D570)*($E$2:E570=E570)*($F$2:F570=F570)*($G$2:G570=G570)*($I$2:I570="Duplicate"))&lt;=1,"",SUMPRODUCT(($B$2:B570=B570)*($D$2:D570=D570)*($E$2:E570=E570)*($F$2:F570=F570)*($G$2:G570=G570)*($I$2:I570="Duplicate"))-1),"")&amp;".jpeg")</f>
        <v/>
      </c>
      <c r="L570" s="6"/>
      <c r="M570" s="5" t="str">
        <f>IFERROR(VLOOKUP(E570,Specifications!$A$2:$D$9,2,FALSE),"")</f>
        <v/>
      </c>
      <c r="N570" s="5" t="str">
        <f>IFERROR(VLOOKUP(E570,Specifications!$A$2:$D$9,3,FALSE),"")</f>
        <v/>
      </c>
      <c r="O570" s="5" t="str">
        <f>IFERROR(VLOOKUP(E570,Specifications!$A$2:$D$9,4,FALSE),"")</f>
        <v/>
      </c>
      <c r="P570" s="8" t="str">
        <f t="shared" si="27"/>
        <v/>
      </c>
      <c r="Q570" s="9"/>
    </row>
    <row r="571" spans="1:17" ht="15">
      <c r="A571" s="5" t="str">
        <f t="shared" si="25"/>
        <v/>
      </c>
      <c r="B571" s="6"/>
      <c r="C571" s="5" t="str">
        <f>IFERROR(VLOOKUP(B571,Lists!$A$2:$B$25,2,FALSE),"")</f>
        <v/>
      </c>
      <c r="D571" s="7"/>
      <c r="E571" s="6"/>
      <c r="F571" s="6" t="str">
        <f t="shared" si="26"/>
        <v/>
      </c>
      <c r="G571" s="6"/>
      <c r="H571" s="6"/>
      <c r="I571" s="6"/>
      <c r="J571" s="7"/>
      <c r="K571" s="5" t="str" cm="1">
        <f t="array" ref="K571">IF(OR(A571="",B571="",D571="",E571=""),"",A571&amp;"_"&amp;SUBSTITUTE(B571," ","-")&amp;"_"&amp;D571&amp;"_"&amp;SUBSTITUTE(SUBSTITUTE(E571," ",""),"€","Euro")&amp;"_"&amp;IF(F571="","Unknown",F571)&amp;IF(F571="Commemorative",IF(G571="","","_"&amp;SUBSTITUTE(SUBSTITUTE(SUBSTITUTE(G571," ","-"),"/","-"),CHAR(39),"")),"")&amp;IF(I571="Duplicate","_Dub"&amp;IF(SUMPRODUCT(($B$2:B571=B571)*($D$2:D571=D571)*($E$2:E571=E571)*($F$2:F571=F571)*($G$2:G571=G571)*($I$2:I571="Duplicate"))&lt;=1,"",SUMPRODUCT(($B$2:B571=B571)*($D$2:D571=D571)*($E$2:E571=E571)*($F$2:F571=F571)*($G$2:G571=G571)*($I$2:I571="Duplicate"))-1),"")&amp;".jpeg")</f>
        <v/>
      </c>
      <c r="L571" s="6"/>
      <c r="M571" s="5" t="str">
        <f>IFERROR(VLOOKUP(E571,Specifications!$A$2:$D$9,2,FALSE),"")</f>
        <v/>
      </c>
      <c r="N571" s="5" t="str">
        <f>IFERROR(VLOOKUP(E571,Specifications!$A$2:$D$9,3,FALSE),"")</f>
        <v/>
      </c>
      <c r="O571" s="5" t="str">
        <f>IFERROR(VLOOKUP(E571,Specifications!$A$2:$D$9,4,FALSE),"")</f>
        <v/>
      </c>
      <c r="P571" s="8" t="str">
        <f t="shared" si="27"/>
        <v/>
      </c>
      <c r="Q571" s="9"/>
    </row>
    <row r="572" spans="1:17" ht="15">
      <c r="A572" s="5" t="str">
        <f t="shared" si="25"/>
        <v/>
      </c>
      <c r="B572" s="6"/>
      <c r="C572" s="5" t="str">
        <f>IFERROR(VLOOKUP(B572,Lists!$A$2:$B$25,2,FALSE),"")</f>
        <v/>
      </c>
      <c r="D572" s="7"/>
      <c r="E572" s="6"/>
      <c r="F572" s="6" t="str">
        <f t="shared" si="26"/>
        <v/>
      </c>
      <c r="G572" s="6"/>
      <c r="H572" s="6"/>
      <c r="I572" s="6"/>
      <c r="J572" s="7"/>
      <c r="K572" s="5" t="str" cm="1">
        <f t="array" ref="K572">IF(OR(A572="",B572="",D572="",E572=""),"",A572&amp;"_"&amp;SUBSTITUTE(B572," ","-")&amp;"_"&amp;D572&amp;"_"&amp;SUBSTITUTE(SUBSTITUTE(E572," ",""),"€","Euro")&amp;"_"&amp;IF(F572="","Unknown",F572)&amp;IF(F572="Commemorative",IF(G572="","","_"&amp;SUBSTITUTE(SUBSTITUTE(SUBSTITUTE(G572," ","-"),"/","-"),CHAR(39),"")),"")&amp;IF(I572="Duplicate","_Dub"&amp;IF(SUMPRODUCT(($B$2:B572=B572)*($D$2:D572=D572)*($E$2:E572=E572)*($F$2:F572=F572)*($G$2:G572=G572)*($I$2:I572="Duplicate"))&lt;=1,"",SUMPRODUCT(($B$2:B572=B572)*($D$2:D572=D572)*($E$2:E572=E572)*($F$2:F572=F572)*($G$2:G572=G572)*($I$2:I572="Duplicate"))-1),"")&amp;".jpeg")</f>
        <v/>
      </c>
      <c r="L572" s="6"/>
      <c r="M572" s="5" t="str">
        <f>IFERROR(VLOOKUP(E572,Specifications!$A$2:$D$9,2,FALSE),"")</f>
        <v/>
      </c>
      <c r="N572" s="5" t="str">
        <f>IFERROR(VLOOKUP(E572,Specifications!$A$2:$D$9,3,FALSE),"")</f>
        <v/>
      </c>
      <c r="O572" s="5" t="str">
        <f>IFERROR(VLOOKUP(E572,Specifications!$A$2:$D$9,4,FALSE),"")</f>
        <v/>
      </c>
      <c r="P572" s="8" t="str">
        <f t="shared" si="27"/>
        <v/>
      </c>
      <c r="Q572" s="9"/>
    </row>
    <row r="573" spans="1:17" ht="15">
      <c r="A573" s="5" t="str">
        <f t="shared" si="25"/>
        <v/>
      </c>
      <c r="B573" s="6"/>
      <c r="C573" s="5" t="str">
        <f>IFERROR(VLOOKUP(B573,Lists!$A$2:$B$25,2,FALSE),"")</f>
        <v/>
      </c>
      <c r="D573" s="7"/>
      <c r="E573" s="6"/>
      <c r="F573" s="6" t="str">
        <f t="shared" si="26"/>
        <v/>
      </c>
      <c r="G573" s="6"/>
      <c r="H573" s="6"/>
      <c r="I573" s="6"/>
      <c r="J573" s="7"/>
      <c r="K573" s="5" t="str" cm="1">
        <f t="array" ref="K573">IF(OR(A573="",B573="",D573="",E573=""),"",A573&amp;"_"&amp;SUBSTITUTE(B573," ","-")&amp;"_"&amp;D573&amp;"_"&amp;SUBSTITUTE(SUBSTITUTE(E573," ",""),"€","Euro")&amp;"_"&amp;IF(F573="","Unknown",F573)&amp;IF(F573="Commemorative",IF(G573="","","_"&amp;SUBSTITUTE(SUBSTITUTE(SUBSTITUTE(G573," ","-"),"/","-"),CHAR(39),"")),"")&amp;IF(I573="Duplicate","_Dub"&amp;IF(SUMPRODUCT(($B$2:B573=B573)*($D$2:D573=D573)*($E$2:E573=E573)*($F$2:F573=F573)*($G$2:G573=G573)*($I$2:I573="Duplicate"))&lt;=1,"",SUMPRODUCT(($B$2:B573=B573)*($D$2:D573=D573)*($E$2:E573=E573)*($F$2:F573=F573)*($G$2:G573=G573)*($I$2:I573="Duplicate"))-1),"")&amp;".jpeg")</f>
        <v/>
      </c>
      <c r="L573" s="6"/>
      <c r="M573" s="5" t="str">
        <f>IFERROR(VLOOKUP(E573,Specifications!$A$2:$D$9,2,FALSE),"")</f>
        <v/>
      </c>
      <c r="N573" s="5" t="str">
        <f>IFERROR(VLOOKUP(E573,Specifications!$A$2:$D$9,3,FALSE),"")</f>
        <v/>
      </c>
      <c r="O573" s="5" t="str">
        <f>IFERROR(VLOOKUP(E573,Specifications!$A$2:$D$9,4,FALSE),"")</f>
        <v/>
      </c>
      <c r="P573" s="8" t="str">
        <f t="shared" si="27"/>
        <v/>
      </c>
      <c r="Q573" s="9"/>
    </row>
    <row r="574" spans="1:17" ht="15">
      <c r="A574" s="5" t="str">
        <f t="shared" si="25"/>
        <v/>
      </c>
      <c r="B574" s="6"/>
      <c r="C574" s="5" t="str">
        <f>IFERROR(VLOOKUP(B574,Lists!$A$2:$B$25,2,FALSE),"")</f>
        <v/>
      </c>
      <c r="D574" s="7"/>
      <c r="E574" s="6"/>
      <c r="F574" s="6" t="str">
        <f t="shared" si="26"/>
        <v/>
      </c>
      <c r="G574" s="6"/>
      <c r="H574" s="6"/>
      <c r="I574" s="6"/>
      <c r="J574" s="7"/>
      <c r="K574" s="5" t="str" cm="1">
        <f t="array" ref="K574">IF(OR(A574="",B574="",D574="",E574=""),"",A574&amp;"_"&amp;SUBSTITUTE(B574," ","-")&amp;"_"&amp;D574&amp;"_"&amp;SUBSTITUTE(SUBSTITUTE(E574," ",""),"€","Euro")&amp;"_"&amp;IF(F574="","Unknown",F574)&amp;IF(F574="Commemorative",IF(G574="","","_"&amp;SUBSTITUTE(SUBSTITUTE(SUBSTITUTE(G574," ","-"),"/","-"),CHAR(39),"")),"")&amp;IF(I574="Duplicate","_Dub"&amp;IF(SUMPRODUCT(($B$2:B574=B574)*($D$2:D574=D574)*($E$2:E574=E574)*($F$2:F574=F574)*($G$2:G574=G574)*($I$2:I574="Duplicate"))&lt;=1,"",SUMPRODUCT(($B$2:B574=B574)*($D$2:D574=D574)*($E$2:E574=E574)*($F$2:F574=F574)*($G$2:G574=G574)*($I$2:I574="Duplicate"))-1),"")&amp;".jpeg")</f>
        <v/>
      </c>
      <c r="L574" s="6"/>
      <c r="M574" s="5" t="str">
        <f>IFERROR(VLOOKUP(E574,Specifications!$A$2:$D$9,2,FALSE),"")</f>
        <v/>
      </c>
      <c r="N574" s="5" t="str">
        <f>IFERROR(VLOOKUP(E574,Specifications!$A$2:$D$9,3,FALSE),"")</f>
        <v/>
      </c>
      <c r="O574" s="5" t="str">
        <f>IFERROR(VLOOKUP(E574,Specifications!$A$2:$D$9,4,FALSE),"")</f>
        <v/>
      </c>
      <c r="P574" s="8" t="str">
        <f t="shared" si="27"/>
        <v/>
      </c>
      <c r="Q574" s="9"/>
    </row>
    <row r="575" spans="1:17" ht="15">
      <c r="A575" s="5" t="str">
        <f t="shared" si="25"/>
        <v/>
      </c>
      <c r="B575" s="6"/>
      <c r="C575" s="5" t="str">
        <f>IFERROR(VLOOKUP(B575,Lists!$A$2:$B$25,2,FALSE),"")</f>
        <v/>
      </c>
      <c r="D575" s="7"/>
      <c r="E575" s="6"/>
      <c r="F575" s="6" t="str">
        <f t="shared" si="26"/>
        <v/>
      </c>
      <c r="G575" s="6"/>
      <c r="H575" s="6"/>
      <c r="I575" s="6"/>
      <c r="J575" s="7"/>
      <c r="K575" s="5" t="str" cm="1">
        <f t="array" ref="K575">IF(OR(A575="",B575="",D575="",E575=""),"",A575&amp;"_"&amp;SUBSTITUTE(B575," ","-")&amp;"_"&amp;D575&amp;"_"&amp;SUBSTITUTE(SUBSTITUTE(E575," ",""),"€","Euro")&amp;"_"&amp;IF(F575="","Unknown",F575)&amp;IF(F575="Commemorative",IF(G575="","","_"&amp;SUBSTITUTE(SUBSTITUTE(SUBSTITUTE(G575," ","-"),"/","-"),CHAR(39),"")),"")&amp;IF(I575="Duplicate","_Dub"&amp;IF(SUMPRODUCT(($B$2:B575=B575)*($D$2:D575=D575)*($E$2:E575=E575)*($F$2:F575=F575)*($G$2:G575=G575)*($I$2:I575="Duplicate"))&lt;=1,"",SUMPRODUCT(($B$2:B575=B575)*($D$2:D575=D575)*($E$2:E575=E575)*($F$2:F575=F575)*($G$2:G575=G575)*($I$2:I575="Duplicate"))-1),"")&amp;".jpeg")</f>
        <v/>
      </c>
      <c r="L575" s="6"/>
      <c r="M575" s="5" t="str">
        <f>IFERROR(VLOOKUP(E575,Specifications!$A$2:$D$9,2,FALSE),"")</f>
        <v/>
      </c>
      <c r="N575" s="5" t="str">
        <f>IFERROR(VLOOKUP(E575,Specifications!$A$2:$D$9,3,FALSE),"")</f>
        <v/>
      </c>
      <c r="O575" s="5" t="str">
        <f>IFERROR(VLOOKUP(E575,Specifications!$A$2:$D$9,4,FALSE),"")</f>
        <v/>
      </c>
      <c r="P575" s="8" t="str">
        <f t="shared" si="27"/>
        <v/>
      </c>
      <c r="Q575" s="9"/>
    </row>
    <row r="576" spans="1:17" ht="15">
      <c r="A576" s="5" t="str">
        <f t="shared" si="25"/>
        <v/>
      </c>
      <c r="B576" s="6"/>
      <c r="C576" s="5" t="str">
        <f>IFERROR(VLOOKUP(B576,Lists!$A$2:$B$25,2,FALSE),"")</f>
        <v/>
      </c>
      <c r="D576" s="7"/>
      <c r="E576" s="6"/>
      <c r="F576" s="6" t="str">
        <f t="shared" si="26"/>
        <v/>
      </c>
      <c r="G576" s="6"/>
      <c r="H576" s="6"/>
      <c r="I576" s="6"/>
      <c r="J576" s="7"/>
      <c r="K576" s="5" t="str" cm="1">
        <f t="array" ref="K576">IF(OR(A576="",B576="",D576="",E576=""),"",A576&amp;"_"&amp;SUBSTITUTE(B576," ","-")&amp;"_"&amp;D576&amp;"_"&amp;SUBSTITUTE(SUBSTITUTE(E576," ",""),"€","Euro")&amp;"_"&amp;IF(F576="","Unknown",F576)&amp;IF(F576="Commemorative",IF(G576="","","_"&amp;SUBSTITUTE(SUBSTITUTE(SUBSTITUTE(G576," ","-"),"/","-"),CHAR(39),"")),"")&amp;IF(I576="Duplicate","_Dub"&amp;IF(SUMPRODUCT(($B$2:B576=B576)*($D$2:D576=D576)*($E$2:E576=E576)*($F$2:F576=F576)*($G$2:G576=G576)*($I$2:I576="Duplicate"))&lt;=1,"",SUMPRODUCT(($B$2:B576=B576)*($D$2:D576=D576)*($E$2:E576=E576)*($F$2:F576=F576)*($G$2:G576=G576)*($I$2:I576="Duplicate"))-1),"")&amp;".jpeg")</f>
        <v/>
      </c>
      <c r="L576" s="6"/>
      <c r="M576" s="5" t="str">
        <f>IFERROR(VLOOKUP(E576,Specifications!$A$2:$D$9,2,FALSE),"")</f>
        <v/>
      </c>
      <c r="N576" s="5" t="str">
        <f>IFERROR(VLOOKUP(E576,Specifications!$A$2:$D$9,3,FALSE),"")</f>
        <v/>
      </c>
      <c r="O576" s="5" t="str">
        <f>IFERROR(VLOOKUP(E576,Specifications!$A$2:$D$9,4,FALSE),"")</f>
        <v/>
      </c>
      <c r="P576" s="8" t="str">
        <f t="shared" si="27"/>
        <v/>
      </c>
      <c r="Q576" s="9"/>
    </row>
    <row r="577" spans="1:17" ht="15">
      <c r="A577" s="5" t="str">
        <f t="shared" si="25"/>
        <v/>
      </c>
      <c r="B577" s="6"/>
      <c r="C577" s="5" t="str">
        <f>IFERROR(VLOOKUP(B577,Lists!$A$2:$B$25,2,FALSE),"")</f>
        <v/>
      </c>
      <c r="D577" s="7"/>
      <c r="E577" s="6"/>
      <c r="F577" s="6" t="str">
        <f t="shared" si="26"/>
        <v/>
      </c>
      <c r="G577" s="6"/>
      <c r="H577" s="6"/>
      <c r="I577" s="6"/>
      <c r="J577" s="7"/>
      <c r="K577" s="5" t="str" cm="1">
        <f t="array" ref="K577">IF(OR(A577="",B577="",D577="",E577=""),"",A577&amp;"_"&amp;SUBSTITUTE(B577," ","-")&amp;"_"&amp;D577&amp;"_"&amp;SUBSTITUTE(SUBSTITUTE(E577," ",""),"€","Euro")&amp;"_"&amp;IF(F577="","Unknown",F577)&amp;IF(F577="Commemorative",IF(G577="","","_"&amp;SUBSTITUTE(SUBSTITUTE(SUBSTITUTE(G577," ","-"),"/","-"),CHAR(39),"")),"")&amp;IF(I577="Duplicate","_Dub"&amp;IF(SUMPRODUCT(($B$2:B577=B577)*($D$2:D577=D577)*($E$2:E577=E577)*($F$2:F577=F577)*($G$2:G577=G577)*($I$2:I577="Duplicate"))&lt;=1,"",SUMPRODUCT(($B$2:B577=B577)*($D$2:D577=D577)*($E$2:E577=E577)*($F$2:F577=F577)*($G$2:G577=G577)*($I$2:I577="Duplicate"))-1),"")&amp;".jpeg")</f>
        <v/>
      </c>
      <c r="L577" s="6"/>
      <c r="M577" s="5" t="str">
        <f>IFERROR(VLOOKUP(E577,Specifications!$A$2:$D$9,2,FALSE),"")</f>
        <v/>
      </c>
      <c r="N577" s="5" t="str">
        <f>IFERROR(VLOOKUP(E577,Specifications!$A$2:$D$9,3,FALSE),"")</f>
        <v/>
      </c>
      <c r="O577" s="5" t="str">
        <f>IFERROR(VLOOKUP(E577,Specifications!$A$2:$D$9,4,FALSE),"")</f>
        <v/>
      </c>
      <c r="P577" s="8" t="str">
        <f t="shared" si="27"/>
        <v/>
      </c>
      <c r="Q577" s="9"/>
    </row>
    <row r="578" spans="1:17" ht="15">
      <c r="A578" s="5" t="str">
        <f t="shared" ref="A578:A641" si="28">IF(B578="","",TEXT(ROW()-1,"000"))</f>
        <v/>
      </c>
      <c r="B578" s="6"/>
      <c r="C578" s="5" t="str">
        <f>IFERROR(VLOOKUP(B578,Lists!$A$2:$B$25,2,FALSE),"")</f>
        <v/>
      </c>
      <c r="D578" s="7"/>
      <c r="E578" s="6"/>
      <c r="F578" s="6" t="str">
        <f t="shared" ref="F578:F641" si="29">IF(E578="","",IF(E578="2 €","", "Regular"))</f>
        <v/>
      </c>
      <c r="G578" s="6"/>
      <c r="H578" s="6"/>
      <c r="I578" s="6"/>
      <c r="J578" s="7"/>
      <c r="K578" s="5" t="str" cm="1">
        <f t="array" ref="K578">IF(OR(A578="",B578="",D578="",E578=""),"",A578&amp;"_"&amp;SUBSTITUTE(B578," ","-")&amp;"_"&amp;D578&amp;"_"&amp;SUBSTITUTE(SUBSTITUTE(E578," ",""),"€","Euro")&amp;"_"&amp;IF(F578="","Unknown",F578)&amp;IF(F578="Commemorative",IF(G578="","","_"&amp;SUBSTITUTE(SUBSTITUTE(SUBSTITUTE(G578," ","-"),"/","-"),CHAR(39),"")),"")&amp;IF(I578="Duplicate","_Dub"&amp;IF(SUMPRODUCT(($B$2:B578=B578)*($D$2:D578=D578)*($E$2:E578=E578)*($F$2:F578=F578)*($G$2:G578=G578)*($I$2:I578="Duplicate"))&lt;=1,"",SUMPRODUCT(($B$2:B578=B578)*($D$2:D578=D578)*($E$2:E578=E578)*($F$2:F578=F578)*($G$2:G578=G578)*($I$2:I578="Duplicate"))-1),"")&amp;".jpeg")</f>
        <v/>
      </c>
      <c r="L578" s="6"/>
      <c r="M578" s="5" t="str">
        <f>IFERROR(VLOOKUP(E578,Specifications!$A$2:$D$9,2,FALSE),"")</f>
        <v/>
      </c>
      <c r="N578" s="5" t="str">
        <f>IFERROR(VLOOKUP(E578,Specifications!$A$2:$D$9,3,FALSE),"")</f>
        <v/>
      </c>
      <c r="O578" s="5" t="str">
        <f>IFERROR(VLOOKUP(E578,Specifications!$A$2:$D$9,4,FALSE),"")</f>
        <v/>
      </c>
      <c r="P578" s="8" t="str">
        <f t="shared" ref="P578:P641" si="30">IF(OR(B578="",E578="",F578=""),"",IF(F578="Regular","Regular "&amp;E578&amp;" circulation coin of "&amp;B578&amp;".",IF(F578="Commemorative",IF(G578="","",E578&amp;" commemorative coin of "&amp;B578&amp;" – "&amp;G578&amp;"."),"")))</f>
        <v/>
      </c>
      <c r="Q578" s="9"/>
    </row>
    <row r="579" spans="1:17" ht="15">
      <c r="A579" s="5" t="str">
        <f t="shared" si="28"/>
        <v/>
      </c>
      <c r="B579" s="6"/>
      <c r="C579" s="5" t="str">
        <f>IFERROR(VLOOKUP(B579,Lists!$A$2:$B$25,2,FALSE),"")</f>
        <v/>
      </c>
      <c r="D579" s="7"/>
      <c r="E579" s="6"/>
      <c r="F579" s="6" t="str">
        <f t="shared" si="29"/>
        <v/>
      </c>
      <c r="G579" s="6"/>
      <c r="H579" s="6"/>
      <c r="I579" s="6"/>
      <c r="J579" s="7"/>
      <c r="K579" s="5" t="str" cm="1">
        <f t="array" ref="K579">IF(OR(A579="",B579="",D579="",E579=""),"",A579&amp;"_"&amp;SUBSTITUTE(B579," ","-")&amp;"_"&amp;D579&amp;"_"&amp;SUBSTITUTE(SUBSTITUTE(E579," ",""),"€","Euro")&amp;"_"&amp;IF(F579="","Unknown",F579)&amp;IF(F579="Commemorative",IF(G579="","","_"&amp;SUBSTITUTE(SUBSTITUTE(SUBSTITUTE(G579," ","-"),"/","-"),CHAR(39),"")),"")&amp;IF(I579="Duplicate","_Dub"&amp;IF(SUMPRODUCT(($B$2:B579=B579)*($D$2:D579=D579)*($E$2:E579=E579)*($F$2:F579=F579)*($G$2:G579=G579)*($I$2:I579="Duplicate"))&lt;=1,"",SUMPRODUCT(($B$2:B579=B579)*($D$2:D579=D579)*($E$2:E579=E579)*($F$2:F579=F579)*($G$2:G579=G579)*($I$2:I579="Duplicate"))-1),"")&amp;".jpeg")</f>
        <v/>
      </c>
      <c r="L579" s="6"/>
      <c r="M579" s="5" t="str">
        <f>IFERROR(VLOOKUP(E579,Specifications!$A$2:$D$9,2,FALSE),"")</f>
        <v/>
      </c>
      <c r="N579" s="5" t="str">
        <f>IFERROR(VLOOKUP(E579,Specifications!$A$2:$D$9,3,FALSE),"")</f>
        <v/>
      </c>
      <c r="O579" s="5" t="str">
        <f>IFERROR(VLOOKUP(E579,Specifications!$A$2:$D$9,4,FALSE),"")</f>
        <v/>
      </c>
      <c r="P579" s="8" t="str">
        <f t="shared" si="30"/>
        <v/>
      </c>
      <c r="Q579" s="9"/>
    </row>
    <row r="580" spans="1:17" ht="15">
      <c r="A580" s="5" t="str">
        <f t="shared" si="28"/>
        <v/>
      </c>
      <c r="B580" s="6"/>
      <c r="C580" s="5" t="str">
        <f>IFERROR(VLOOKUP(B580,Lists!$A$2:$B$25,2,FALSE),"")</f>
        <v/>
      </c>
      <c r="D580" s="7"/>
      <c r="E580" s="6"/>
      <c r="F580" s="6" t="str">
        <f t="shared" si="29"/>
        <v/>
      </c>
      <c r="G580" s="6"/>
      <c r="H580" s="6"/>
      <c r="I580" s="6"/>
      <c r="J580" s="7"/>
      <c r="K580" s="5" t="str" cm="1">
        <f t="array" ref="K580">IF(OR(A580="",B580="",D580="",E580=""),"",A580&amp;"_"&amp;SUBSTITUTE(B580," ","-")&amp;"_"&amp;D580&amp;"_"&amp;SUBSTITUTE(SUBSTITUTE(E580," ",""),"€","Euro")&amp;"_"&amp;IF(F580="","Unknown",F580)&amp;IF(F580="Commemorative",IF(G580="","","_"&amp;SUBSTITUTE(SUBSTITUTE(SUBSTITUTE(G580," ","-"),"/","-"),CHAR(39),"")),"")&amp;IF(I580="Duplicate","_Dub"&amp;IF(SUMPRODUCT(($B$2:B580=B580)*($D$2:D580=D580)*($E$2:E580=E580)*($F$2:F580=F580)*($G$2:G580=G580)*($I$2:I580="Duplicate"))&lt;=1,"",SUMPRODUCT(($B$2:B580=B580)*($D$2:D580=D580)*($E$2:E580=E580)*($F$2:F580=F580)*($G$2:G580=G580)*($I$2:I580="Duplicate"))-1),"")&amp;".jpeg")</f>
        <v/>
      </c>
      <c r="L580" s="6"/>
      <c r="M580" s="5" t="str">
        <f>IFERROR(VLOOKUP(E580,Specifications!$A$2:$D$9,2,FALSE),"")</f>
        <v/>
      </c>
      <c r="N580" s="5" t="str">
        <f>IFERROR(VLOOKUP(E580,Specifications!$A$2:$D$9,3,FALSE),"")</f>
        <v/>
      </c>
      <c r="O580" s="5" t="str">
        <f>IFERROR(VLOOKUP(E580,Specifications!$A$2:$D$9,4,FALSE),"")</f>
        <v/>
      </c>
      <c r="P580" s="8" t="str">
        <f t="shared" si="30"/>
        <v/>
      </c>
      <c r="Q580" s="9"/>
    </row>
    <row r="581" spans="1:17" ht="15">
      <c r="A581" s="5" t="str">
        <f t="shared" si="28"/>
        <v/>
      </c>
      <c r="B581" s="6"/>
      <c r="C581" s="5" t="str">
        <f>IFERROR(VLOOKUP(B581,Lists!$A$2:$B$25,2,FALSE),"")</f>
        <v/>
      </c>
      <c r="D581" s="7"/>
      <c r="E581" s="6"/>
      <c r="F581" s="6" t="str">
        <f t="shared" si="29"/>
        <v/>
      </c>
      <c r="G581" s="6"/>
      <c r="H581" s="6"/>
      <c r="I581" s="6"/>
      <c r="J581" s="7"/>
      <c r="K581" s="5" t="str" cm="1">
        <f t="array" ref="K581">IF(OR(A581="",B581="",D581="",E581=""),"",A581&amp;"_"&amp;SUBSTITUTE(B581," ","-")&amp;"_"&amp;D581&amp;"_"&amp;SUBSTITUTE(SUBSTITUTE(E581," ",""),"€","Euro")&amp;"_"&amp;IF(F581="","Unknown",F581)&amp;IF(F581="Commemorative",IF(G581="","","_"&amp;SUBSTITUTE(SUBSTITUTE(SUBSTITUTE(G581," ","-"),"/","-"),CHAR(39),"")),"")&amp;IF(I581="Duplicate","_Dub"&amp;IF(SUMPRODUCT(($B$2:B581=B581)*($D$2:D581=D581)*($E$2:E581=E581)*($F$2:F581=F581)*($G$2:G581=G581)*($I$2:I581="Duplicate"))&lt;=1,"",SUMPRODUCT(($B$2:B581=B581)*($D$2:D581=D581)*($E$2:E581=E581)*($F$2:F581=F581)*($G$2:G581=G581)*($I$2:I581="Duplicate"))-1),"")&amp;".jpeg")</f>
        <v/>
      </c>
      <c r="L581" s="6"/>
      <c r="M581" s="5" t="str">
        <f>IFERROR(VLOOKUP(E581,Specifications!$A$2:$D$9,2,FALSE),"")</f>
        <v/>
      </c>
      <c r="N581" s="5" t="str">
        <f>IFERROR(VLOOKUP(E581,Specifications!$A$2:$D$9,3,FALSE),"")</f>
        <v/>
      </c>
      <c r="O581" s="5" t="str">
        <f>IFERROR(VLOOKUP(E581,Specifications!$A$2:$D$9,4,FALSE),"")</f>
        <v/>
      </c>
      <c r="P581" s="8" t="str">
        <f t="shared" si="30"/>
        <v/>
      </c>
      <c r="Q581" s="9"/>
    </row>
    <row r="582" spans="1:17" ht="15">
      <c r="A582" s="5" t="str">
        <f t="shared" si="28"/>
        <v/>
      </c>
      <c r="B582" s="6"/>
      <c r="C582" s="5" t="str">
        <f>IFERROR(VLOOKUP(B582,Lists!$A$2:$B$25,2,FALSE),"")</f>
        <v/>
      </c>
      <c r="D582" s="7"/>
      <c r="E582" s="6"/>
      <c r="F582" s="6" t="str">
        <f t="shared" si="29"/>
        <v/>
      </c>
      <c r="G582" s="6"/>
      <c r="H582" s="6"/>
      <c r="I582" s="6"/>
      <c r="J582" s="7"/>
      <c r="K582" s="5" t="str" cm="1">
        <f t="array" ref="K582">IF(OR(A582="",B582="",D582="",E582=""),"",A582&amp;"_"&amp;SUBSTITUTE(B582," ","-")&amp;"_"&amp;D582&amp;"_"&amp;SUBSTITUTE(SUBSTITUTE(E582," ",""),"€","Euro")&amp;"_"&amp;IF(F582="","Unknown",F582)&amp;IF(F582="Commemorative",IF(G582="","","_"&amp;SUBSTITUTE(SUBSTITUTE(SUBSTITUTE(G582," ","-"),"/","-"),CHAR(39),"")),"")&amp;IF(I582="Duplicate","_Dub"&amp;IF(SUMPRODUCT(($B$2:B582=B582)*($D$2:D582=D582)*($E$2:E582=E582)*($F$2:F582=F582)*($G$2:G582=G582)*($I$2:I582="Duplicate"))&lt;=1,"",SUMPRODUCT(($B$2:B582=B582)*($D$2:D582=D582)*($E$2:E582=E582)*($F$2:F582=F582)*($G$2:G582=G582)*($I$2:I582="Duplicate"))-1),"")&amp;".jpeg")</f>
        <v/>
      </c>
      <c r="L582" s="6"/>
      <c r="M582" s="5" t="str">
        <f>IFERROR(VLOOKUP(E582,Specifications!$A$2:$D$9,2,FALSE),"")</f>
        <v/>
      </c>
      <c r="N582" s="5" t="str">
        <f>IFERROR(VLOOKUP(E582,Specifications!$A$2:$D$9,3,FALSE),"")</f>
        <v/>
      </c>
      <c r="O582" s="5" t="str">
        <f>IFERROR(VLOOKUP(E582,Specifications!$A$2:$D$9,4,FALSE),"")</f>
        <v/>
      </c>
      <c r="P582" s="8" t="str">
        <f t="shared" si="30"/>
        <v/>
      </c>
      <c r="Q582" s="9"/>
    </row>
    <row r="583" spans="1:17" ht="15">
      <c r="A583" s="5" t="str">
        <f t="shared" si="28"/>
        <v/>
      </c>
      <c r="B583" s="6"/>
      <c r="C583" s="5" t="str">
        <f>IFERROR(VLOOKUP(B583,Lists!$A$2:$B$25,2,FALSE),"")</f>
        <v/>
      </c>
      <c r="D583" s="7"/>
      <c r="E583" s="6"/>
      <c r="F583" s="6" t="str">
        <f t="shared" si="29"/>
        <v/>
      </c>
      <c r="G583" s="6"/>
      <c r="H583" s="6"/>
      <c r="I583" s="6"/>
      <c r="J583" s="7"/>
      <c r="K583" s="5" t="str" cm="1">
        <f t="array" ref="K583">IF(OR(A583="",B583="",D583="",E583=""),"",A583&amp;"_"&amp;SUBSTITUTE(B583," ","-")&amp;"_"&amp;D583&amp;"_"&amp;SUBSTITUTE(SUBSTITUTE(E583," ",""),"€","Euro")&amp;"_"&amp;IF(F583="","Unknown",F583)&amp;IF(F583="Commemorative",IF(G583="","","_"&amp;SUBSTITUTE(SUBSTITUTE(SUBSTITUTE(G583," ","-"),"/","-"),CHAR(39),"")),"")&amp;IF(I583="Duplicate","_Dub"&amp;IF(SUMPRODUCT(($B$2:B583=B583)*($D$2:D583=D583)*($E$2:E583=E583)*($F$2:F583=F583)*($G$2:G583=G583)*($I$2:I583="Duplicate"))&lt;=1,"",SUMPRODUCT(($B$2:B583=B583)*($D$2:D583=D583)*($E$2:E583=E583)*($F$2:F583=F583)*($G$2:G583=G583)*($I$2:I583="Duplicate"))-1),"")&amp;".jpeg")</f>
        <v/>
      </c>
      <c r="L583" s="6"/>
      <c r="M583" s="5" t="str">
        <f>IFERROR(VLOOKUP(E583,Specifications!$A$2:$D$9,2,FALSE),"")</f>
        <v/>
      </c>
      <c r="N583" s="5" t="str">
        <f>IFERROR(VLOOKUP(E583,Specifications!$A$2:$D$9,3,FALSE),"")</f>
        <v/>
      </c>
      <c r="O583" s="5" t="str">
        <f>IFERROR(VLOOKUP(E583,Specifications!$A$2:$D$9,4,FALSE),"")</f>
        <v/>
      </c>
      <c r="P583" s="8" t="str">
        <f t="shared" si="30"/>
        <v/>
      </c>
      <c r="Q583" s="9"/>
    </row>
    <row r="584" spans="1:17" ht="15">
      <c r="A584" s="5" t="str">
        <f t="shared" si="28"/>
        <v/>
      </c>
      <c r="B584" s="6"/>
      <c r="C584" s="5" t="str">
        <f>IFERROR(VLOOKUP(B584,Lists!$A$2:$B$25,2,FALSE),"")</f>
        <v/>
      </c>
      <c r="D584" s="7"/>
      <c r="E584" s="6"/>
      <c r="F584" s="6" t="str">
        <f t="shared" si="29"/>
        <v/>
      </c>
      <c r="G584" s="6"/>
      <c r="H584" s="6"/>
      <c r="I584" s="6"/>
      <c r="J584" s="7"/>
      <c r="K584" s="5" t="str" cm="1">
        <f t="array" ref="K584">IF(OR(A584="",B584="",D584="",E584=""),"",A584&amp;"_"&amp;SUBSTITUTE(B584," ","-")&amp;"_"&amp;D584&amp;"_"&amp;SUBSTITUTE(SUBSTITUTE(E584," ",""),"€","Euro")&amp;"_"&amp;IF(F584="","Unknown",F584)&amp;IF(F584="Commemorative",IF(G584="","","_"&amp;SUBSTITUTE(SUBSTITUTE(SUBSTITUTE(G584," ","-"),"/","-"),CHAR(39),"")),"")&amp;IF(I584="Duplicate","_Dub"&amp;IF(SUMPRODUCT(($B$2:B584=B584)*($D$2:D584=D584)*($E$2:E584=E584)*($F$2:F584=F584)*($G$2:G584=G584)*($I$2:I584="Duplicate"))&lt;=1,"",SUMPRODUCT(($B$2:B584=B584)*($D$2:D584=D584)*($E$2:E584=E584)*($F$2:F584=F584)*($G$2:G584=G584)*($I$2:I584="Duplicate"))-1),"")&amp;".jpeg")</f>
        <v/>
      </c>
      <c r="L584" s="6"/>
      <c r="M584" s="5" t="str">
        <f>IFERROR(VLOOKUP(E584,Specifications!$A$2:$D$9,2,FALSE),"")</f>
        <v/>
      </c>
      <c r="N584" s="5" t="str">
        <f>IFERROR(VLOOKUP(E584,Specifications!$A$2:$D$9,3,FALSE),"")</f>
        <v/>
      </c>
      <c r="O584" s="5" t="str">
        <f>IFERROR(VLOOKUP(E584,Specifications!$A$2:$D$9,4,FALSE),"")</f>
        <v/>
      </c>
      <c r="P584" s="8" t="str">
        <f t="shared" si="30"/>
        <v/>
      </c>
      <c r="Q584" s="9"/>
    </row>
    <row r="585" spans="1:17" ht="15">
      <c r="A585" s="5" t="str">
        <f t="shared" si="28"/>
        <v/>
      </c>
      <c r="B585" s="6"/>
      <c r="C585" s="5" t="str">
        <f>IFERROR(VLOOKUP(B585,Lists!$A$2:$B$25,2,FALSE),"")</f>
        <v/>
      </c>
      <c r="D585" s="7"/>
      <c r="E585" s="6"/>
      <c r="F585" s="6" t="str">
        <f t="shared" si="29"/>
        <v/>
      </c>
      <c r="G585" s="6"/>
      <c r="H585" s="6"/>
      <c r="I585" s="6"/>
      <c r="J585" s="7"/>
      <c r="K585" s="5" t="str" cm="1">
        <f t="array" ref="K585">IF(OR(A585="",B585="",D585="",E585=""),"",A585&amp;"_"&amp;SUBSTITUTE(B585," ","-")&amp;"_"&amp;D585&amp;"_"&amp;SUBSTITUTE(SUBSTITUTE(E585," ",""),"€","Euro")&amp;"_"&amp;IF(F585="","Unknown",F585)&amp;IF(F585="Commemorative",IF(G585="","","_"&amp;SUBSTITUTE(SUBSTITUTE(SUBSTITUTE(G585," ","-"),"/","-"),CHAR(39),"")),"")&amp;IF(I585="Duplicate","_Dub"&amp;IF(SUMPRODUCT(($B$2:B585=B585)*($D$2:D585=D585)*($E$2:E585=E585)*($F$2:F585=F585)*($G$2:G585=G585)*($I$2:I585="Duplicate"))&lt;=1,"",SUMPRODUCT(($B$2:B585=B585)*($D$2:D585=D585)*($E$2:E585=E585)*($F$2:F585=F585)*($G$2:G585=G585)*($I$2:I585="Duplicate"))-1),"")&amp;".jpeg")</f>
        <v/>
      </c>
      <c r="L585" s="6"/>
      <c r="M585" s="5" t="str">
        <f>IFERROR(VLOOKUP(E585,Specifications!$A$2:$D$9,2,FALSE),"")</f>
        <v/>
      </c>
      <c r="N585" s="5" t="str">
        <f>IFERROR(VLOOKUP(E585,Specifications!$A$2:$D$9,3,FALSE),"")</f>
        <v/>
      </c>
      <c r="O585" s="5" t="str">
        <f>IFERROR(VLOOKUP(E585,Specifications!$A$2:$D$9,4,FALSE),"")</f>
        <v/>
      </c>
      <c r="P585" s="8" t="str">
        <f t="shared" si="30"/>
        <v/>
      </c>
      <c r="Q585" s="9"/>
    </row>
    <row r="586" spans="1:17" ht="15">
      <c r="A586" s="5" t="str">
        <f t="shared" si="28"/>
        <v/>
      </c>
      <c r="B586" s="6"/>
      <c r="C586" s="5" t="str">
        <f>IFERROR(VLOOKUP(B586,Lists!$A$2:$B$25,2,FALSE),"")</f>
        <v/>
      </c>
      <c r="D586" s="7"/>
      <c r="E586" s="6"/>
      <c r="F586" s="6" t="str">
        <f t="shared" si="29"/>
        <v/>
      </c>
      <c r="G586" s="6"/>
      <c r="H586" s="6"/>
      <c r="I586" s="6"/>
      <c r="J586" s="7"/>
      <c r="K586" s="5" t="str" cm="1">
        <f t="array" ref="K586">IF(OR(A586="",B586="",D586="",E586=""),"",A586&amp;"_"&amp;SUBSTITUTE(B586," ","-")&amp;"_"&amp;D586&amp;"_"&amp;SUBSTITUTE(SUBSTITUTE(E586," ",""),"€","Euro")&amp;"_"&amp;IF(F586="","Unknown",F586)&amp;IF(F586="Commemorative",IF(G586="","","_"&amp;SUBSTITUTE(SUBSTITUTE(SUBSTITUTE(G586," ","-"),"/","-"),CHAR(39),"")),"")&amp;IF(I586="Duplicate","_Dub"&amp;IF(SUMPRODUCT(($B$2:B586=B586)*($D$2:D586=D586)*($E$2:E586=E586)*($F$2:F586=F586)*($G$2:G586=G586)*($I$2:I586="Duplicate"))&lt;=1,"",SUMPRODUCT(($B$2:B586=B586)*($D$2:D586=D586)*($E$2:E586=E586)*($F$2:F586=F586)*($G$2:G586=G586)*($I$2:I586="Duplicate"))-1),"")&amp;".jpeg")</f>
        <v/>
      </c>
      <c r="L586" s="6"/>
      <c r="M586" s="5" t="str">
        <f>IFERROR(VLOOKUP(E586,Specifications!$A$2:$D$9,2,FALSE),"")</f>
        <v/>
      </c>
      <c r="N586" s="5" t="str">
        <f>IFERROR(VLOOKUP(E586,Specifications!$A$2:$D$9,3,FALSE),"")</f>
        <v/>
      </c>
      <c r="O586" s="5" t="str">
        <f>IFERROR(VLOOKUP(E586,Specifications!$A$2:$D$9,4,FALSE),"")</f>
        <v/>
      </c>
      <c r="P586" s="8" t="str">
        <f t="shared" si="30"/>
        <v/>
      </c>
      <c r="Q586" s="9"/>
    </row>
    <row r="587" spans="1:17" ht="15">
      <c r="A587" s="5" t="str">
        <f t="shared" si="28"/>
        <v/>
      </c>
      <c r="B587" s="6"/>
      <c r="C587" s="5" t="str">
        <f>IFERROR(VLOOKUP(B587,Lists!$A$2:$B$25,2,FALSE),"")</f>
        <v/>
      </c>
      <c r="D587" s="7"/>
      <c r="E587" s="6"/>
      <c r="F587" s="6" t="str">
        <f t="shared" si="29"/>
        <v/>
      </c>
      <c r="G587" s="6"/>
      <c r="H587" s="6"/>
      <c r="I587" s="6"/>
      <c r="J587" s="7"/>
      <c r="K587" s="5" t="str" cm="1">
        <f t="array" ref="K587">IF(OR(A587="",B587="",D587="",E587=""),"",A587&amp;"_"&amp;SUBSTITUTE(B587," ","-")&amp;"_"&amp;D587&amp;"_"&amp;SUBSTITUTE(SUBSTITUTE(E587," ",""),"€","Euro")&amp;"_"&amp;IF(F587="","Unknown",F587)&amp;IF(F587="Commemorative",IF(G587="","","_"&amp;SUBSTITUTE(SUBSTITUTE(SUBSTITUTE(G587," ","-"),"/","-"),CHAR(39),"")),"")&amp;IF(I587="Duplicate","_Dub"&amp;IF(SUMPRODUCT(($B$2:B587=B587)*($D$2:D587=D587)*($E$2:E587=E587)*($F$2:F587=F587)*($G$2:G587=G587)*($I$2:I587="Duplicate"))&lt;=1,"",SUMPRODUCT(($B$2:B587=B587)*($D$2:D587=D587)*($E$2:E587=E587)*($F$2:F587=F587)*($G$2:G587=G587)*($I$2:I587="Duplicate"))-1),"")&amp;".jpeg")</f>
        <v/>
      </c>
      <c r="L587" s="6"/>
      <c r="M587" s="5" t="str">
        <f>IFERROR(VLOOKUP(E587,Specifications!$A$2:$D$9,2,FALSE),"")</f>
        <v/>
      </c>
      <c r="N587" s="5" t="str">
        <f>IFERROR(VLOOKUP(E587,Specifications!$A$2:$D$9,3,FALSE),"")</f>
        <v/>
      </c>
      <c r="O587" s="5" t="str">
        <f>IFERROR(VLOOKUP(E587,Specifications!$A$2:$D$9,4,FALSE),"")</f>
        <v/>
      </c>
      <c r="P587" s="8" t="str">
        <f t="shared" si="30"/>
        <v/>
      </c>
      <c r="Q587" s="9"/>
    </row>
    <row r="588" spans="1:17" ht="15">
      <c r="A588" s="5" t="str">
        <f t="shared" si="28"/>
        <v/>
      </c>
      <c r="B588" s="6"/>
      <c r="C588" s="5" t="str">
        <f>IFERROR(VLOOKUP(B588,Lists!$A$2:$B$25,2,FALSE),"")</f>
        <v/>
      </c>
      <c r="D588" s="7"/>
      <c r="E588" s="6"/>
      <c r="F588" s="6" t="str">
        <f t="shared" si="29"/>
        <v/>
      </c>
      <c r="G588" s="6"/>
      <c r="H588" s="6"/>
      <c r="I588" s="6"/>
      <c r="J588" s="7"/>
      <c r="K588" s="5" t="str" cm="1">
        <f t="array" ref="K588">IF(OR(A588="",B588="",D588="",E588=""),"",A588&amp;"_"&amp;SUBSTITUTE(B588," ","-")&amp;"_"&amp;D588&amp;"_"&amp;SUBSTITUTE(SUBSTITUTE(E588," ",""),"€","Euro")&amp;"_"&amp;IF(F588="","Unknown",F588)&amp;IF(F588="Commemorative",IF(G588="","","_"&amp;SUBSTITUTE(SUBSTITUTE(SUBSTITUTE(G588," ","-"),"/","-"),CHAR(39),"")),"")&amp;IF(I588="Duplicate","_Dub"&amp;IF(SUMPRODUCT(($B$2:B588=B588)*($D$2:D588=D588)*($E$2:E588=E588)*($F$2:F588=F588)*($G$2:G588=G588)*($I$2:I588="Duplicate"))&lt;=1,"",SUMPRODUCT(($B$2:B588=B588)*($D$2:D588=D588)*($E$2:E588=E588)*($F$2:F588=F588)*($G$2:G588=G588)*($I$2:I588="Duplicate"))-1),"")&amp;".jpeg")</f>
        <v/>
      </c>
      <c r="L588" s="6"/>
      <c r="M588" s="5" t="str">
        <f>IFERROR(VLOOKUP(E588,Specifications!$A$2:$D$9,2,FALSE),"")</f>
        <v/>
      </c>
      <c r="N588" s="5" t="str">
        <f>IFERROR(VLOOKUP(E588,Specifications!$A$2:$D$9,3,FALSE),"")</f>
        <v/>
      </c>
      <c r="O588" s="5" t="str">
        <f>IFERROR(VLOOKUP(E588,Specifications!$A$2:$D$9,4,FALSE),"")</f>
        <v/>
      </c>
      <c r="P588" s="8" t="str">
        <f t="shared" si="30"/>
        <v/>
      </c>
      <c r="Q588" s="9"/>
    </row>
    <row r="589" spans="1:17" ht="15">
      <c r="A589" s="5" t="str">
        <f t="shared" si="28"/>
        <v/>
      </c>
      <c r="B589" s="6"/>
      <c r="C589" s="5" t="str">
        <f>IFERROR(VLOOKUP(B589,Lists!$A$2:$B$25,2,FALSE),"")</f>
        <v/>
      </c>
      <c r="D589" s="7"/>
      <c r="E589" s="6"/>
      <c r="F589" s="6" t="str">
        <f t="shared" si="29"/>
        <v/>
      </c>
      <c r="G589" s="6"/>
      <c r="H589" s="6"/>
      <c r="I589" s="6"/>
      <c r="J589" s="7"/>
      <c r="K589" s="5" t="str" cm="1">
        <f t="array" ref="K589">IF(OR(A589="",B589="",D589="",E589=""),"",A589&amp;"_"&amp;SUBSTITUTE(B589," ","-")&amp;"_"&amp;D589&amp;"_"&amp;SUBSTITUTE(SUBSTITUTE(E589," ",""),"€","Euro")&amp;"_"&amp;IF(F589="","Unknown",F589)&amp;IF(F589="Commemorative",IF(G589="","","_"&amp;SUBSTITUTE(SUBSTITUTE(SUBSTITUTE(G589," ","-"),"/","-"),CHAR(39),"")),"")&amp;IF(I589="Duplicate","_Dub"&amp;IF(SUMPRODUCT(($B$2:B589=B589)*($D$2:D589=D589)*($E$2:E589=E589)*($F$2:F589=F589)*($G$2:G589=G589)*($I$2:I589="Duplicate"))&lt;=1,"",SUMPRODUCT(($B$2:B589=B589)*($D$2:D589=D589)*($E$2:E589=E589)*($F$2:F589=F589)*($G$2:G589=G589)*($I$2:I589="Duplicate"))-1),"")&amp;".jpeg")</f>
        <v/>
      </c>
      <c r="L589" s="6"/>
      <c r="M589" s="5" t="str">
        <f>IFERROR(VLOOKUP(E589,Specifications!$A$2:$D$9,2,FALSE),"")</f>
        <v/>
      </c>
      <c r="N589" s="5" t="str">
        <f>IFERROR(VLOOKUP(E589,Specifications!$A$2:$D$9,3,FALSE),"")</f>
        <v/>
      </c>
      <c r="O589" s="5" t="str">
        <f>IFERROR(VLOOKUP(E589,Specifications!$A$2:$D$9,4,FALSE),"")</f>
        <v/>
      </c>
      <c r="P589" s="8" t="str">
        <f t="shared" si="30"/>
        <v/>
      </c>
      <c r="Q589" s="9"/>
    </row>
    <row r="590" spans="1:17" ht="15">
      <c r="A590" s="5" t="str">
        <f t="shared" si="28"/>
        <v/>
      </c>
      <c r="B590" s="6"/>
      <c r="C590" s="5" t="str">
        <f>IFERROR(VLOOKUP(B590,Lists!$A$2:$B$25,2,FALSE),"")</f>
        <v/>
      </c>
      <c r="D590" s="7"/>
      <c r="E590" s="6"/>
      <c r="F590" s="6" t="str">
        <f t="shared" si="29"/>
        <v/>
      </c>
      <c r="G590" s="6"/>
      <c r="H590" s="6"/>
      <c r="I590" s="6"/>
      <c r="J590" s="7"/>
      <c r="K590" s="5" t="str" cm="1">
        <f t="array" ref="K590">IF(OR(A590="",B590="",D590="",E590=""),"",A590&amp;"_"&amp;SUBSTITUTE(B590," ","-")&amp;"_"&amp;D590&amp;"_"&amp;SUBSTITUTE(SUBSTITUTE(E590," ",""),"€","Euro")&amp;"_"&amp;IF(F590="","Unknown",F590)&amp;IF(F590="Commemorative",IF(G590="","","_"&amp;SUBSTITUTE(SUBSTITUTE(SUBSTITUTE(G590," ","-"),"/","-"),CHAR(39),"")),"")&amp;IF(I590="Duplicate","_Dub"&amp;IF(SUMPRODUCT(($B$2:B590=B590)*($D$2:D590=D590)*($E$2:E590=E590)*($F$2:F590=F590)*($G$2:G590=G590)*($I$2:I590="Duplicate"))&lt;=1,"",SUMPRODUCT(($B$2:B590=B590)*($D$2:D590=D590)*($E$2:E590=E590)*($F$2:F590=F590)*($G$2:G590=G590)*($I$2:I590="Duplicate"))-1),"")&amp;".jpeg")</f>
        <v/>
      </c>
      <c r="L590" s="6"/>
      <c r="M590" s="5" t="str">
        <f>IFERROR(VLOOKUP(E590,Specifications!$A$2:$D$9,2,FALSE),"")</f>
        <v/>
      </c>
      <c r="N590" s="5" t="str">
        <f>IFERROR(VLOOKUP(E590,Specifications!$A$2:$D$9,3,FALSE),"")</f>
        <v/>
      </c>
      <c r="O590" s="5" t="str">
        <f>IFERROR(VLOOKUP(E590,Specifications!$A$2:$D$9,4,FALSE),"")</f>
        <v/>
      </c>
      <c r="P590" s="8" t="str">
        <f t="shared" si="30"/>
        <v/>
      </c>
      <c r="Q590" s="9"/>
    </row>
    <row r="591" spans="1:17" ht="15">
      <c r="A591" s="5" t="str">
        <f t="shared" si="28"/>
        <v/>
      </c>
      <c r="B591" s="6"/>
      <c r="C591" s="5" t="str">
        <f>IFERROR(VLOOKUP(B591,Lists!$A$2:$B$25,2,FALSE),"")</f>
        <v/>
      </c>
      <c r="D591" s="7"/>
      <c r="E591" s="6"/>
      <c r="F591" s="6" t="str">
        <f t="shared" si="29"/>
        <v/>
      </c>
      <c r="G591" s="6"/>
      <c r="H591" s="6"/>
      <c r="I591" s="6"/>
      <c r="J591" s="7"/>
      <c r="K591" s="5" t="str" cm="1">
        <f t="array" ref="K591">IF(OR(A591="",B591="",D591="",E591=""),"",A591&amp;"_"&amp;SUBSTITUTE(B591," ","-")&amp;"_"&amp;D591&amp;"_"&amp;SUBSTITUTE(SUBSTITUTE(E591," ",""),"€","Euro")&amp;"_"&amp;IF(F591="","Unknown",F591)&amp;IF(F591="Commemorative",IF(G591="","","_"&amp;SUBSTITUTE(SUBSTITUTE(SUBSTITUTE(G591," ","-"),"/","-"),CHAR(39),"")),"")&amp;IF(I591="Duplicate","_Dub"&amp;IF(SUMPRODUCT(($B$2:B591=B591)*($D$2:D591=D591)*($E$2:E591=E591)*($F$2:F591=F591)*($G$2:G591=G591)*($I$2:I591="Duplicate"))&lt;=1,"",SUMPRODUCT(($B$2:B591=B591)*($D$2:D591=D591)*($E$2:E591=E591)*($F$2:F591=F591)*($G$2:G591=G591)*($I$2:I591="Duplicate"))-1),"")&amp;".jpeg")</f>
        <v/>
      </c>
      <c r="L591" s="6"/>
      <c r="M591" s="5" t="str">
        <f>IFERROR(VLOOKUP(E591,Specifications!$A$2:$D$9,2,FALSE),"")</f>
        <v/>
      </c>
      <c r="N591" s="5" t="str">
        <f>IFERROR(VLOOKUP(E591,Specifications!$A$2:$D$9,3,FALSE),"")</f>
        <v/>
      </c>
      <c r="O591" s="5" t="str">
        <f>IFERROR(VLOOKUP(E591,Specifications!$A$2:$D$9,4,FALSE),"")</f>
        <v/>
      </c>
      <c r="P591" s="8" t="str">
        <f t="shared" si="30"/>
        <v/>
      </c>
      <c r="Q591" s="9"/>
    </row>
    <row r="592" spans="1:17" ht="15">
      <c r="A592" s="5" t="str">
        <f t="shared" si="28"/>
        <v/>
      </c>
      <c r="B592" s="6"/>
      <c r="C592" s="5" t="str">
        <f>IFERROR(VLOOKUP(B592,Lists!$A$2:$B$25,2,FALSE),"")</f>
        <v/>
      </c>
      <c r="D592" s="7"/>
      <c r="E592" s="6"/>
      <c r="F592" s="6" t="str">
        <f t="shared" si="29"/>
        <v/>
      </c>
      <c r="G592" s="6"/>
      <c r="H592" s="6"/>
      <c r="I592" s="6"/>
      <c r="J592" s="7"/>
      <c r="K592" s="5" t="str" cm="1">
        <f t="array" ref="K592">IF(OR(A592="",B592="",D592="",E592=""),"",A592&amp;"_"&amp;SUBSTITUTE(B592," ","-")&amp;"_"&amp;D592&amp;"_"&amp;SUBSTITUTE(SUBSTITUTE(E592," ",""),"€","Euro")&amp;"_"&amp;IF(F592="","Unknown",F592)&amp;IF(F592="Commemorative",IF(G592="","","_"&amp;SUBSTITUTE(SUBSTITUTE(SUBSTITUTE(G592," ","-"),"/","-"),CHAR(39),"")),"")&amp;IF(I592="Duplicate","_Dub"&amp;IF(SUMPRODUCT(($B$2:B592=B592)*($D$2:D592=D592)*($E$2:E592=E592)*($F$2:F592=F592)*($G$2:G592=G592)*($I$2:I592="Duplicate"))&lt;=1,"",SUMPRODUCT(($B$2:B592=B592)*($D$2:D592=D592)*($E$2:E592=E592)*($F$2:F592=F592)*($G$2:G592=G592)*($I$2:I592="Duplicate"))-1),"")&amp;".jpeg")</f>
        <v/>
      </c>
      <c r="L592" s="6"/>
      <c r="M592" s="5" t="str">
        <f>IFERROR(VLOOKUP(E592,Specifications!$A$2:$D$9,2,FALSE),"")</f>
        <v/>
      </c>
      <c r="N592" s="5" t="str">
        <f>IFERROR(VLOOKUP(E592,Specifications!$A$2:$D$9,3,FALSE),"")</f>
        <v/>
      </c>
      <c r="O592" s="5" t="str">
        <f>IFERROR(VLOOKUP(E592,Specifications!$A$2:$D$9,4,FALSE),"")</f>
        <v/>
      </c>
      <c r="P592" s="8" t="str">
        <f t="shared" si="30"/>
        <v/>
      </c>
      <c r="Q592" s="9"/>
    </row>
    <row r="593" spans="1:17" ht="15">
      <c r="A593" s="5" t="str">
        <f t="shared" si="28"/>
        <v/>
      </c>
      <c r="B593" s="6"/>
      <c r="C593" s="5" t="str">
        <f>IFERROR(VLOOKUP(B593,Lists!$A$2:$B$25,2,FALSE),"")</f>
        <v/>
      </c>
      <c r="D593" s="7"/>
      <c r="E593" s="6"/>
      <c r="F593" s="6" t="str">
        <f t="shared" si="29"/>
        <v/>
      </c>
      <c r="G593" s="6"/>
      <c r="H593" s="6"/>
      <c r="I593" s="6"/>
      <c r="J593" s="7"/>
      <c r="K593" s="5" t="str" cm="1">
        <f t="array" ref="K593">IF(OR(A593="",B593="",D593="",E593=""),"",A593&amp;"_"&amp;SUBSTITUTE(B593," ","-")&amp;"_"&amp;D593&amp;"_"&amp;SUBSTITUTE(SUBSTITUTE(E593," ",""),"€","Euro")&amp;"_"&amp;IF(F593="","Unknown",F593)&amp;IF(F593="Commemorative",IF(G593="","","_"&amp;SUBSTITUTE(SUBSTITUTE(SUBSTITUTE(G593," ","-"),"/","-"),CHAR(39),"")),"")&amp;IF(I593="Duplicate","_Dub"&amp;IF(SUMPRODUCT(($B$2:B593=B593)*($D$2:D593=D593)*($E$2:E593=E593)*($F$2:F593=F593)*($G$2:G593=G593)*($I$2:I593="Duplicate"))&lt;=1,"",SUMPRODUCT(($B$2:B593=B593)*($D$2:D593=D593)*($E$2:E593=E593)*($F$2:F593=F593)*($G$2:G593=G593)*($I$2:I593="Duplicate"))-1),"")&amp;".jpeg")</f>
        <v/>
      </c>
      <c r="L593" s="6"/>
      <c r="M593" s="5" t="str">
        <f>IFERROR(VLOOKUP(E593,Specifications!$A$2:$D$9,2,FALSE),"")</f>
        <v/>
      </c>
      <c r="N593" s="5" t="str">
        <f>IFERROR(VLOOKUP(E593,Specifications!$A$2:$D$9,3,FALSE),"")</f>
        <v/>
      </c>
      <c r="O593" s="5" t="str">
        <f>IFERROR(VLOOKUP(E593,Specifications!$A$2:$D$9,4,FALSE),"")</f>
        <v/>
      </c>
      <c r="P593" s="8" t="str">
        <f t="shared" si="30"/>
        <v/>
      </c>
      <c r="Q593" s="9"/>
    </row>
    <row r="594" spans="1:17" ht="15">
      <c r="A594" s="5" t="str">
        <f t="shared" si="28"/>
        <v/>
      </c>
      <c r="B594" s="6"/>
      <c r="C594" s="5" t="str">
        <f>IFERROR(VLOOKUP(B594,Lists!$A$2:$B$25,2,FALSE),"")</f>
        <v/>
      </c>
      <c r="D594" s="7"/>
      <c r="E594" s="6"/>
      <c r="F594" s="6" t="str">
        <f t="shared" si="29"/>
        <v/>
      </c>
      <c r="G594" s="6"/>
      <c r="H594" s="6"/>
      <c r="I594" s="6"/>
      <c r="J594" s="7"/>
      <c r="K594" s="5" t="str" cm="1">
        <f t="array" ref="K594">IF(OR(A594="",B594="",D594="",E594=""),"",A594&amp;"_"&amp;SUBSTITUTE(B594," ","-")&amp;"_"&amp;D594&amp;"_"&amp;SUBSTITUTE(SUBSTITUTE(E594," ",""),"€","Euro")&amp;"_"&amp;IF(F594="","Unknown",F594)&amp;IF(F594="Commemorative",IF(G594="","","_"&amp;SUBSTITUTE(SUBSTITUTE(SUBSTITUTE(G594," ","-"),"/","-"),CHAR(39),"")),"")&amp;IF(I594="Duplicate","_Dub"&amp;IF(SUMPRODUCT(($B$2:B594=B594)*($D$2:D594=D594)*($E$2:E594=E594)*($F$2:F594=F594)*($G$2:G594=G594)*($I$2:I594="Duplicate"))&lt;=1,"",SUMPRODUCT(($B$2:B594=B594)*($D$2:D594=D594)*($E$2:E594=E594)*($F$2:F594=F594)*($G$2:G594=G594)*($I$2:I594="Duplicate"))-1),"")&amp;".jpeg")</f>
        <v/>
      </c>
      <c r="L594" s="6"/>
      <c r="M594" s="5" t="str">
        <f>IFERROR(VLOOKUP(E594,Specifications!$A$2:$D$9,2,FALSE),"")</f>
        <v/>
      </c>
      <c r="N594" s="5" t="str">
        <f>IFERROR(VLOOKUP(E594,Specifications!$A$2:$D$9,3,FALSE),"")</f>
        <v/>
      </c>
      <c r="O594" s="5" t="str">
        <f>IFERROR(VLOOKUP(E594,Specifications!$A$2:$D$9,4,FALSE),"")</f>
        <v/>
      </c>
      <c r="P594" s="8" t="str">
        <f t="shared" si="30"/>
        <v/>
      </c>
      <c r="Q594" s="9"/>
    </row>
    <row r="595" spans="1:17" ht="15">
      <c r="A595" s="5" t="str">
        <f t="shared" si="28"/>
        <v/>
      </c>
      <c r="B595" s="6"/>
      <c r="C595" s="5" t="str">
        <f>IFERROR(VLOOKUP(B595,Lists!$A$2:$B$25,2,FALSE),"")</f>
        <v/>
      </c>
      <c r="D595" s="7"/>
      <c r="E595" s="6"/>
      <c r="F595" s="6" t="str">
        <f t="shared" si="29"/>
        <v/>
      </c>
      <c r="G595" s="6"/>
      <c r="H595" s="6"/>
      <c r="I595" s="6"/>
      <c r="J595" s="7"/>
      <c r="K595" s="5" t="str" cm="1">
        <f t="array" ref="K595">IF(OR(A595="",B595="",D595="",E595=""),"",A595&amp;"_"&amp;SUBSTITUTE(B595," ","-")&amp;"_"&amp;D595&amp;"_"&amp;SUBSTITUTE(SUBSTITUTE(E595," ",""),"€","Euro")&amp;"_"&amp;IF(F595="","Unknown",F595)&amp;IF(F595="Commemorative",IF(G595="","","_"&amp;SUBSTITUTE(SUBSTITUTE(SUBSTITUTE(G595," ","-"),"/","-"),CHAR(39),"")),"")&amp;IF(I595="Duplicate","_Dub"&amp;IF(SUMPRODUCT(($B$2:B595=B595)*($D$2:D595=D595)*($E$2:E595=E595)*($F$2:F595=F595)*($G$2:G595=G595)*($I$2:I595="Duplicate"))&lt;=1,"",SUMPRODUCT(($B$2:B595=B595)*($D$2:D595=D595)*($E$2:E595=E595)*($F$2:F595=F595)*($G$2:G595=G595)*($I$2:I595="Duplicate"))-1),"")&amp;".jpeg")</f>
        <v/>
      </c>
      <c r="L595" s="6"/>
      <c r="M595" s="5" t="str">
        <f>IFERROR(VLOOKUP(E595,Specifications!$A$2:$D$9,2,FALSE),"")</f>
        <v/>
      </c>
      <c r="N595" s="5" t="str">
        <f>IFERROR(VLOOKUP(E595,Specifications!$A$2:$D$9,3,FALSE),"")</f>
        <v/>
      </c>
      <c r="O595" s="5" t="str">
        <f>IFERROR(VLOOKUP(E595,Specifications!$A$2:$D$9,4,FALSE),"")</f>
        <v/>
      </c>
      <c r="P595" s="8" t="str">
        <f t="shared" si="30"/>
        <v/>
      </c>
      <c r="Q595" s="9"/>
    </row>
    <row r="596" spans="1:17" ht="15">
      <c r="A596" s="5" t="str">
        <f t="shared" si="28"/>
        <v/>
      </c>
      <c r="B596" s="6"/>
      <c r="C596" s="5" t="str">
        <f>IFERROR(VLOOKUP(B596,Lists!$A$2:$B$25,2,FALSE),"")</f>
        <v/>
      </c>
      <c r="D596" s="7"/>
      <c r="E596" s="6"/>
      <c r="F596" s="6" t="str">
        <f t="shared" si="29"/>
        <v/>
      </c>
      <c r="G596" s="6"/>
      <c r="H596" s="6"/>
      <c r="I596" s="6"/>
      <c r="J596" s="7"/>
      <c r="K596" s="5" t="str" cm="1">
        <f t="array" ref="K596">IF(OR(A596="",B596="",D596="",E596=""),"",A596&amp;"_"&amp;SUBSTITUTE(B596," ","-")&amp;"_"&amp;D596&amp;"_"&amp;SUBSTITUTE(SUBSTITUTE(E596," ",""),"€","Euro")&amp;"_"&amp;IF(F596="","Unknown",F596)&amp;IF(F596="Commemorative",IF(G596="","","_"&amp;SUBSTITUTE(SUBSTITUTE(SUBSTITUTE(G596," ","-"),"/","-"),CHAR(39),"")),"")&amp;IF(I596="Duplicate","_Dub"&amp;IF(SUMPRODUCT(($B$2:B596=B596)*($D$2:D596=D596)*($E$2:E596=E596)*($F$2:F596=F596)*($G$2:G596=G596)*($I$2:I596="Duplicate"))&lt;=1,"",SUMPRODUCT(($B$2:B596=B596)*($D$2:D596=D596)*($E$2:E596=E596)*($F$2:F596=F596)*($G$2:G596=G596)*($I$2:I596="Duplicate"))-1),"")&amp;".jpeg")</f>
        <v/>
      </c>
      <c r="L596" s="6"/>
      <c r="M596" s="5" t="str">
        <f>IFERROR(VLOOKUP(E596,Specifications!$A$2:$D$9,2,FALSE),"")</f>
        <v/>
      </c>
      <c r="N596" s="5" t="str">
        <f>IFERROR(VLOOKUP(E596,Specifications!$A$2:$D$9,3,FALSE),"")</f>
        <v/>
      </c>
      <c r="O596" s="5" t="str">
        <f>IFERROR(VLOOKUP(E596,Specifications!$A$2:$D$9,4,FALSE),"")</f>
        <v/>
      </c>
      <c r="P596" s="8" t="str">
        <f t="shared" si="30"/>
        <v/>
      </c>
      <c r="Q596" s="9"/>
    </row>
    <row r="597" spans="1:17" ht="15">
      <c r="A597" s="5" t="str">
        <f t="shared" si="28"/>
        <v/>
      </c>
      <c r="B597" s="6"/>
      <c r="C597" s="5" t="str">
        <f>IFERROR(VLOOKUP(B597,Lists!$A$2:$B$25,2,FALSE),"")</f>
        <v/>
      </c>
      <c r="D597" s="7"/>
      <c r="E597" s="6"/>
      <c r="F597" s="6" t="str">
        <f t="shared" si="29"/>
        <v/>
      </c>
      <c r="G597" s="6"/>
      <c r="H597" s="6"/>
      <c r="I597" s="6"/>
      <c r="J597" s="7"/>
      <c r="K597" s="5" t="str" cm="1">
        <f t="array" ref="K597">IF(OR(A597="",B597="",D597="",E597=""),"",A597&amp;"_"&amp;SUBSTITUTE(B597," ","-")&amp;"_"&amp;D597&amp;"_"&amp;SUBSTITUTE(SUBSTITUTE(E597," ",""),"€","Euro")&amp;"_"&amp;IF(F597="","Unknown",F597)&amp;IF(F597="Commemorative",IF(G597="","","_"&amp;SUBSTITUTE(SUBSTITUTE(SUBSTITUTE(G597," ","-"),"/","-"),CHAR(39),"")),"")&amp;IF(I597="Duplicate","_Dub"&amp;IF(SUMPRODUCT(($B$2:B597=B597)*($D$2:D597=D597)*($E$2:E597=E597)*($F$2:F597=F597)*($G$2:G597=G597)*($I$2:I597="Duplicate"))&lt;=1,"",SUMPRODUCT(($B$2:B597=B597)*($D$2:D597=D597)*($E$2:E597=E597)*($F$2:F597=F597)*($G$2:G597=G597)*($I$2:I597="Duplicate"))-1),"")&amp;".jpeg")</f>
        <v/>
      </c>
      <c r="L597" s="6"/>
      <c r="M597" s="5" t="str">
        <f>IFERROR(VLOOKUP(E597,Specifications!$A$2:$D$9,2,FALSE),"")</f>
        <v/>
      </c>
      <c r="N597" s="5" t="str">
        <f>IFERROR(VLOOKUP(E597,Specifications!$A$2:$D$9,3,FALSE),"")</f>
        <v/>
      </c>
      <c r="O597" s="5" t="str">
        <f>IFERROR(VLOOKUP(E597,Specifications!$A$2:$D$9,4,FALSE),"")</f>
        <v/>
      </c>
      <c r="P597" s="8" t="str">
        <f t="shared" si="30"/>
        <v/>
      </c>
      <c r="Q597" s="9"/>
    </row>
    <row r="598" spans="1:17" ht="15">
      <c r="A598" s="5" t="str">
        <f t="shared" si="28"/>
        <v/>
      </c>
      <c r="B598" s="6"/>
      <c r="C598" s="5" t="str">
        <f>IFERROR(VLOOKUP(B598,Lists!$A$2:$B$25,2,FALSE),"")</f>
        <v/>
      </c>
      <c r="D598" s="7"/>
      <c r="E598" s="6"/>
      <c r="F598" s="6" t="str">
        <f t="shared" si="29"/>
        <v/>
      </c>
      <c r="G598" s="6"/>
      <c r="H598" s="6"/>
      <c r="I598" s="6"/>
      <c r="J598" s="7"/>
      <c r="K598" s="5" t="str" cm="1">
        <f t="array" ref="K598">IF(OR(A598="",B598="",D598="",E598=""),"",A598&amp;"_"&amp;SUBSTITUTE(B598," ","-")&amp;"_"&amp;D598&amp;"_"&amp;SUBSTITUTE(SUBSTITUTE(E598," ",""),"€","Euro")&amp;"_"&amp;IF(F598="","Unknown",F598)&amp;IF(F598="Commemorative",IF(G598="","","_"&amp;SUBSTITUTE(SUBSTITUTE(SUBSTITUTE(G598," ","-"),"/","-"),CHAR(39),"")),"")&amp;IF(I598="Duplicate","_Dub"&amp;IF(SUMPRODUCT(($B$2:B598=B598)*($D$2:D598=D598)*($E$2:E598=E598)*($F$2:F598=F598)*($G$2:G598=G598)*($I$2:I598="Duplicate"))&lt;=1,"",SUMPRODUCT(($B$2:B598=B598)*($D$2:D598=D598)*($E$2:E598=E598)*($F$2:F598=F598)*($G$2:G598=G598)*($I$2:I598="Duplicate"))-1),"")&amp;".jpeg")</f>
        <v/>
      </c>
      <c r="L598" s="6"/>
      <c r="M598" s="5" t="str">
        <f>IFERROR(VLOOKUP(E598,Specifications!$A$2:$D$9,2,FALSE),"")</f>
        <v/>
      </c>
      <c r="N598" s="5" t="str">
        <f>IFERROR(VLOOKUP(E598,Specifications!$A$2:$D$9,3,FALSE),"")</f>
        <v/>
      </c>
      <c r="O598" s="5" t="str">
        <f>IFERROR(VLOOKUP(E598,Specifications!$A$2:$D$9,4,FALSE),"")</f>
        <v/>
      </c>
      <c r="P598" s="8" t="str">
        <f t="shared" si="30"/>
        <v/>
      </c>
      <c r="Q598" s="9"/>
    </row>
    <row r="599" spans="1:17" ht="15">
      <c r="A599" s="5" t="str">
        <f t="shared" si="28"/>
        <v/>
      </c>
      <c r="B599" s="6"/>
      <c r="C599" s="5" t="str">
        <f>IFERROR(VLOOKUP(B599,Lists!$A$2:$B$25,2,FALSE),"")</f>
        <v/>
      </c>
      <c r="D599" s="7"/>
      <c r="E599" s="6"/>
      <c r="F599" s="6" t="str">
        <f t="shared" si="29"/>
        <v/>
      </c>
      <c r="G599" s="6"/>
      <c r="H599" s="6"/>
      <c r="I599" s="6"/>
      <c r="J599" s="7"/>
      <c r="K599" s="5" t="str" cm="1">
        <f t="array" ref="K599">IF(OR(A599="",B599="",D599="",E599=""),"",A599&amp;"_"&amp;SUBSTITUTE(B599," ","-")&amp;"_"&amp;D599&amp;"_"&amp;SUBSTITUTE(SUBSTITUTE(E599," ",""),"€","Euro")&amp;"_"&amp;IF(F599="","Unknown",F599)&amp;IF(F599="Commemorative",IF(G599="","","_"&amp;SUBSTITUTE(SUBSTITUTE(SUBSTITUTE(G599," ","-"),"/","-"),CHAR(39),"")),"")&amp;IF(I599="Duplicate","_Dub"&amp;IF(SUMPRODUCT(($B$2:B599=B599)*($D$2:D599=D599)*($E$2:E599=E599)*($F$2:F599=F599)*($G$2:G599=G599)*($I$2:I599="Duplicate"))&lt;=1,"",SUMPRODUCT(($B$2:B599=B599)*($D$2:D599=D599)*($E$2:E599=E599)*($F$2:F599=F599)*($G$2:G599=G599)*($I$2:I599="Duplicate"))-1),"")&amp;".jpeg")</f>
        <v/>
      </c>
      <c r="L599" s="6"/>
      <c r="M599" s="5" t="str">
        <f>IFERROR(VLOOKUP(E599,Specifications!$A$2:$D$9,2,FALSE),"")</f>
        <v/>
      </c>
      <c r="N599" s="5" t="str">
        <f>IFERROR(VLOOKUP(E599,Specifications!$A$2:$D$9,3,FALSE),"")</f>
        <v/>
      </c>
      <c r="O599" s="5" t="str">
        <f>IFERROR(VLOOKUP(E599,Specifications!$A$2:$D$9,4,FALSE),"")</f>
        <v/>
      </c>
      <c r="P599" s="8" t="str">
        <f t="shared" si="30"/>
        <v/>
      </c>
      <c r="Q599" s="9"/>
    </row>
    <row r="600" spans="1:17" ht="15">
      <c r="A600" s="5" t="str">
        <f t="shared" si="28"/>
        <v/>
      </c>
      <c r="B600" s="6"/>
      <c r="C600" s="5" t="str">
        <f>IFERROR(VLOOKUP(B600,Lists!$A$2:$B$25,2,FALSE),"")</f>
        <v/>
      </c>
      <c r="D600" s="7"/>
      <c r="E600" s="6"/>
      <c r="F600" s="6" t="str">
        <f t="shared" si="29"/>
        <v/>
      </c>
      <c r="G600" s="6"/>
      <c r="H600" s="6"/>
      <c r="I600" s="6"/>
      <c r="J600" s="7"/>
      <c r="K600" s="5" t="str" cm="1">
        <f t="array" ref="K600">IF(OR(A600="",B600="",D600="",E600=""),"",A600&amp;"_"&amp;SUBSTITUTE(B600," ","-")&amp;"_"&amp;D600&amp;"_"&amp;SUBSTITUTE(SUBSTITUTE(E600," ",""),"€","Euro")&amp;"_"&amp;IF(F600="","Unknown",F600)&amp;IF(F600="Commemorative",IF(G600="","","_"&amp;SUBSTITUTE(SUBSTITUTE(SUBSTITUTE(G600," ","-"),"/","-"),CHAR(39),"")),"")&amp;IF(I600="Duplicate","_Dub"&amp;IF(SUMPRODUCT(($B$2:B600=B600)*($D$2:D600=D600)*($E$2:E600=E600)*($F$2:F600=F600)*($G$2:G600=G600)*($I$2:I600="Duplicate"))&lt;=1,"",SUMPRODUCT(($B$2:B600=B600)*($D$2:D600=D600)*($E$2:E600=E600)*($F$2:F600=F600)*($G$2:G600=G600)*($I$2:I600="Duplicate"))-1),"")&amp;".jpeg")</f>
        <v/>
      </c>
      <c r="L600" s="6"/>
      <c r="M600" s="5" t="str">
        <f>IFERROR(VLOOKUP(E600,Specifications!$A$2:$D$9,2,FALSE),"")</f>
        <v/>
      </c>
      <c r="N600" s="5" t="str">
        <f>IFERROR(VLOOKUP(E600,Specifications!$A$2:$D$9,3,FALSE),"")</f>
        <v/>
      </c>
      <c r="O600" s="5" t="str">
        <f>IFERROR(VLOOKUP(E600,Specifications!$A$2:$D$9,4,FALSE),"")</f>
        <v/>
      </c>
      <c r="P600" s="8" t="str">
        <f t="shared" si="30"/>
        <v/>
      </c>
      <c r="Q600" s="9"/>
    </row>
    <row r="601" spans="1:17" ht="15">
      <c r="A601" s="5" t="str">
        <f t="shared" si="28"/>
        <v/>
      </c>
      <c r="B601" s="6"/>
      <c r="C601" s="5" t="str">
        <f>IFERROR(VLOOKUP(B601,Lists!$A$2:$B$25,2,FALSE),"")</f>
        <v/>
      </c>
      <c r="D601" s="7"/>
      <c r="E601" s="6"/>
      <c r="F601" s="6" t="str">
        <f t="shared" si="29"/>
        <v/>
      </c>
      <c r="G601" s="6"/>
      <c r="H601" s="6"/>
      <c r="I601" s="6"/>
      <c r="J601" s="7"/>
      <c r="K601" s="5" t="str" cm="1">
        <f t="array" ref="K601">IF(OR(A601="",B601="",D601="",E601=""),"",A601&amp;"_"&amp;SUBSTITUTE(B601," ","-")&amp;"_"&amp;D601&amp;"_"&amp;SUBSTITUTE(SUBSTITUTE(E601," ",""),"€","Euro")&amp;"_"&amp;IF(F601="","Unknown",F601)&amp;IF(F601="Commemorative",IF(G601="","","_"&amp;SUBSTITUTE(SUBSTITUTE(SUBSTITUTE(G601," ","-"),"/","-"),CHAR(39),"")),"")&amp;IF(I601="Duplicate","_Dub"&amp;IF(SUMPRODUCT(($B$2:B601=B601)*($D$2:D601=D601)*($E$2:E601=E601)*($F$2:F601=F601)*($G$2:G601=G601)*($I$2:I601="Duplicate"))&lt;=1,"",SUMPRODUCT(($B$2:B601=B601)*($D$2:D601=D601)*($E$2:E601=E601)*($F$2:F601=F601)*($G$2:G601=G601)*($I$2:I601="Duplicate"))-1),"")&amp;".jpeg")</f>
        <v/>
      </c>
      <c r="L601" s="6"/>
      <c r="M601" s="5" t="str">
        <f>IFERROR(VLOOKUP(E601,Specifications!$A$2:$D$9,2,FALSE),"")</f>
        <v/>
      </c>
      <c r="N601" s="5" t="str">
        <f>IFERROR(VLOOKUP(E601,Specifications!$A$2:$D$9,3,FALSE),"")</f>
        <v/>
      </c>
      <c r="O601" s="5" t="str">
        <f>IFERROR(VLOOKUP(E601,Specifications!$A$2:$D$9,4,FALSE),"")</f>
        <v/>
      </c>
      <c r="P601" s="8" t="str">
        <f t="shared" si="30"/>
        <v/>
      </c>
      <c r="Q601" s="9"/>
    </row>
    <row r="602" spans="1:17" ht="15">
      <c r="A602" s="5" t="str">
        <f t="shared" si="28"/>
        <v/>
      </c>
      <c r="B602" s="6"/>
      <c r="C602" s="5" t="str">
        <f>IFERROR(VLOOKUP(B602,Lists!$A$2:$B$25,2,FALSE),"")</f>
        <v/>
      </c>
      <c r="D602" s="7"/>
      <c r="E602" s="6"/>
      <c r="F602" s="6" t="str">
        <f t="shared" si="29"/>
        <v/>
      </c>
      <c r="G602" s="6"/>
      <c r="H602" s="6"/>
      <c r="I602" s="6"/>
      <c r="J602" s="7"/>
      <c r="K602" s="5" t="str" cm="1">
        <f t="array" ref="K602">IF(OR(A602="",B602="",D602="",E602=""),"",A602&amp;"_"&amp;SUBSTITUTE(B602," ","-")&amp;"_"&amp;D602&amp;"_"&amp;SUBSTITUTE(SUBSTITUTE(E602," ",""),"€","Euro")&amp;"_"&amp;IF(F602="","Unknown",F602)&amp;IF(F602="Commemorative",IF(G602="","","_"&amp;SUBSTITUTE(SUBSTITUTE(SUBSTITUTE(G602," ","-"),"/","-"),CHAR(39),"")),"")&amp;IF(I602="Duplicate","_Dub"&amp;IF(SUMPRODUCT(($B$2:B602=B602)*($D$2:D602=D602)*($E$2:E602=E602)*($F$2:F602=F602)*($G$2:G602=G602)*($I$2:I602="Duplicate"))&lt;=1,"",SUMPRODUCT(($B$2:B602=B602)*($D$2:D602=D602)*($E$2:E602=E602)*($F$2:F602=F602)*($G$2:G602=G602)*($I$2:I602="Duplicate"))-1),"")&amp;".jpeg")</f>
        <v/>
      </c>
      <c r="L602" s="6"/>
      <c r="M602" s="5" t="str">
        <f>IFERROR(VLOOKUP(E602,Specifications!$A$2:$D$9,2,FALSE),"")</f>
        <v/>
      </c>
      <c r="N602" s="5" t="str">
        <f>IFERROR(VLOOKUP(E602,Specifications!$A$2:$D$9,3,FALSE),"")</f>
        <v/>
      </c>
      <c r="O602" s="5" t="str">
        <f>IFERROR(VLOOKUP(E602,Specifications!$A$2:$D$9,4,FALSE),"")</f>
        <v/>
      </c>
      <c r="P602" s="8" t="str">
        <f t="shared" si="30"/>
        <v/>
      </c>
      <c r="Q602" s="9"/>
    </row>
    <row r="603" spans="1:17" ht="15">
      <c r="A603" s="5" t="str">
        <f t="shared" si="28"/>
        <v/>
      </c>
      <c r="B603" s="6"/>
      <c r="C603" s="5" t="str">
        <f>IFERROR(VLOOKUP(B603,Lists!$A$2:$B$25,2,FALSE),"")</f>
        <v/>
      </c>
      <c r="D603" s="7"/>
      <c r="E603" s="6"/>
      <c r="F603" s="6" t="str">
        <f t="shared" si="29"/>
        <v/>
      </c>
      <c r="G603" s="6"/>
      <c r="H603" s="6"/>
      <c r="I603" s="6"/>
      <c r="J603" s="7"/>
      <c r="K603" s="5" t="str" cm="1">
        <f t="array" ref="K603">IF(OR(A603="",B603="",D603="",E603=""),"",A603&amp;"_"&amp;SUBSTITUTE(B603," ","-")&amp;"_"&amp;D603&amp;"_"&amp;SUBSTITUTE(SUBSTITUTE(E603," ",""),"€","Euro")&amp;"_"&amp;IF(F603="","Unknown",F603)&amp;IF(F603="Commemorative",IF(G603="","","_"&amp;SUBSTITUTE(SUBSTITUTE(SUBSTITUTE(G603," ","-"),"/","-"),CHAR(39),"")),"")&amp;IF(I603="Duplicate","_Dub"&amp;IF(SUMPRODUCT(($B$2:B603=B603)*($D$2:D603=D603)*($E$2:E603=E603)*($F$2:F603=F603)*($G$2:G603=G603)*($I$2:I603="Duplicate"))&lt;=1,"",SUMPRODUCT(($B$2:B603=B603)*($D$2:D603=D603)*($E$2:E603=E603)*($F$2:F603=F603)*($G$2:G603=G603)*($I$2:I603="Duplicate"))-1),"")&amp;".jpeg")</f>
        <v/>
      </c>
      <c r="L603" s="6"/>
      <c r="M603" s="5" t="str">
        <f>IFERROR(VLOOKUP(E603,Specifications!$A$2:$D$9,2,FALSE),"")</f>
        <v/>
      </c>
      <c r="N603" s="5" t="str">
        <f>IFERROR(VLOOKUP(E603,Specifications!$A$2:$D$9,3,FALSE),"")</f>
        <v/>
      </c>
      <c r="O603" s="5" t="str">
        <f>IFERROR(VLOOKUP(E603,Specifications!$A$2:$D$9,4,FALSE),"")</f>
        <v/>
      </c>
      <c r="P603" s="8" t="str">
        <f t="shared" si="30"/>
        <v/>
      </c>
      <c r="Q603" s="9"/>
    </row>
    <row r="604" spans="1:17" ht="15">
      <c r="A604" s="5" t="str">
        <f t="shared" si="28"/>
        <v/>
      </c>
      <c r="B604" s="6"/>
      <c r="C604" s="5" t="str">
        <f>IFERROR(VLOOKUP(B604,Lists!$A$2:$B$25,2,FALSE),"")</f>
        <v/>
      </c>
      <c r="D604" s="7"/>
      <c r="E604" s="6"/>
      <c r="F604" s="6" t="str">
        <f t="shared" si="29"/>
        <v/>
      </c>
      <c r="G604" s="6"/>
      <c r="H604" s="6"/>
      <c r="I604" s="6"/>
      <c r="J604" s="7"/>
      <c r="K604" s="5" t="str" cm="1">
        <f t="array" ref="K604">IF(OR(A604="",B604="",D604="",E604=""),"",A604&amp;"_"&amp;SUBSTITUTE(B604," ","-")&amp;"_"&amp;D604&amp;"_"&amp;SUBSTITUTE(SUBSTITUTE(E604," ",""),"€","Euro")&amp;"_"&amp;IF(F604="","Unknown",F604)&amp;IF(F604="Commemorative",IF(G604="","","_"&amp;SUBSTITUTE(SUBSTITUTE(SUBSTITUTE(G604," ","-"),"/","-"),CHAR(39),"")),"")&amp;IF(I604="Duplicate","_Dub"&amp;IF(SUMPRODUCT(($B$2:B604=B604)*($D$2:D604=D604)*($E$2:E604=E604)*($F$2:F604=F604)*($G$2:G604=G604)*($I$2:I604="Duplicate"))&lt;=1,"",SUMPRODUCT(($B$2:B604=B604)*($D$2:D604=D604)*($E$2:E604=E604)*($F$2:F604=F604)*($G$2:G604=G604)*($I$2:I604="Duplicate"))-1),"")&amp;".jpeg")</f>
        <v/>
      </c>
      <c r="L604" s="6"/>
      <c r="M604" s="5" t="str">
        <f>IFERROR(VLOOKUP(E604,Specifications!$A$2:$D$9,2,FALSE),"")</f>
        <v/>
      </c>
      <c r="N604" s="5" t="str">
        <f>IFERROR(VLOOKUP(E604,Specifications!$A$2:$D$9,3,FALSE),"")</f>
        <v/>
      </c>
      <c r="O604" s="5" t="str">
        <f>IFERROR(VLOOKUP(E604,Specifications!$A$2:$D$9,4,FALSE),"")</f>
        <v/>
      </c>
      <c r="P604" s="8" t="str">
        <f t="shared" si="30"/>
        <v/>
      </c>
      <c r="Q604" s="9"/>
    </row>
    <row r="605" spans="1:17" ht="15">
      <c r="A605" s="5" t="str">
        <f t="shared" si="28"/>
        <v/>
      </c>
      <c r="B605" s="6"/>
      <c r="C605" s="5" t="str">
        <f>IFERROR(VLOOKUP(B605,Lists!$A$2:$B$25,2,FALSE),"")</f>
        <v/>
      </c>
      <c r="D605" s="7"/>
      <c r="E605" s="6"/>
      <c r="F605" s="6" t="str">
        <f t="shared" si="29"/>
        <v/>
      </c>
      <c r="G605" s="6"/>
      <c r="H605" s="6"/>
      <c r="I605" s="6"/>
      <c r="J605" s="7"/>
      <c r="K605" s="5" t="str" cm="1">
        <f t="array" ref="K605">IF(OR(A605="",B605="",D605="",E605=""),"",A605&amp;"_"&amp;SUBSTITUTE(B605," ","-")&amp;"_"&amp;D605&amp;"_"&amp;SUBSTITUTE(SUBSTITUTE(E605," ",""),"€","Euro")&amp;"_"&amp;IF(F605="","Unknown",F605)&amp;IF(F605="Commemorative",IF(G605="","","_"&amp;SUBSTITUTE(SUBSTITUTE(SUBSTITUTE(G605," ","-"),"/","-"),CHAR(39),"")),"")&amp;IF(I605="Duplicate","_Dub"&amp;IF(SUMPRODUCT(($B$2:B605=B605)*($D$2:D605=D605)*($E$2:E605=E605)*($F$2:F605=F605)*($G$2:G605=G605)*($I$2:I605="Duplicate"))&lt;=1,"",SUMPRODUCT(($B$2:B605=B605)*($D$2:D605=D605)*($E$2:E605=E605)*($F$2:F605=F605)*($G$2:G605=G605)*($I$2:I605="Duplicate"))-1),"")&amp;".jpeg")</f>
        <v/>
      </c>
      <c r="L605" s="6"/>
      <c r="M605" s="5" t="str">
        <f>IFERROR(VLOOKUP(E605,Specifications!$A$2:$D$9,2,FALSE),"")</f>
        <v/>
      </c>
      <c r="N605" s="5" t="str">
        <f>IFERROR(VLOOKUP(E605,Specifications!$A$2:$D$9,3,FALSE),"")</f>
        <v/>
      </c>
      <c r="O605" s="5" t="str">
        <f>IFERROR(VLOOKUP(E605,Specifications!$A$2:$D$9,4,FALSE),"")</f>
        <v/>
      </c>
      <c r="P605" s="8" t="str">
        <f t="shared" si="30"/>
        <v/>
      </c>
      <c r="Q605" s="9"/>
    </row>
    <row r="606" spans="1:17" ht="15">
      <c r="A606" s="5" t="str">
        <f t="shared" si="28"/>
        <v/>
      </c>
      <c r="B606" s="6"/>
      <c r="C606" s="5" t="str">
        <f>IFERROR(VLOOKUP(B606,Lists!$A$2:$B$25,2,FALSE),"")</f>
        <v/>
      </c>
      <c r="D606" s="7"/>
      <c r="E606" s="6"/>
      <c r="F606" s="6" t="str">
        <f t="shared" si="29"/>
        <v/>
      </c>
      <c r="G606" s="6"/>
      <c r="H606" s="6"/>
      <c r="I606" s="6"/>
      <c r="J606" s="7"/>
      <c r="K606" s="5" t="str" cm="1">
        <f t="array" ref="K606">IF(OR(A606="",B606="",D606="",E606=""),"",A606&amp;"_"&amp;SUBSTITUTE(B606," ","-")&amp;"_"&amp;D606&amp;"_"&amp;SUBSTITUTE(SUBSTITUTE(E606," ",""),"€","Euro")&amp;"_"&amp;IF(F606="","Unknown",F606)&amp;IF(F606="Commemorative",IF(G606="","","_"&amp;SUBSTITUTE(SUBSTITUTE(SUBSTITUTE(G606," ","-"),"/","-"),CHAR(39),"")),"")&amp;IF(I606="Duplicate","_Dub"&amp;IF(SUMPRODUCT(($B$2:B606=B606)*($D$2:D606=D606)*($E$2:E606=E606)*($F$2:F606=F606)*($G$2:G606=G606)*($I$2:I606="Duplicate"))&lt;=1,"",SUMPRODUCT(($B$2:B606=B606)*($D$2:D606=D606)*($E$2:E606=E606)*($F$2:F606=F606)*($G$2:G606=G606)*($I$2:I606="Duplicate"))-1),"")&amp;".jpeg")</f>
        <v/>
      </c>
      <c r="L606" s="6"/>
      <c r="M606" s="5" t="str">
        <f>IFERROR(VLOOKUP(E606,Specifications!$A$2:$D$9,2,FALSE),"")</f>
        <v/>
      </c>
      <c r="N606" s="5" t="str">
        <f>IFERROR(VLOOKUP(E606,Specifications!$A$2:$D$9,3,FALSE),"")</f>
        <v/>
      </c>
      <c r="O606" s="5" t="str">
        <f>IFERROR(VLOOKUP(E606,Specifications!$A$2:$D$9,4,FALSE),"")</f>
        <v/>
      </c>
      <c r="P606" s="8" t="str">
        <f t="shared" si="30"/>
        <v/>
      </c>
      <c r="Q606" s="9"/>
    </row>
    <row r="607" spans="1:17" ht="15">
      <c r="A607" s="5" t="str">
        <f t="shared" si="28"/>
        <v/>
      </c>
      <c r="B607" s="6"/>
      <c r="C607" s="5" t="str">
        <f>IFERROR(VLOOKUP(B607,Lists!$A$2:$B$25,2,FALSE),"")</f>
        <v/>
      </c>
      <c r="D607" s="7"/>
      <c r="E607" s="6"/>
      <c r="F607" s="6" t="str">
        <f t="shared" si="29"/>
        <v/>
      </c>
      <c r="G607" s="6"/>
      <c r="H607" s="6"/>
      <c r="I607" s="6"/>
      <c r="J607" s="7"/>
      <c r="K607" s="5" t="str" cm="1">
        <f t="array" ref="K607">IF(OR(A607="",B607="",D607="",E607=""),"",A607&amp;"_"&amp;SUBSTITUTE(B607," ","-")&amp;"_"&amp;D607&amp;"_"&amp;SUBSTITUTE(SUBSTITUTE(E607," ",""),"€","Euro")&amp;"_"&amp;IF(F607="","Unknown",F607)&amp;IF(F607="Commemorative",IF(G607="","","_"&amp;SUBSTITUTE(SUBSTITUTE(SUBSTITUTE(G607," ","-"),"/","-"),CHAR(39),"")),"")&amp;IF(I607="Duplicate","_Dub"&amp;IF(SUMPRODUCT(($B$2:B607=B607)*($D$2:D607=D607)*($E$2:E607=E607)*($F$2:F607=F607)*($G$2:G607=G607)*($I$2:I607="Duplicate"))&lt;=1,"",SUMPRODUCT(($B$2:B607=B607)*($D$2:D607=D607)*($E$2:E607=E607)*($F$2:F607=F607)*($G$2:G607=G607)*($I$2:I607="Duplicate"))-1),"")&amp;".jpeg")</f>
        <v/>
      </c>
      <c r="L607" s="6"/>
      <c r="M607" s="5" t="str">
        <f>IFERROR(VLOOKUP(E607,Specifications!$A$2:$D$9,2,FALSE),"")</f>
        <v/>
      </c>
      <c r="N607" s="5" t="str">
        <f>IFERROR(VLOOKUP(E607,Specifications!$A$2:$D$9,3,FALSE),"")</f>
        <v/>
      </c>
      <c r="O607" s="5" t="str">
        <f>IFERROR(VLOOKUP(E607,Specifications!$A$2:$D$9,4,FALSE),"")</f>
        <v/>
      </c>
      <c r="P607" s="8" t="str">
        <f t="shared" si="30"/>
        <v/>
      </c>
      <c r="Q607" s="9"/>
    </row>
    <row r="608" spans="1:17" ht="15">
      <c r="A608" s="5" t="str">
        <f t="shared" si="28"/>
        <v/>
      </c>
      <c r="B608" s="6"/>
      <c r="C608" s="5" t="str">
        <f>IFERROR(VLOOKUP(B608,Lists!$A$2:$B$25,2,FALSE),"")</f>
        <v/>
      </c>
      <c r="D608" s="7"/>
      <c r="E608" s="6"/>
      <c r="F608" s="6" t="str">
        <f t="shared" si="29"/>
        <v/>
      </c>
      <c r="G608" s="6"/>
      <c r="H608" s="6"/>
      <c r="I608" s="6"/>
      <c r="J608" s="7"/>
      <c r="K608" s="5" t="str" cm="1">
        <f t="array" ref="K608">IF(OR(A608="",B608="",D608="",E608=""),"",A608&amp;"_"&amp;SUBSTITUTE(B608," ","-")&amp;"_"&amp;D608&amp;"_"&amp;SUBSTITUTE(SUBSTITUTE(E608," ",""),"€","Euro")&amp;"_"&amp;IF(F608="","Unknown",F608)&amp;IF(F608="Commemorative",IF(G608="","","_"&amp;SUBSTITUTE(SUBSTITUTE(SUBSTITUTE(G608," ","-"),"/","-"),CHAR(39),"")),"")&amp;IF(I608="Duplicate","_Dub"&amp;IF(SUMPRODUCT(($B$2:B608=B608)*($D$2:D608=D608)*($E$2:E608=E608)*($F$2:F608=F608)*($G$2:G608=G608)*($I$2:I608="Duplicate"))&lt;=1,"",SUMPRODUCT(($B$2:B608=B608)*($D$2:D608=D608)*($E$2:E608=E608)*($F$2:F608=F608)*($G$2:G608=G608)*($I$2:I608="Duplicate"))-1),"")&amp;".jpeg")</f>
        <v/>
      </c>
      <c r="L608" s="6"/>
      <c r="M608" s="5" t="str">
        <f>IFERROR(VLOOKUP(E608,Specifications!$A$2:$D$9,2,FALSE),"")</f>
        <v/>
      </c>
      <c r="N608" s="5" t="str">
        <f>IFERROR(VLOOKUP(E608,Specifications!$A$2:$D$9,3,FALSE),"")</f>
        <v/>
      </c>
      <c r="O608" s="5" t="str">
        <f>IFERROR(VLOOKUP(E608,Specifications!$A$2:$D$9,4,FALSE),"")</f>
        <v/>
      </c>
      <c r="P608" s="8" t="str">
        <f t="shared" si="30"/>
        <v/>
      </c>
      <c r="Q608" s="9"/>
    </row>
    <row r="609" spans="1:17" ht="15">
      <c r="A609" s="5" t="str">
        <f t="shared" si="28"/>
        <v/>
      </c>
      <c r="B609" s="6"/>
      <c r="C609" s="5" t="str">
        <f>IFERROR(VLOOKUP(B609,Lists!$A$2:$B$25,2,FALSE),"")</f>
        <v/>
      </c>
      <c r="D609" s="7"/>
      <c r="E609" s="6"/>
      <c r="F609" s="6" t="str">
        <f t="shared" si="29"/>
        <v/>
      </c>
      <c r="G609" s="6"/>
      <c r="H609" s="6"/>
      <c r="I609" s="6"/>
      <c r="J609" s="7"/>
      <c r="K609" s="5" t="str" cm="1">
        <f t="array" ref="K609">IF(OR(A609="",B609="",D609="",E609=""),"",A609&amp;"_"&amp;SUBSTITUTE(B609," ","-")&amp;"_"&amp;D609&amp;"_"&amp;SUBSTITUTE(SUBSTITUTE(E609," ",""),"€","Euro")&amp;"_"&amp;IF(F609="","Unknown",F609)&amp;IF(F609="Commemorative",IF(G609="","","_"&amp;SUBSTITUTE(SUBSTITUTE(SUBSTITUTE(G609," ","-"),"/","-"),CHAR(39),"")),"")&amp;IF(I609="Duplicate","_Dub"&amp;IF(SUMPRODUCT(($B$2:B609=B609)*($D$2:D609=D609)*($E$2:E609=E609)*($F$2:F609=F609)*($G$2:G609=G609)*($I$2:I609="Duplicate"))&lt;=1,"",SUMPRODUCT(($B$2:B609=B609)*($D$2:D609=D609)*($E$2:E609=E609)*($F$2:F609=F609)*($G$2:G609=G609)*($I$2:I609="Duplicate"))-1),"")&amp;".jpeg")</f>
        <v/>
      </c>
      <c r="L609" s="6"/>
      <c r="M609" s="5" t="str">
        <f>IFERROR(VLOOKUP(E609,Specifications!$A$2:$D$9,2,FALSE),"")</f>
        <v/>
      </c>
      <c r="N609" s="5" t="str">
        <f>IFERROR(VLOOKUP(E609,Specifications!$A$2:$D$9,3,FALSE),"")</f>
        <v/>
      </c>
      <c r="O609" s="5" t="str">
        <f>IFERROR(VLOOKUP(E609,Specifications!$A$2:$D$9,4,FALSE),"")</f>
        <v/>
      </c>
      <c r="P609" s="8" t="str">
        <f t="shared" si="30"/>
        <v/>
      </c>
      <c r="Q609" s="9"/>
    </row>
    <row r="610" spans="1:17" ht="15">
      <c r="A610" s="5" t="str">
        <f t="shared" si="28"/>
        <v/>
      </c>
      <c r="B610" s="6"/>
      <c r="C610" s="5" t="str">
        <f>IFERROR(VLOOKUP(B610,Lists!$A$2:$B$25,2,FALSE),"")</f>
        <v/>
      </c>
      <c r="D610" s="7"/>
      <c r="E610" s="6"/>
      <c r="F610" s="6" t="str">
        <f t="shared" si="29"/>
        <v/>
      </c>
      <c r="G610" s="6"/>
      <c r="H610" s="6"/>
      <c r="I610" s="6"/>
      <c r="J610" s="7"/>
      <c r="K610" s="5" t="str" cm="1">
        <f t="array" ref="K610">IF(OR(A610="",B610="",D610="",E610=""),"",A610&amp;"_"&amp;SUBSTITUTE(B610," ","-")&amp;"_"&amp;D610&amp;"_"&amp;SUBSTITUTE(SUBSTITUTE(E610," ",""),"€","Euro")&amp;"_"&amp;IF(F610="","Unknown",F610)&amp;IF(F610="Commemorative",IF(G610="","","_"&amp;SUBSTITUTE(SUBSTITUTE(SUBSTITUTE(G610," ","-"),"/","-"),CHAR(39),"")),"")&amp;IF(I610="Duplicate","_Dub"&amp;IF(SUMPRODUCT(($B$2:B610=B610)*($D$2:D610=D610)*($E$2:E610=E610)*($F$2:F610=F610)*($G$2:G610=G610)*($I$2:I610="Duplicate"))&lt;=1,"",SUMPRODUCT(($B$2:B610=B610)*($D$2:D610=D610)*($E$2:E610=E610)*($F$2:F610=F610)*($G$2:G610=G610)*($I$2:I610="Duplicate"))-1),"")&amp;".jpeg")</f>
        <v/>
      </c>
      <c r="L610" s="6"/>
      <c r="M610" s="5" t="str">
        <f>IFERROR(VLOOKUP(E610,Specifications!$A$2:$D$9,2,FALSE),"")</f>
        <v/>
      </c>
      <c r="N610" s="5" t="str">
        <f>IFERROR(VLOOKUP(E610,Specifications!$A$2:$D$9,3,FALSE),"")</f>
        <v/>
      </c>
      <c r="O610" s="5" t="str">
        <f>IFERROR(VLOOKUP(E610,Specifications!$A$2:$D$9,4,FALSE),"")</f>
        <v/>
      </c>
      <c r="P610" s="8" t="str">
        <f t="shared" si="30"/>
        <v/>
      </c>
      <c r="Q610" s="9"/>
    </row>
    <row r="611" spans="1:17" ht="15">
      <c r="A611" s="5" t="str">
        <f t="shared" si="28"/>
        <v/>
      </c>
      <c r="B611" s="6"/>
      <c r="C611" s="5" t="str">
        <f>IFERROR(VLOOKUP(B611,Lists!$A$2:$B$25,2,FALSE),"")</f>
        <v/>
      </c>
      <c r="D611" s="7"/>
      <c r="E611" s="6"/>
      <c r="F611" s="6" t="str">
        <f t="shared" si="29"/>
        <v/>
      </c>
      <c r="G611" s="6"/>
      <c r="H611" s="6"/>
      <c r="I611" s="6"/>
      <c r="J611" s="7"/>
      <c r="K611" s="5" t="str" cm="1">
        <f t="array" ref="K611">IF(OR(A611="",B611="",D611="",E611=""),"",A611&amp;"_"&amp;SUBSTITUTE(B611," ","-")&amp;"_"&amp;D611&amp;"_"&amp;SUBSTITUTE(SUBSTITUTE(E611," ",""),"€","Euro")&amp;"_"&amp;IF(F611="","Unknown",F611)&amp;IF(F611="Commemorative",IF(G611="","","_"&amp;SUBSTITUTE(SUBSTITUTE(SUBSTITUTE(G611," ","-"),"/","-"),CHAR(39),"")),"")&amp;IF(I611="Duplicate","_Dub"&amp;IF(SUMPRODUCT(($B$2:B611=B611)*($D$2:D611=D611)*($E$2:E611=E611)*($F$2:F611=F611)*($G$2:G611=G611)*($I$2:I611="Duplicate"))&lt;=1,"",SUMPRODUCT(($B$2:B611=B611)*($D$2:D611=D611)*($E$2:E611=E611)*($F$2:F611=F611)*($G$2:G611=G611)*($I$2:I611="Duplicate"))-1),"")&amp;".jpeg")</f>
        <v/>
      </c>
      <c r="L611" s="6"/>
      <c r="M611" s="5" t="str">
        <f>IFERROR(VLOOKUP(E611,Specifications!$A$2:$D$9,2,FALSE),"")</f>
        <v/>
      </c>
      <c r="N611" s="5" t="str">
        <f>IFERROR(VLOOKUP(E611,Specifications!$A$2:$D$9,3,FALSE),"")</f>
        <v/>
      </c>
      <c r="O611" s="5" t="str">
        <f>IFERROR(VLOOKUP(E611,Specifications!$A$2:$D$9,4,FALSE),"")</f>
        <v/>
      </c>
      <c r="P611" s="8" t="str">
        <f t="shared" si="30"/>
        <v/>
      </c>
      <c r="Q611" s="9"/>
    </row>
    <row r="612" spans="1:17" ht="15">
      <c r="A612" s="5" t="str">
        <f t="shared" si="28"/>
        <v/>
      </c>
      <c r="B612" s="6"/>
      <c r="C612" s="5" t="str">
        <f>IFERROR(VLOOKUP(B612,Lists!$A$2:$B$25,2,FALSE),"")</f>
        <v/>
      </c>
      <c r="D612" s="7"/>
      <c r="E612" s="6"/>
      <c r="F612" s="6" t="str">
        <f t="shared" si="29"/>
        <v/>
      </c>
      <c r="G612" s="6"/>
      <c r="H612" s="6"/>
      <c r="I612" s="6"/>
      <c r="J612" s="7"/>
      <c r="K612" s="5" t="str" cm="1">
        <f t="array" ref="K612">IF(OR(A612="",B612="",D612="",E612=""),"",A612&amp;"_"&amp;SUBSTITUTE(B612," ","-")&amp;"_"&amp;D612&amp;"_"&amp;SUBSTITUTE(SUBSTITUTE(E612," ",""),"€","Euro")&amp;"_"&amp;IF(F612="","Unknown",F612)&amp;IF(F612="Commemorative",IF(G612="","","_"&amp;SUBSTITUTE(SUBSTITUTE(SUBSTITUTE(G612," ","-"),"/","-"),CHAR(39),"")),"")&amp;IF(I612="Duplicate","_Dub"&amp;IF(SUMPRODUCT(($B$2:B612=B612)*($D$2:D612=D612)*($E$2:E612=E612)*($F$2:F612=F612)*($G$2:G612=G612)*($I$2:I612="Duplicate"))&lt;=1,"",SUMPRODUCT(($B$2:B612=B612)*($D$2:D612=D612)*($E$2:E612=E612)*($F$2:F612=F612)*($G$2:G612=G612)*($I$2:I612="Duplicate"))-1),"")&amp;".jpeg")</f>
        <v/>
      </c>
      <c r="L612" s="6"/>
      <c r="M612" s="5" t="str">
        <f>IFERROR(VLOOKUP(E612,Specifications!$A$2:$D$9,2,FALSE),"")</f>
        <v/>
      </c>
      <c r="N612" s="5" t="str">
        <f>IFERROR(VLOOKUP(E612,Specifications!$A$2:$D$9,3,FALSE),"")</f>
        <v/>
      </c>
      <c r="O612" s="5" t="str">
        <f>IFERROR(VLOOKUP(E612,Specifications!$A$2:$D$9,4,FALSE),"")</f>
        <v/>
      </c>
      <c r="P612" s="8" t="str">
        <f t="shared" si="30"/>
        <v/>
      </c>
      <c r="Q612" s="9"/>
    </row>
    <row r="613" spans="1:17" ht="15">
      <c r="A613" s="5" t="str">
        <f t="shared" si="28"/>
        <v/>
      </c>
      <c r="B613" s="6"/>
      <c r="C613" s="5" t="str">
        <f>IFERROR(VLOOKUP(B613,Lists!$A$2:$B$25,2,FALSE),"")</f>
        <v/>
      </c>
      <c r="D613" s="7"/>
      <c r="E613" s="6"/>
      <c r="F613" s="6" t="str">
        <f t="shared" si="29"/>
        <v/>
      </c>
      <c r="G613" s="6"/>
      <c r="H613" s="6"/>
      <c r="I613" s="6"/>
      <c r="J613" s="7"/>
      <c r="K613" s="5" t="str" cm="1">
        <f t="array" ref="K613">IF(OR(A613="",B613="",D613="",E613=""),"",A613&amp;"_"&amp;SUBSTITUTE(B613," ","-")&amp;"_"&amp;D613&amp;"_"&amp;SUBSTITUTE(SUBSTITUTE(E613," ",""),"€","Euro")&amp;"_"&amp;IF(F613="","Unknown",F613)&amp;IF(F613="Commemorative",IF(G613="","","_"&amp;SUBSTITUTE(SUBSTITUTE(SUBSTITUTE(G613," ","-"),"/","-"),CHAR(39),"")),"")&amp;IF(I613="Duplicate","_Dub"&amp;IF(SUMPRODUCT(($B$2:B613=B613)*($D$2:D613=D613)*($E$2:E613=E613)*($F$2:F613=F613)*($G$2:G613=G613)*($I$2:I613="Duplicate"))&lt;=1,"",SUMPRODUCT(($B$2:B613=B613)*($D$2:D613=D613)*($E$2:E613=E613)*($F$2:F613=F613)*($G$2:G613=G613)*($I$2:I613="Duplicate"))-1),"")&amp;".jpeg")</f>
        <v/>
      </c>
      <c r="L613" s="6"/>
      <c r="M613" s="5" t="str">
        <f>IFERROR(VLOOKUP(E613,Specifications!$A$2:$D$9,2,FALSE),"")</f>
        <v/>
      </c>
      <c r="N613" s="5" t="str">
        <f>IFERROR(VLOOKUP(E613,Specifications!$A$2:$D$9,3,FALSE),"")</f>
        <v/>
      </c>
      <c r="O613" s="5" t="str">
        <f>IFERROR(VLOOKUP(E613,Specifications!$A$2:$D$9,4,FALSE),"")</f>
        <v/>
      </c>
      <c r="P613" s="8" t="str">
        <f t="shared" si="30"/>
        <v/>
      </c>
      <c r="Q613" s="9"/>
    </row>
    <row r="614" spans="1:17" ht="15">
      <c r="A614" s="5" t="str">
        <f t="shared" si="28"/>
        <v/>
      </c>
      <c r="B614" s="6"/>
      <c r="C614" s="5" t="str">
        <f>IFERROR(VLOOKUP(B614,Lists!$A$2:$B$25,2,FALSE),"")</f>
        <v/>
      </c>
      <c r="D614" s="7"/>
      <c r="E614" s="6"/>
      <c r="F614" s="6" t="str">
        <f t="shared" si="29"/>
        <v/>
      </c>
      <c r="G614" s="6"/>
      <c r="H614" s="6"/>
      <c r="I614" s="6"/>
      <c r="J614" s="7"/>
      <c r="K614" s="5" t="str" cm="1">
        <f t="array" ref="K614">IF(OR(A614="",B614="",D614="",E614=""),"",A614&amp;"_"&amp;SUBSTITUTE(B614," ","-")&amp;"_"&amp;D614&amp;"_"&amp;SUBSTITUTE(SUBSTITUTE(E614," ",""),"€","Euro")&amp;"_"&amp;IF(F614="","Unknown",F614)&amp;IF(F614="Commemorative",IF(G614="","","_"&amp;SUBSTITUTE(SUBSTITUTE(SUBSTITUTE(G614," ","-"),"/","-"),CHAR(39),"")),"")&amp;IF(I614="Duplicate","_Dub"&amp;IF(SUMPRODUCT(($B$2:B614=B614)*($D$2:D614=D614)*($E$2:E614=E614)*($F$2:F614=F614)*($G$2:G614=G614)*($I$2:I614="Duplicate"))&lt;=1,"",SUMPRODUCT(($B$2:B614=B614)*($D$2:D614=D614)*($E$2:E614=E614)*($F$2:F614=F614)*($G$2:G614=G614)*($I$2:I614="Duplicate"))-1),"")&amp;".jpeg")</f>
        <v/>
      </c>
      <c r="L614" s="6"/>
      <c r="M614" s="5" t="str">
        <f>IFERROR(VLOOKUP(E614,Specifications!$A$2:$D$9,2,FALSE),"")</f>
        <v/>
      </c>
      <c r="N614" s="5" t="str">
        <f>IFERROR(VLOOKUP(E614,Specifications!$A$2:$D$9,3,FALSE),"")</f>
        <v/>
      </c>
      <c r="O614" s="5" t="str">
        <f>IFERROR(VLOOKUP(E614,Specifications!$A$2:$D$9,4,FALSE),"")</f>
        <v/>
      </c>
      <c r="P614" s="8" t="str">
        <f t="shared" si="30"/>
        <v/>
      </c>
      <c r="Q614" s="9"/>
    </row>
    <row r="615" spans="1:17" ht="15">
      <c r="A615" s="5" t="str">
        <f t="shared" si="28"/>
        <v/>
      </c>
      <c r="B615" s="6"/>
      <c r="C615" s="5" t="str">
        <f>IFERROR(VLOOKUP(B615,Lists!$A$2:$B$25,2,FALSE),"")</f>
        <v/>
      </c>
      <c r="D615" s="7"/>
      <c r="E615" s="6"/>
      <c r="F615" s="6" t="str">
        <f t="shared" si="29"/>
        <v/>
      </c>
      <c r="G615" s="6"/>
      <c r="H615" s="6"/>
      <c r="I615" s="6"/>
      <c r="J615" s="7"/>
      <c r="K615" s="5" t="str" cm="1">
        <f t="array" ref="K615">IF(OR(A615="",B615="",D615="",E615=""),"",A615&amp;"_"&amp;SUBSTITUTE(B615," ","-")&amp;"_"&amp;D615&amp;"_"&amp;SUBSTITUTE(SUBSTITUTE(E615," ",""),"€","Euro")&amp;"_"&amp;IF(F615="","Unknown",F615)&amp;IF(F615="Commemorative",IF(G615="","","_"&amp;SUBSTITUTE(SUBSTITUTE(SUBSTITUTE(G615," ","-"),"/","-"),CHAR(39),"")),"")&amp;IF(I615="Duplicate","_Dub"&amp;IF(SUMPRODUCT(($B$2:B615=B615)*($D$2:D615=D615)*($E$2:E615=E615)*($F$2:F615=F615)*($G$2:G615=G615)*($I$2:I615="Duplicate"))&lt;=1,"",SUMPRODUCT(($B$2:B615=B615)*($D$2:D615=D615)*($E$2:E615=E615)*($F$2:F615=F615)*($G$2:G615=G615)*($I$2:I615="Duplicate"))-1),"")&amp;".jpeg")</f>
        <v/>
      </c>
      <c r="L615" s="6"/>
      <c r="M615" s="5" t="str">
        <f>IFERROR(VLOOKUP(E615,Specifications!$A$2:$D$9,2,FALSE),"")</f>
        <v/>
      </c>
      <c r="N615" s="5" t="str">
        <f>IFERROR(VLOOKUP(E615,Specifications!$A$2:$D$9,3,FALSE),"")</f>
        <v/>
      </c>
      <c r="O615" s="5" t="str">
        <f>IFERROR(VLOOKUP(E615,Specifications!$A$2:$D$9,4,FALSE),"")</f>
        <v/>
      </c>
      <c r="P615" s="8" t="str">
        <f t="shared" si="30"/>
        <v/>
      </c>
      <c r="Q615" s="9"/>
    </row>
    <row r="616" spans="1:17" ht="15">
      <c r="A616" s="5" t="str">
        <f t="shared" si="28"/>
        <v/>
      </c>
      <c r="B616" s="6"/>
      <c r="C616" s="5" t="str">
        <f>IFERROR(VLOOKUP(B616,Lists!$A$2:$B$25,2,FALSE),"")</f>
        <v/>
      </c>
      <c r="D616" s="7"/>
      <c r="E616" s="6"/>
      <c r="F616" s="6" t="str">
        <f t="shared" si="29"/>
        <v/>
      </c>
      <c r="G616" s="6"/>
      <c r="H616" s="6"/>
      <c r="I616" s="6"/>
      <c r="J616" s="7"/>
      <c r="K616" s="5" t="str" cm="1">
        <f t="array" ref="K616">IF(OR(A616="",B616="",D616="",E616=""),"",A616&amp;"_"&amp;SUBSTITUTE(B616," ","-")&amp;"_"&amp;D616&amp;"_"&amp;SUBSTITUTE(SUBSTITUTE(E616," ",""),"€","Euro")&amp;"_"&amp;IF(F616="","Unknown",F616)&amp;IF(F616="Commemorative",IF(G616="","","_"&amp;SUBSTITUTE(SUBSTITUTE(SUBSTITUTE(G616," ","-"),"/","-"),CHAR(39),"")),"")&amp;IF(I616="Duplicate","_Dub"&amp;IF(SUMPRODUCT(($B$2:B616=B616)*($D$2:D616=D616)*($E$2:E616=E616)*($F$2:F616=F616)*($G$2:G616=G616)*($I$2:I616="Duplicate"))&lt;=1,"",SUMPRODUCT(($B$2:B616=B616)*($D$2:D616=D616)*($E$2:E616=E616)*($F$2:F616=F616)*($G$2:G616=G616)*($I$2:I616="Duplicate"))-1),"")&amp;".jpeg")</f>
        <v/>
      </c>
      <c r="L616" s="6"/>
      <c r="M616" s="5" t="str">
        <f>IFERROR(VLOOKUP(E616,Specifications!$A$2:$D$9,2,FALSE),"")</f>
        <v/>
      </c>
      <c r="N616" s="5" t="str">
        <f>IFERROR(VLOOKUP(E616,Specifications!$A$2:$D$9,3,FALSE),"")</f>
        <v/>
      </c>
      <c r="O616" s="5" t="str">
        <f>IFERROR(VLOOKUP(E616,Specifications!$A$2:$D$9,4,FALSE),"")</f>
        <v/>
      </c>
      <c r="P616" s="8" t="str">
        <f t="shared" si="30"/>
        <v/>
      </c>
      <c r="Q616" s="9"/>
    </row>
    <row r="617" spans="1:17" ht="15">
      <c r="A617" s="5" t="str">
        <f t="shared" si="28"/>
        <v/>
      </c>
      <c r="B617" s="6"/>
      <c r="C617" s="5" t="str">
        <f>IFERROR(VLOOKUP(B617,Lists!$A$2:$B$25,2,FALSE),"")</f>
        <v/>
      </c>
      <c r="D617" s="7"/>
      <c r="E617" s="6"/>
      <c r="F617" s="6" t="str">
        <f t="shared" si="29"/>
        <v/>
      </c>
      <c r="G617" s="6"/>
      <c r="H617" s="6"/>
      <c r="I617" s="6"/>
      <c r="J617" s="7"/>
      <c r="K617" s="5" t="str" cm="1">
        <f t="array" ref="K617">IF(OR(A617="",B617="",D617="",E617=""),"",A617&amp;"_"&amp;SUBSTITUTE(B617," ","-")&amp;"_"&amp;D617&amp;"_"&amp;SUBSTITUTE(SUBSTITUTE(E617," ",""),"€","Euro")&amp;"_"&amp;IF(F617="","Unknown",F617)&amp;IF(F617="Commemorative",IF(G617="","","_"&amp;SUBSTITUTE(SUBSTITUTE(SUBSTITUTE(G617," ","-"),"/","-"),CHAR(39),"")),"")&amp;IF(I617="Duplicate","_Dub"&amp;IF(SUMPRODUCT(($B$2:B617=B617)*($D$2:D617=D617)*($E$2:E617=E617)*($F$2:F617=F617)*($G$2:G617=G617)*($I$2:I617="Duplicate"))&lt;=1,"",SUMPRODUCT(($B$2:B617=B617)*($D$2:D617=D617)*($E$2:E617=E617)*($F$2:F617=F617)*($G$2:G617=G617)*($I$2:I617="Duplicate"))-1),"")&amp;".jpeg")</f>
        <v/>
      </c>
      <c r="L617" s="6"/>
      <c r="M617" s="5" t="str">
        <f>IFERROR(VLOOKUP(E617,Specifications!$A$2:$D$9,2,FALSE),"")</f>
        <v/>
      </c>
      <c r="N617" s="5" t="str">
        <f>IFERROR(VLOOKUP(E617,Specifications!$A$2:$D$9,3,FALSE),"")</f>
        <v/>
      </c>
      <c r="O617" s="5" t="str">
        <f>IFERROR(VLOOKUP(E617,Specifications!$A$2:$D$9,4,FALSE),"")</f>
        <v/>
      </c>
      <c r="P617" s="8" t="str">
        <f t="shared" si="30"/>
        <v/>
      </c>
      <c r="Q617" s="9"/>
    </row>
    <row r="618" spans="1:17" ht="15">
      <c r="A618" s="5" t="str">
        <f t="shared" si="28"/>
        <v/>
      </c>
      <c r="B618" s="6"/>
      <c r="C618" s="5" t="str">
        <f>IFERROR(VLOOKUP(B618,Lists!$A$2:$B$25,2,FALSE),"")</f>
        <v/>
      </c>
      <c r="D618" s="7"/>
      <c r="E618" s="6"/>
      <c r="F618" s="6" t="str">
        <f t="shared" si="29"/>
        <v/>
      </c>
      <c r="G618" s="6"/>
      <c r="H618" s="6"/>
      <c r="I618" s="6"/>
      <c r="J618" s="7"/>
      <c r="K618" s="5" t="str" cm="1">
        <f t="array" ref="K618">IF(OR(A618="",B618="",D618="",E618=""),"",A618&amp;"_"&amp;SUBSTITUTE(B618," ","-")&amp;"_"&amp;D618&amp;"_"&amp;SUBSTITUTE(SUBSTITUTE(E618," ",""),"€","Euro")&amp;"_"&amp;IF(F618="","Unknown",F618)&amp;IF(F618="Commemorative",IF(G618="","","_"&amp;SUBSTITUTE(SUBSTITUTE(SUBSTITUTE(G618," ","-"),"/","-"),CHAR(39),"")),"")&amp;IF(I618="Duplicate","_Dub"&amp;IF(SUMPRODUCT(($B$2:B618=B618)*($D$2:D618=D618)*($E$2:E618=E618)*($F$2:F618=F618)*($G$2:G618=G618)*($I$2:I618="Duplicate"))&lt;=1,"",SUMPRODUCT(($B$2:B618=B618)*($D$2:D618=D618)*($E$2:E618=E618)*($F$2:F618=F618)*($G$2:G618=G618)*($I$2:I618="Duplicate"))-1),"")&amp;".jpeg")</f>
        <v/>
      </c>
      <c r="L618" s="6"/>
      <c r="M618" s="5" t="str">
        <f>IFERROR(VLOOKUP(E618,Specifications!$A$2:$D$9,2,FALSE),"")</f>
        <v/>
      </c>
      <c r="N618" s="5" t="str">
        <f>IFERROR(VLOOKUP(E618,Specifications!$A$2:$D$9,3,FALSE),"")</f>
        <v/>
      </c>
      <c r="O618" s="5" t="str">
        <f>IFERROR(VLOOKUP(E618,Specifications!$A$2:$D$9,4,FALSE),"")</f>
        <v/>
      </c>
      <c r="P618" s="8" t="str">
        <f t="shared" si="30"/>
        <v/>
      </c>
      <c r="Q618" s="9"/>
    </row>
    <row r="619" spans="1:17" ht="15">
      <c r="A619" s="5" t="str">
        <f t="shared" si="28"/>
        <v/>
      </c>
      <c r="B619" s="6"/>
      <c r="C619" s="5" t="str">
        <f>IFERROR(VLOOKUP(B619,Lists!$A$2:$B$25,2,FALSE),"")</f>
        <v/>
      </c>
      <c r="D619" s="7"/>
      <c r="E619" s="6"/>
      <c r="F619" s="6" t="str">
        <f t="shared" si="29"/>
        <v/>
      </c>
      <c r="G619" s="6"/>
      <c r="H619" s="6"/>
      <c r="I619" s="6"/>
      <c r="J619" s="7"/>
      <c r="K619" s="5" t="str" cm="1">
        <f t="array" ref="K619">IF(OR(A619="",B619="",D619="",E619=""),"",A619&amp;"_"&amp;SUBSTITUTE(B619," ","-")&amp;"_"&amp;D619&amp;"_"&amp;SUBSTITUTE(SUBSTITUTE(E619," ",""),"€","Euro")&amp;"_"&amp;IF(F619="","Unknown",F619)&amp;IF(F619="Commemorative",IF(G619="","","_"&amp;SUBSTITUTE(SUBSTITUTE(SUBSTITUTE(G619," ","-"),"/","-"),CHAR(39),"")),"")&amp;IF(I619="Duplicate","_Dub"&amp;IF(SUMPRODUCT(($B$2:B619=B619)*($D$2:D619=D619)*($E$2:E619=E619)*($F$2:F619=F619)*($G$2:G619=G619)*($I$2:I619="Duplicate"))&lt;=1,"",SUMPRODUCT(($B$2:B619=B619)*($D$2:D619=D619)*($E$2:E619=E619)*($F$2:F619=F619)*($G$2:G619=G619)*($I$2:I619="Duplicate"))-1),"")&amp;".jpeg")</f>
        <v/>
      </c>
      <c r="L619" s="6"/>
      <c r="M619" s="5" t="str">
        <f>IFERROR(VLOOKUP(E619,Specifications!$A$2:$D$9,2,FALSE),"")</f>
        <v/>
      </c>
      <c r="N619" s="5" t="str">
        <f>IFERROR(VLOOKUP(E619,Specifications!$A$2:$D$9,3,FALSE),"")</f>
        <v/>
      </c>
      <c r="O619" s="5" t="str">
        <f>IFERROR(VLOOKUP(E619,Specifications!$A$2:$D$9,4,FALSE),"")</f>
        <v/>
      </c>
      <c r="P619" s="8" t="str">
        <f t="shared" si="30"/>
        <v/>
      </c>
      <c r="Q619" s="9"/>
    </row>
    <row r="620" spans="1:17" ht="15">
      <c r="A620" s="5" t="str">
        <f t="shared" si="28"/>
        <v/>
      </c>
      <c r="B620" s="6"/>
      <c r="C620" s="5" t="str">
        <f>IFERROR(VLOOKUP(B620,Lists!$A$2:$B$25,2,FALSE),"")</f>
        <v/>
      </c>
      <c r="D620" s="7"/>
      <c r="E620" s="6"/>
      <c r="F620" s="6" t="str">
        <f t="shared" si="29"/>
        <v/>
      </c>
      <c r="G620" s="6"/>
      <c r="H620" s="6"/>
      <c r="I620" s="6"/>
      <c r="J620" s="7"/>
      <c r="K620" s="5" t="str" cm="1">
        <f t="array" ref="K620">IF(OR(A620="",B620="",D620="",E620=""),"",A620&amp;"_"&amp;SUBSTITUTE(B620," ","-")&amp;"_"&amp;D620&amp;"_"&amp;SUBSTITUTE(SUBSTITUTE(E620," ",""),"€","Euro")&amp;"_"&amp;IF(F620="","Unknown",F620)&amp;IF(F620="Commemorative",IF(G620="","","_"&amp;SUBSTITUTE(SUBSTITUTE(SUBSTITUTE(G620," ","-"),"/","-"),CHAR(39),"")),"")&amp;IF(I620="Duplicate","_Dub"&amp;IF(SUMPRODUCT(($B$2:B620=B620)*($D$2:D620=D620)*($E$2:E620=E620)*($F$2:F620=F620)*($G$2:G620=G620)*($I$2:I620="Duplicate"))&lt;=1,"",SUMPRODUCT(($B$2:B620=B620)*($D$2:D620=D620)*($E$2:E620=E620)*($F$2:F620=F620)*($G$2:G620=G620)*($I$2:I620="Duplicate"))-1),"")&amp;".jpeg")</f>
        <v/>
      </c>
      <c r="L620" s="6"/>
      <c r="M620" s="5" t="str">
        <f>IFERROR(VLOOKUP(E620,Specifications!$A$2:$D$9,2,FALSE),"")</f>
        <v/>
      </c>
      <c r="N620" s="5" t="str">
        <f>IFERROR(VLOOKUP(E620,Specifications!$A$2:$D$9,3,FALSE),"")</f>
        <v/>
      </c>
      <c r="O620" s="5" t="str">
        <f>IFERROR(VLOOKUP(E620,Specifications!$A$2:$D$9,4,FALSE),"")</f>
        <v/>
      </c>
      <c r="P620" s="8" t="str">
        <f t="shared" si="30"/>
        <v/>
      </c>
      <c r="Q620" s="9"/>
    </row>
    <row r="621" spans="1:17" ht="15">
      <c r="A621" s="5" t="str">
        <f t="shared" si="28"/>
        <v/>
      </c>
      <c r="B621" s="6"/>
      <c r="C621" s="5" t="str">
        <f>IFERROR(VLOOKUP(B621,Lists!$A$2:$B$25,2,FALSE),"")</f>
        <v/>
      </c>
      <c r="D621" s="7"/>
      <c r="E621" s="6"/>
      <c r="F621" s="6" t="str">
        <f t="shared" si="29"/>
        <v/>
      </c>
      <c r="G621" s="6"/>
      <c r="H621" s="6"/>
      <c r="I621" s="6"/>
      <c r="J621" s="7"/>
      <c r="K621" s="5" t="str" cm="1">
        <f t="array" ref="K621">IF(OR(A621="",B621="",D621="",E621=""),"",A621&amp;"_"&amp;SUBSTITUTE(B621," ","-")&amp;"_"&amp;D621&amp;"_"&amp;SUBSTITUTE(SUBSTITUTE(E621," ",""),"€","Euro")&amp;"_"&amp;IF(F621="","Unknown",F621)&amp;IF(F621="Commemorative",IF(G621="","","_"&amp;SUBSTITUTE(SUBSTITUTE(SUBSTITUTE(G621," ","-"),"/","-"),CHAR(39),"")),"")&amp;IF(I621="Duplicate","_Dub"&amp;IF(SUMPRODUCT(($B$2:B621=B621)*($D$2:D621=D621)*($E$2:E621=E621)*($F$2:F621=F621)*($G$2:G621=G621)*($I$2:I621="Duplicate"))&lt;=1,"",SUMPRODUCT(($B$2:B621=B621)*($D$2:D621=D621)*($E$2:E621=E621)*($F$2:F621=F621)*($G$2:G621=G621)*($I$2:I621="Duplicate"))-1),"")&amp;".jpeg")</f>
        <v/>
      </c>
      <c r="L621" s="6"/>
      <c r="M621" s="5" t="str">
        <f>IFERROR(VLOOKUP(E621,Specifications!$A$2:$D$9,2,FALSE),"")</f>
        <v/>
      </c>
      <c r="N621" s="5" t="str">
        <f>IFERROR(VLOOKUP(E621,Specifications!$A$2:$D$9,3,FALSE),"")</f>
        <v/>
      </c>
      <c r="O621" s="5" t="str">
        <f>IFERROR(VLOOKUP(E621,Specifications!$A$2:$D$9,4,FALSE),"")</f>
        <v/>
      </c>
      <c r="P621" s="8" t="str">
        <f t="shared" si="30"/>
        <v/>
      </c>
      <c r="Q621" s="9"/>
    </row>
    <row r="622" spans="1:17" ht="15">
      <c r="A622" s="5" t="str">
        <f t="shared" si="28"/>
        <v/>
      </c>
      <c r="B622" s="6"/>
      <c r="C622" s="5" t="str">
        <f>IFERROR(VLOOKUP(B622,Lists!$A$2:$B$25,2,FALSE),"")</f>
        <v/>
      </c>
      <c r="D622" s="7"/>
      <c r="E622" s="6"/>
      <c r="F622" s="6" t="str">
        <f t="shared" si="29"/>
        <v/>
      </c>
      <c r="G622" s="6"/>
      <c r="H622" s="6"/>
      <c r="I622" s="6"/>
      <c r="J622" s="7"/>
      <c r="K622" s="5" t="str" cm="1">
        <f t="array" ref="K622">IF(OR(A622="",B622="",D622="",E622=""),"",A622&amp;"_"&amp;SUBSTITUTE(B622," ","-")&amp;"_"&amp;D622&amp;"_"&amp;SUBSTITUTE(SUBSTITUTE(E622," ",""),"€","Euro")&amp;"_"&amp;IF(F622="","Unknown",F622)&amp;IF(F622="Commemorative",IF(G622="","","_"&amp;SUBSTITUTE(SUBSTITUTE(SUBSTITUTE(G622," ","-"),"/","-"),CHAR(39),"")),"")&amp;IF(I622="Duplicate","_Dub"&amp;IF(SUMPRODUCT(($B$2:B622=B622)*($D$2:D622=D622)*($E$2:E622=E622)*($F$2:F622=F622)*($G$2:G622=G622)*($I$2:I622="Duplicate"))&lt;=1,"",SUMPRODUCT(($B$2:B622=B622)*($D$2:D622=D622)*($E$2:E622=E622)*($F$2:F622=F622)*($G$2:G622=G622)*($I$2:I622="Duplicate"))-1),"")&amp;".jpeg")</f>
        <v/>
      </c>
      <c r="L622" s="6"/>
      <c r="M622" s="5" t="str">
        <f>IFERROR(VLOOKUP(E622,Specifications!$A$2:$D$9,2,FALSE),"")</f>
        <v/>
      </c>
      <c r="N622" s="5" t="str">
        <f>IFERROR(VLOOKUP(E622,Specifications!$A$2:$D$9,3,FALSE),"")</f>
        <v/>
      </c>
      <c r="O622" s="5" t="str">
        <f>IFERROR(VLOOKUP(E622,Specifications!$A$2:$D$9,4,FALSE),"")</f>
        <v/>
      </c>
      <c r="P622" s="8" t="str">
        <f t="shared" si="30"/>
        <v/>
      </c>
      <c r="Q622" s="9"/>
    </row>
    <row r="623" spans="1:17" ht="15">
      <c r="A623" s="5" t="str">
        <f t="shared" si="28"/>
        <v/>
      </c>
      <c r="B623" s="6"/>
      <c r="C623" s="5" t="str">
        <f>IFERROR(VLOOKUP(B623,Lists!$A$2:$B$25,2,FALSE),"")</f>
        <v/>
      </c>
      <c r="D623" s="7"/>
      <c r="E623" s="6"/>
      <c r="F623" s="6" t="str">
        <f t="shared" si="29"/>
        <v/>
      </c>
      <c r="G623" s="6"/>
      <c r="H623" s="6"/>
      <c r="I623" s="6"/>
      <c r="J623" s="7"/>
      <c r="K623" s="5" t="str" cm="1">
        <f t="array" ref="K623">IF(OR(A623="",B623="",D623="",E623=""),"",A623&amp;"_"&amp;SUBSTITUTE(B623," ","-")&amp;"_"&amp;D623&amp;"_"&amp;SUBSTITUTE(SUBSTITUTE(E623," ",""),"€","Euro")&amp;"_"&amp;IF(F623="","Unknown",F623)&amp;IF(F623="Commemorative",IF(G623="","","_"&amp;SUBSTITUTE(SUBSTITUTE(SUBSTITUTE(G623," ","-"),"/","-"),CHAR(39),"")),"")&amp;IF(I623="Duplicate","_Dub"&amp;IF(SUMPRODUCT(($B$2:B623=B623)*($D$2:D623=D623)*($E$2:E623=E623)*($F$2:F623=F623)*($G$2:G623=G623)*($I$2:I623="Duplicate"))&lt;=1,"",SUMPRODUCT(($B$2:B623=B623)*($D$2:D623=D623)*($E$2:E623=E623)*($F$2:F623=F623)*($G$2:G623=G623)*($I$2:I623="Duplicate"))-1),"")&amp;".jpeg")</f>
        <v/>
      </c>
      <c r="L623" s="6"/>
      <c r="M623" s="5" t="str">
        <f>IFERROR(VLOOKUP(E623,Specifications!$A$2:$D$9,2,FALSE),"")</f>
        <v/>
      </c>
      <c r="N623" s="5" t="str">
        <f>IFERROR(VLOOKUP(E623,Specifications!$A$2:$D$9,3,FALSE),"")</f>
        <v/>
      </c>
      <c r="O623" s="5" t="str">
        <f>IFERROR(VLOOKUP(E623,Specifications!$A$2:$D$9,4,FALSE),"")</f>
        <v/>
      </c>
      <c r="P623" s="8" t="str">
        <f t="shared" si="30"/>
        <v/>
      </c>
      <c r="Q623" s="9"/>
    </row>
    <row r="624" spans="1:17" ht="15">
      <c r="A624" s="5" t="str">
        <f t="shared" si="28"/>
        <v/>
      </c>
      <c r="B624" s="6"/>
      <c r="C624" s="5" t="str">
        <f>IFERROR(VLOOKUP(B624,Lists!$A$2:$B$25,2,FALSE),"")</f>
        <v/>
      </c>
      <c r="D624" s="7"/>
      <c r="E624" s="6"/>
      <c r="F624" s="6" t="str">
        <f t="shared" si="29"/>
        <v/>
      </c>
      <c r="G624" s="6"/>
      <c r="H624" s="6"/>
      <c r="I624" s="6"/>
      <c r="J624" s="7"/>
      <c r="K624" s="5" t="str" cm="1">
        <f t="array" ref="K624">IF(OR(A624="",B624="",D624="",E624=""),"",A624&amp;"_"&amp;SUBSTITUTE(B624," ","-")&amp;"_"&amp;D624&amp;"_"&amp;SUBSTITUTE(SUBSTITUTE(E624," ",""),"€","Euro")&amp;"_"&amp;IF(F624="","Unknown",F624)&amp;IF(F624="Commemorative",IF(G624="","","_"&amp;SUBSTITUTE(SUBSTITUTE(SUBSTITUTE(G624," ","-"),"/","-"),CHAR(39),"")),"")&amp;IF(I624="Duplicate","_Dub"&amp;IF(SUMPRODUCT(($B$2:B624=B624)*($D$2:D624=D624)*($E$2:E624=E624)*($F$2:F624=F624)*($G$2:G624=G624)*($I$2:I624="Duplicate"))&lt;=1,"",SUMPRODUCT(($B$2:B624=B624)*($D$2:D624=D624)*($E$2:E624=E624)*($F$2:F624=F624)*($G$2:G624=G624)*($I$2:I624="Duplicate"))-1),"")&amp;".jpeg")</f>
        <v/>
      </c>
      <c r="L624" s="6"/>
      <c r="M624" s="5" t="str">
        <f>IFERROR(VLOOKUP(E624,Specifications!$A$2:$D$9,2,FALSE),"")</f>
        <v/>
      </c>
      <c r="N624" s="5" t="str">
        <f>IFERROR(VLOOKUP(E624,Specifications!$A$2:$D$9,3,FALSE),"")</f>
        <v/>
      </c>
      <c r="O624" s="5" t="str">
        <f>IFERROR(VLOOKUP(E624,Specifications!$A$2:$D$9,4,FALSE),"")</f>
        <v/>
      </c>
      <c r="P624" s="8" t="str">
        <f t="shared" si="30"/>
        <v/>
      </c>
      <c r="Q624" s="9"/>
    </row>
    <row r="625" spans="1:17" ht="15">
      <c r="A625" s="5" t="str">
        <f t="shared" si="28"/>
        <v/>
      </c>
      <c r="B625" s="6"/>
      <c r="C625" s="5" t="str">
        <f>IFERROR(VLOOKUP(B625,Lists!$A$2:$B$25,2,FALSE),"")</f>
        <v/>
      </c>
      <c r="D625" s="7"/>
      <c r="E625" s="6"/>
      <c r="F625" s="6" t="str">
        <f t="shared" si="29"/>
        <v/>
      </c>
      <c r="G625" s="6"/>
      <c r="H625" s="6"/>
      <c r="I625" s="6"/>
      <c r="J625" s="7"/>
      <c r="K625" s="5" t="str" cm="1">
        <f t="array" ref="K625">IF(OR(A625="",B625="",D625="",E625=""),"",A625&amp;"_"&amp;SUBSTITUTE(B625," ","-")&amp;"_"&amp;D625&amp;"_"&amp;SUBSTITUTE(SUBSTITUTE(E625," ",""),"€","Euro")&amp;"_"&amp;IF(F625="","Unknown",F625)&amp;IF(F625="Commemorative",IF(G625="","","_"&amp;SUBSTITUTE(SUBSTITUTE(SUBSTITUTE(G625," ","-"),"/","-"),CHAR(39),"")),"")&amp;IF(I625="Duplicate","_Dub"&amp;IF(SUMPRODUCT(($B$2:B625=B625)*($D$2:D625=D625)*($E$2:E625=E625)*($F$2:F625=F625)*($G$2:G625=G625)*($I$2:I625="Duplicate"))&lt;=1,"",SUMPRODUCT(($B$2:B625=B625)*($D$2:D625=D625)*($E$2:E625=E625)*($F$2:F625=F625)*($G$2:G625=G625)*($I$2:I625="Duplicate"))-1),"")&amp;".jpeg")</f>
        <v/>
      </c>
      <c r="L625" s="6"/>
      <c r="M625" s="5" t="str">
        <f>IFERROR(VLOOKUP(E625,Specifications!$A$2:$D$9,2,FALSE),"")</f>
        <v/>
      </c>
      <c r="N625" s="5" t="str">
        <f>IFERROR(VLOOKUP(E625,Specifications!$A$2:$D$9,3,FALSE),"")</f>
        <v/>
      </c>
      <c r="O625" s="5" t="str">
        <f>IFERROR(VLOOKUP(E625,Specifications!$A$2:$D$9,4,FALSE),"")</f>
        <v/>
      </c>
      <c r="P625" s="8" t="str">
        <f t="shared" si="30"/>
        <v/>
      </c>
      <c r="Q625" s="9"/>
    </row>
    <row r="626" spans="1:17" ht="15">
      <c r="A626" s="5" t="str">
        <f t="shared" si="28"/>
        <v/>
      </c>
      <c r="B626" s="6"/>
      <c r="C626" s="5" t="str">
        <f>IFERROR(VLOOKUP(B626,Lists!$A$2:$B$25,2,FALSE),"")</f>
        <v/>
      </c>
      <c r="D626" s="7"/>
      <c r="E626" s="6"/>
      <c r="F626" s="6" t="str">
        <f t="shared" si="29"/>
        <v/>
      </c>
      <c r="G626" s="6"/>
      <c r="H626" s="6"/>
      <c r="I626" s="6"/>
      <c r="J626" s="7"/>
      <c r="K626" s="5" t="str" cm="1">
        <f t="array" ref="K626">IF(OR(A626="",B626="",D626="",E626=""),"",A626&amp;"_"&amp;SUBSTITUTE(B626," ","-")&amp;"_"&amp;D626&amp;"_"&amp;SUBSTITUTE(SUBSTITUTE(E626," ",""),"€","Euro")&amp;"_"&amp;IF(F626="","Unknown",F626)&amp;IF(F626="Commemorative",IF(G626="","","_"&amp;SUBSTITUTE(SUBSTITUTE(SUBSTITUTE(G626," ","-"),"/","-"),CHAR(39),"")),"")&amp;IF(I626="Duplicate","_Dub"&amp;IF(SUMPRODUCT(($B$2:B626=B626)*($D$2:D626=D626)*($E$2:E626=E626)*($F$2:F626=F626)*($G$2:G626=G626)*($I$2:I626="Duplicate"))&lt;=1,"",SUMPRODUCT(($B$2:B626=B626)*($D$2:D626=D626)*($E$2:E626=E626)*($F$2:F626=F626)*($G$2:G626=G626)*($I$2:I626="Duplicate"))-1),"")&amp;".jpeg")</f>
        <v/>
      </c>
      <c r="L626" s="6"/>
      <c r="M626" s="5" t="str">
        <f>IFERROR(VLOOKUP(E626,Specifications!$A$2:$D$9,2,FALSE),"")</f>
        <v/>
      </c>
      <c r="N626" s="5" t="str">
        <f>IFERROR(VLOOKUP(E626,Specifications!$A$2:$D$9,3,FALSE),"")</f>
        <v/>
      </c>
      <c r="O626" s="5" t="str">
        <f>IFERROR(VLOOKUP(E626,Specifications!$A$2:$D$9,4,FALSE),"")</f>
        <v/>
      </c>
      <c r="P626" s="8" t="str">
        <f t="shared" si="30"/>
        <v/>
      </c>
      <c r="Q626" s="9"/>
    </row>
    <row r="627" spans="1:17" ht="15">
      <c r="A627" s="5" t="str">
        <f t="shared" si="28"/>
        <v/>
      </c>
      <c r="B627" s="6"/>
      <c r="C627" s="5" t="str">
        <f>IFERROR(VLOOKUP(B627,Lists!$A$2:$B$25,2,FALSE),"")</f>
        <v/>
      </c>
      <c r="D627" s="7"/>
      <c r="E627" s="6"/>
      <c r="F627" s="6" t="str">
        <f t="shared" si="29"/>
        <v/>
      </c>
      <c r="G627" s="6"/>
      <c r="H627" s="6"/>
      <c r="I627" s="6"/>
      <c r="J627" s="7"/>
      <c r="K627" s="5" t="str" cm="1">
        <f t="array" ref="K627">IF(OR(A627="",B627="",D627="",E627=""),"",A627&amp;"_"&amp;SUBSTITUTE(B627," ","-")&amp;"_"&amp;D627&amp;"_"&amp;SUBSTITUTE(SUBSTITUTE(E627," ",""),"€","Euro")&amp;"_"&amp;IF(F627="","Unknown",F627)&amp;IF(F627="Commemorative",IF(G627="","","_"&amp;SUBSTITUTE(SUBSTITUTE(SUBSTITUTE(G627," ","-"),"/","-"),CHAR(39),"")),"")&amp;IF(I627="Duplicate","_Dub"&amp;IF(SUMPRODUCT(($B$2:B627=B627)*($D$2:D627=D627)*($E$2:E627=E627)*($F$2:F627=F627)*($G$2:G627=G627)*($I$2:I627="Duplicate"))&lt;=1,"",SUMPRODUCT(($B$2:B627=B627)*($D$2:D627=D627)*($E$2:E627=E627)*($F$2:F627=F627)*($G$2:G627=G627)*($I$2:I627="Duplicate"))-1),"")&amp;".jpeg")</f>
        <v/>
      </c>
      <c r="L627" s="6"/>
      <c r="M627" s="5" t="str">
        <f>IFERROR(VLOOKUP(E627,Specifications!$A$2:$D$9,2,FALSE),"")</f>
        <v/>
      </c>
      <c r="N627" s="5" t="str">
        <f>IFERROR(VLOOKUP(E627,Specifications!$A$2:$D$9,3,FALSE),"")</f>
        <v/>
      </c>
      <c r="O627" s="5" t="str">
        <f>IFERROR(VLOOKUP(E627,Specifications!$A$2:$D$9,4,FALSE),"")</f>
        <v/>
      </c>
      <c r="P627" s="8" t="str">
        <f t="shared" si="30"/>
        <v/>
      </c>
      <c r="Q627" s="9"/>
    </row>
    <row r="628" spans="1:17" ht="15">
      <c r="A628" s="5" t="str">
        <f t="shared" si="28"/>
        <v/>
      </c>
      <c r="B628" s="6"/>
      <c r="C628" s="5" t="str">
        <f>IFERROR(VLOOKUP(B628,Lists!$A$2:$B$25,2,FALSE),"")</f>
        <v/>
      </c>
      <c r="D628" s="7"/>
      <c r="E628" s="6"/>
      <c r="F628" s="6" t="str">
        <f t="shared" si="29"/>
        <v/>
      </c>
      <c r="G628" s="6"/>
      <c r="H628" s="6"/>
      <c r="I628" s="6"/>
      <c r="J628" s="7"/>
      <c r="K628" s="5" t="str" cm="1">
        <f t="array" ref="K628">IF(OR(A628="",B628="",D628="",E628=""),"",A628&amp;"_"&amp;SUBSTITUTE(B628," ","-")&amp;"_"&amp;D628&amp;"_"&amp;SUBSTITUTE(SUBSTITUTE(E628," ",""),"€","Euro")&amp;"_"&amp;IF(F628="","Unknown",F628)&amp;IF(F628="Commemorative",IF(G628="","","_"&amp;SUBSTITUTE(SUBSTITUTE(SUBSTITUTE(G628," ","-"),"/","-"),CHAR(39),"")),"")&amp;IF(I628="Duplicate","_Dub"&amp;IF(SUMPRODUCT(($B$2:B628=B628)*($D$2:D628=D628)*($E$2:E628=E628)*($F$2:F628=F628)*($G$2:G628=G628)*($I$2:I628="Duplicate"))&lt;=1,"",SUMPRODUCT(($B$2:B628=B628)*($D$2:D628=D628)*($E$2:E628=E628)*($F$2:F628=F628)*($G$2:G628=G628)*($I$2:I628="Duplicate"))-1),"")&amp;".jpeg")</f>
        <v/>
      </c>
      <c r="L628" s="6"/>
      <c r="M628" s="5" t="str">
        <f>IFERROR(VLOOKUP(E628,Specifications!$A$2:$D$9,2,FALSE),"")</f>
        <v/>
      </c>
      <c r="N628" s="5" t="str">
        <f>IFERROR(VLOOKUP(E628,Specifications!$A$2:$D$9,3,FALSE),"")</f>
        <v/>
      </c>
      <c r="O628" s="5" t="str">
        <f>IFERROR(VLOOKUP(E628,Specifications!$A$2:$D$9,4,FALSE),"")</f>
        <v/>
      </c>
      <c r="P628" s="8" t="str">
        <f t="shared" si="30"/>
        <v/>
      </c>
      <c r="Q628" s="9"/>
    </row>
    <row r="629" spans="1:17" ht="15">
      <c r="A629" s="5" t="str">
        <f t="shared" si="28"/>
        <v/>
      </c>
      <c r="B629" s="6"/>
      <c r="C629" s="5" t="str">
        <f>IFERROR(VLOOKUP(B629,Lists!$A$2:$B$25,2,FALSE),"")</f>
        <v/>
      </c>
      <c r="D629" s="7"/>
      <c r="E629" s="6"/>
      <c r="F629" s="6" t="str">
        <f t="shared" si="29"/>
        <v/>
      </c>
      <c r="G629" s="6"/>
      <c r="H629" s="6"/>
      <c r="I629" s="6"/>
      <c r="J629" s="7"/>
      <c r="K629" s="5" t="str" cm="1">
        <f t="array" ref="K629">IF(OR(A629="",B629="",D629="",E629=""),"",A629&amp;"_"&amp;SUBSTITUTE(B629," ","-")&amp;"_"&amp;D629&amp;"_"&amp;SUBSTITUTE(SUBSTITUTE(E629," ",""),"€","Euro")&amp;"_"&amp;IF(F629="","Unknown",F629)&amp;IF(F629="Commemorative",IF(G629="","","_"&amp;SUBSTITUTE(SUBSTITUTE(SUBSTITUTE(G629," ","-"),"/","-"),CHAR(39),"")),"")&amp;IF(I629="Duplicate","_Dub"&amp;IF(SUMPRODUCT(($B$2:B629=B629)*($D$2:D629=D629)*($E$2:E629=E629)*($F$2:F629=F629)*($G$2:G629=G629)*($I$2:I629="Duplicate"))&lt;=1,"",SUMPRODUCT(($B$2:B629=B629)*($D$2:D629=D629)*($E$2:E629=E629)*($F$2:F629=F629)*($G$2:G629=G629)*($I$2:I629="Duplicate"))-1),"")&amp;".jpeg")</f>
        <v/>
      </c>
      <c r="L629" s="6"/>
      <c r="M629" s="5" t="str">
        <f>IFERROR(VLOOKUP(E629,Specifications!$A$2:$D$9,2,FALSE),"")</f>
        <v/>
      </c>
      <c r="N629" s="5" t="str">
        <f>IFERROR(VLOOKUP(E629,Specifications!$A$2:$D$9,3,FALSE),"")</f>
        <v/>
      </c>
      <c r="O629" s="5" t="str">
        <f>IFERROR(VLOOKUP(E629,Specifications!$A$2:$D$9,4,FALSE),"")</f>
        <v/>
      </c>
      <c r="P629" s="8" t="str">
        <f t="shared" si="30"/>
        <v/>
      </c>
      <c r="Q629" s="9"/>
    </row>
    <row r="630" spans="1:17" ht="15">
      <c r="A630" s="5" t="str">
        <f t="shared" si="28"/>
        <v/>
      </c>
      <c r="B630" s="6"/>
      <c r="C630" s="5" t="str">
        <f>IFERROR(VLOOKUP(B630,Lists!$A$2:$B$25,2,FALSE),"")</f>
        <v/>
      </c>
      <c r="D630" s="7"/>
      <c r="E630" s="6"/>
      <c r="F630" s="6" t="str">
        <f t="shared" si="29"/>
        <v/>
      </c>
      <c r="G630" s="6"/>
      <c r="H630" s="6"/>
      <c r="I630" s="6"/>
      <c r="J630" s="7"/>
      <c r="K630" s="5" t="str" cm="1">
        <f t="array" ref="K630">IF(OR(A630="",B630="",D630="",E630=""),"",A630&amp;"_"&amp;SUBSTITUTE(B630," ","-")&amp;"_"&amp;D630&amp;"_"&amp;SUBSTITUTE(SUBSTITUTE(E630," ",""),"€","Euro")&amp;"_"&amp;IF(F630="","Unknown",F630)&amp;IF(F630="Commemorative",IF(G630="","","_"&amp;SUBSTITUTE(SUBSTITUTE(SUBSTITUTE(G630," ","-"),"/","-"),CHAR(39),"")),"")&amp;IF(I630="Duplicate","_Dub"&amp;IF(SUMPRODUCT(($B$2:B630=B630)*($D$2:D630=D630)*($E$2:E630=E630)*($F$2:F630=F630)*($G$2:G630=G630)*($I$2:I630="Duplicate"))&lt;=1,"",SUMPRODUCT(($B$2:B630=B630)*($D$2:D630=D630)*($E$2:E630=E630)*($F$2:F630=F630)*($G$2:G630=G630)*($I$2:I630="Duplicate"))-1),"")&amp;".jpeg")</f>
        <v/>
      </c>
      <c r="L630" s="6"/>
      <c r="M630" s="5" t="str">
        <f>IFERROR(VLOOKUP(E630,Specifications!$A$2:$D$9,2,FALSE),"")</f>
        <v/>
      </c>
      <c r="N630" s="5" t="str">
        <f>IFERROR(VLOOKUP(E630,Specifications!$A$2:$D$9,3,FALSE),"")</f>
        <v/>
      </c>
      <c r="O630" s="5" t="str">
        <f>IFERROR(VLOOKUP(E630,Specifications!$A$2:$D$9,4,FALSE),"")</f>
        <v/>
      </c>
      <c r="P630" s="8" t="str">
        <f t="shared" si="30"/>
        <v/>
      </c>
      <c r="Q630" s="9"/>
    </row>
    <row r="631" spans="1:17" ht="15">
      <c r="A631" s="5" t="str">
        <f t="shared" si="28"/>
        <v/>
      </c>
      <c r="B631" s="6"/>
      <c r="C631" s="5" t="str">
        <f>IFERROR(VLOOKUP(B631,Lists!$A$2:$B$25,2,FALSE),"")</f>
        <v/>
      </c>
      <c r="D631" s="7"/>
      <c r="E631" s="6"/>
      <c r="F631" s="6" t="str">
        <f t="shared" si="29"/>
        <v/>
      </c>
      <c r="G631" s="6"/>
      <c r="H631" s="6"/>
      <c r="I631" s="6"/>
      <c r="J631" s="7"/>
      <c r="K631" s="5" t="str" cm="1">
        <f t="array" ref="K631">IF(OR(A631="",B631="",D631="",E631=""),"",A631&amp;"_"&amp;SUBSTITUTE(B631," ","-")&amp;"_"&amp;D631&amp;"_"&amp;SUBSTITUTE(SUBSTITUTE(E631," ",""),"€","Euro")&amp;"_"&amp;IF(F631="","Unknown",F631)&amp;IF(F631="Commemorative",IF(G631="","","_"&amp;SUBSTITUTE(SUBSTITUTE(SUBSTITUTE(G631," ","-"),"/","-"),CHAR(39),"")),"")&amp;IF(I631="Duplicate","_Dub"&amp;IF(SUMPRODUCT(($B$2:B631=B631)*($D$2:D631=D631)*($E$2:E631=E631)*($F$2:F631=F631)*($G$2:G631=G631)*($I$2:I631="Duplicate"))&lt;=1,"",SUMPRODUCT(($B$2:B631=B631)*($D$2:D631=D631)*($E$2:E631=E631)*($F$2:F631=F631)*($G$2:G631=G631)*($I$2:I631="Duplicate"))-1),"")&amp;".jpeg")</f>
        <v/>
      </c>
      <c r="L631" s="6"/>
      <c r="M631" s="5" t="str">
        <f>IFERROR(VLOOKUP(E631,Specifications!$A$2:$D$9,2,FALSE),"")</f>
        <v/>
      </c>
      <c r="N631" s="5" t="str">
        <f>IFERROR(VLOOKUP(E631,Specifications!$A$2:$D$9,3,FALSE),"")</f>
        <v/>
      </c>
      <c r="O631" s="5" t="str">
        <f>IFERROR(VLOOKUP(E631,Specifications!$A$2:$D$9,4,FALSE),"")</f>
        <v/>
      </c>
      <c r="P631" s="8" t="str">
        <f t="shared" si="30"/>
        <v/>
      </c>
      <c r="Q631" s="9"/>
    </row>
    <row r="632" spans="1:17" ht="15">
      <c r="A632" s="5" t="str">
        <f t="shared" si="28"/>
        <v/>
      </c>
      <c r="B632" s="6"/>
      <c r="C632" s="5" t="str">
        <f>IFERROR(VLOOKUP(B632,Lists!$A$2:$B$25,2,FALSE),"")</f>
        <v/>
      </c>
      <c r="D632" s="7"/>
      <c r="E632" s="6"/>
      <c r="F632" s="6" t="str">
        <f t="shared" si="29"/>
        <v/>
      </c>
      <c r="G632" s="6"/>
      <c r="H632" s="6"/>
      <c r="I632" s="6"/>
      <c r="J632" s="7"/>
      <c r="K632" s="5" t="str" cm="1">
        <f t="array" ref="K632">IF(OR(A632="",B632="",D632="",E632=""),"",A632&amp;"_"&amp;SUBSTITUTE(B632," ","-")&amp;"_"&amp;D632&amp;"_"&amp;SUBSTITUTE(SUBSTITUTE(E632," ",""),"€","Euro")&amp;"_"&amp;IF(F632="","Unknown",F632)&amp;IF(F632="Commemorative",IF(G632="","","_"&amp;SUBSTITUTE(SUBSTITUTE(SUBSTITUTE(G632," ","-"),"/","-"),CHAR(39),"")),"")&amp;IF(I632="Duplicate","_Dub"&amp;IF(SUMPRODUCT(($B$2:B632=B632)*($D$2:D632=D632)*($E$2:E632=E632)*($F$2:F632=F632)*($G$2:G632=G632)*($I$2:I632="Duplicate"))&lt;=1,"",SUMPRODUCT(($B$2:B632=B632)*($D$2:D632=D632)*($E$2:E632=E632)*($F$2:F632=F632)*($G$2:G632=G632)*($I$2:I632="Duplicate"))-1),"")&amp;".jpeg")</f>
        <v/>
      </c>
      <c r="L632" s="6"/>
      <c r="M632" s="5" t="str">
        <f>IFERROR(VLOOKUP(E632,Specifications!$A$2:$D$9,2,FALSE),"")</f>
        <v/>
      </c>
      <c r="N632" s="5" t="str">
        <f>IFERROR(VLOOKUP(E632,Specifications!$A$2:$D$9,3,FALSE),"")</f>
        <v/>
      </c>
      <c r="O632" s="5" t="str">
        <f>IFERROR(VLOOKUP(E632,Specifications!$A$2:$D$9,4,FALSE),"")</f>
        <v/>
      </c>
      <c r="P632" s="8" t="str">
        <f t="shared" si="30"/>
        <v/>
      </c>
      <c r="Q632" s="9"/>
    </row>
    <row r="633" spans="1:17" ht="15">
      <c r="A633" s="5" t="str">
        <f t="shared" si="28"/>
        <v/>
      </c>
      <c r="B633" s="6"/>
      <c r="C633" s="5" t="str">
        <f>IFERROR(VLOOKUP(B633,Lists!$A$2:$B$25,2,FALSE),"")</f>
        <v/>
      </c>
      <c r="D633" s="7"/>
      <c r="E633" s="6"/>
      <c r="F633" s="6" t="str">
        <f t="shared" si="29"/>
        <v/>
      </c>
      <c r="G633" s="6"/>
      <c r="H633" s="6"/>
      <c r="I633" s="6"/>
      <c r="J633" s="7"/>
      <c r="K633" s="5" t="str" cm="1">
        <f t="array" ref="K633">IF(OR(A633="",B633="",D633="",E633=""),"",A633&amp;"_"&amp;SUBSTITUTE(B633," ","-")&amp;"_"&amp;D633&amp;"_"&amp;SUBSTITUTE(SUBSTITUTE(E633," ",""),"€","Euro")&amp;"_"&amp;IF(F633="","Unknown",F633)&amp;IF(F633="Commemorative",IF(G633="","","_"&amp;SUBSTITUTE(SUBSTITUTE(SUBSTITUTE(G633," ","-"),"/","-"),CHAR(39),"")),"")&amp;IF(I633="Duplicate","_Dub"&amp;IF(SUMPRODUCT(($B$2:B633=B633)*($D$2:D633=D633)*($E$2:E633=E633)*($F$2:F633=F633)*($G$2:G633=G633)*($I$2:I633="Duplicate"))&lt;=1,"",SUMPRODUCT(($B$2:B633=B633)*($D$2:D633=D633)*($E$2:E633=E633)*($F$2:F633=F633)*($G$2:G633=G633)*($I$2:I633="Duplicate"))-1),"")&amp;".jpeg")</f>
        <v/>
      </c>
      <c r="L633" s="6"/>
      <c r="M633" s="5" t="str">
        <f>IFERROR(VLOOKUP(E633,Specifications!$A$2:$D$9,2,FALSE),"")</f>
        <v/>
      </c>
      <c r="N633" s="5" t="str">
        <f>IFERROR(VLOOKUP(E633,Specifications!$A$2:$D$9,3,FALSE),"")</f>
        <v/>
      </c>
      <c r="O633" s="5" t="str">
        <f>IFERROR(VLOOKUP(E633,Specifications!$A$2:$D$9,4,FALSE),"")</f>
        <v/>
      </c>
      <c r="P633" s="8" t="str">
        <f t="shared" si="30"/>
        <v/>
      </c>
      <c r="Q633" s="9"/>
    </row>
    <row r="634" spans="1:17" ht="15">
      <c r="A634" s="5" t="str">
        <f t="shared" si="28"/>
        <v/>
      </c>
      <c r="B634" s="6"/>
      <c r="C634" s="5" t="str">
        <f>IFERROR(VLOOKUP(B634,Lists!$A$2:$B$25,2,FALSE),"")</f>
        <v/>
      </c>
      <c r="D634" s="7"/>
      <c r="E634" s="6"/>
      <c r="F634" s="6" t="str">
        <f t="shared" si="29"/>
        <v/>
      </c>
      <c r="G634" s="6"/>
      <c r="H634" s="6"/>
      <c r="I634" s="6"/>
      <c r="J634" s="7"/>
      <c r="K634" s="5" t="str" cm="1">
        <f t="array" ref="K634">IF(OR(A634="",B634="",D634="",E634=""),"",A634&amp;"_"&amp;SUBSTITUTE(B634," ","-")&amp;"_"&amp;D634&amp;"_"&amp;SUBSTITUTE(SUBSTITUTE(E634," ",""),"€","Euro")&amp;"_"&amp;IF(F634="","Unknown",F634)&amp;IF(F634="Commemorative",IF(G634="","","_"&amp;SUBSTITUTE(SUBSTITUTE(SUBSTITUTE(G634," ","-"),"/","-"),CHAR(39),"")),"")&amp;IF(I634="Duplicate","_Dub"&amp;IF(SUMPRODUCT(($B$2:B634=B634)*($D$2:D634=D634)*($E$2:E634=E634)*($F$2:F634=F634)*($G$2:G634=G634)*($I$2:I634="Duplicate"))&lt;=1,"",SUMPRODUCT(($B$2:B634=B634)*($D$2:D634=D634)*($E$2:E634=E634)*($F$2:F634=F634)*($G$2:G634=G634)*($I$2:I634="Duplicate"))-1),"")&amp;".jpeg")</f>
        <v/>
      </c>
      <c r="L634" s="6"/>
      <c r="M634" s="5" t="str">
        <f>IFERROR(VLOOKUP(E634,Specifications!$A$2:$D$9,2,FALSE),"")</f>
        <v/>
      </c>
      <c r="N634" s="5" t="str">
        <f>IFERROR(VLOOKUP(E634,Specifications!$A$2:$D$9,3,FALSE),"")</f>
        <v/>
      </c>
      <c r="O634" s="5" t="str">
        <f>IFERROR(VLOOKUP(E634,Specifications!$A$2:$D$9,4,FALSE),"")</f>
        <v/>
      </c>
      <c r="P634" s="8" t="str">
        <f t="shared" si="30"/>
        <v/>
      </c>
      <c r="Q634" s="9"/>
    </row>
    <row r="635" spans="1:17" ht="15">
      <c r="A635" s="5" t="str">
        <f t="shared" si="28"/>
        <v/>
      </c>
      <c r="B635" s="6"/>
      <c r="C635" s="5" t="str">
        <f>IFERROR(VLOOKUP(B635,Lists!$A$2:$B$25,2,FALSE),"")</f>
        <v/>
      </c>
      <c r="D635" s="7"/>
      <c r="E635" s="6"/>
      <c r="F635" s="6" t="str">
        <f t="shared" si="29"/>
        <v/>
      </c>
      <c r="G635" s="6"/>
      <c r="H635" s="6"/>
      <c r="I635" s="6"/>
      <c r="J635" s="7"/>
      <c r="K635" s="5" t="str" cm="1">
        <f t="array" ref="K635">IF(OR(A635="",B635="",D635="",E635=""),"",A635&amp;"_"&amp;SUBSTITUTE(B635," ","-")&amp;"_"&amp;D635&amp;"_"&amp;SUBSTITUTE(SUBSTITUTE(E635," ",""),"€","Euro")&amp;"_"&amp;IF(F635="","Unknown",F635)&amp;IF(F635="Commemorative",IF(G635="","","_"&amp;SUBSTITUTE(SUBSTITUTE(SUBSTITUTE(G635," ","-"),"/","-"),CHAR(39),"")),"")&amp;IF(I635="Duplicate","_Dub"&amp;IF(SUMPRODUCT(($B$2:B635=B635)*($D$2:D635=D635)*($E$2:E635=E635)*($F$2:F635=F635)*($G$2:G635=G635)*($I$2:I635="Duplicate"))&lt;=1,"",SUMPRODUCT(($B$2:B635=B635)*($D$2:D635=D635)*($E$2:E635=E635)*($F$2:F635=F635)*($G$2:G635=G635)*($I$2:I635="Duplicate"))-1),"")&amp;".jpeg")</f>
        <v/>
      </c>
      <c r="L635" s="6"/>
      <c r="M635" s="5" t="str">
        <f>IFERROR(VLOOKUP(E635,Specifications!$A$2:$D$9,2,FALSE),"")</f>
        <v/>
      </c>
      <c r="N635" s="5" t="str">
        <f>IFERROR(VLOOKUP(E635,Specifications!$A$2:$D$9,3,FALSE),"")</f>
        <v/>
      </c>
      <c r="O635" s="5" t="str">
        <f>IFERROR(VLOOKUP(E635,Specifications!$A$2:$D$9,4,FALSE),"")</f>
        <v/>
      </c>
      <c r="P635" s="8" t="str">
        <f t="shared" si="30"/>
        <v/>
      </c>
      <c r="Q635" s="9"/>
    </row>
    <row r="636" spans="1:17" ht="15">
      <c r="A636" s="5" t="str">
        <f t="shared" si="28"/>
        <v/>
      </c>
      <c r="B636" s="6"/>
      <c r="C636" s="5" t="str">
        <f>IFERROR(VLOOKUP(B636,Lists!$A$2:$B$25,2,FALSE),"")</f>
        <v/>
      </c>
      <c r="D636" s="7"/>
      <c r="E636" s="6"/>
      <c r="F636" s="6" t="str">
        <f t="shared" si="29"/>
        <v/>
      </c>
      <c r="G636" s="6"/>
      <c r="H636" s="6"/>
      <c r="I636" s="6"/>
      <c r="J636" s="7"/>
      <c r="K636" s="5" t="str" cm="1">
        <f t="array" ref="K636">IF(OR(A636="",B636="",D636="",E636=""),"",A636&amp;"_"&amp;SUBSTITUTE(B636," ","-")&amp;"_"&amp;D636&amp;"_"&amp;SUBSTITUTE(SUBSTITUTE(E636," ",""),"€","Euro")&amp;"_"&amp;IF(F636="","Unknown",F636)&amp;IF(F636="Commemorative",IF(G636="","","_"&amp;SUBSTITUTE(SUBSTITUTE(SUBSTITUTE(G636," ","-"),"/","-"),CHAR(39),"")),"")&amp;IF(I636="Duplicate","_Dub"&amp;IF(SUMPRODUCT(($B$2:B636=B636)*($D$2:D636=D636)*($E$2:E636=E636)*($F$2:F636=F636)*($G$2:G636=G636)*($I$2:I636="Duplicate"))&lt;=1,"",SUMPRODUCT(($B$2:B636=B636)*($D$2:D636=D636)*($E$2:E636=E636)*($F$2:F636=F636)*($G$2:G636=G636)*($I$2:I636="Duplicate"))-1),"")&amp;".jpeg")</f>
        <v/>
      </c>
      <c r="L636" s="6"/>
      <c r="M636" s="5" t="str">
        <f>IFERROR(VLOOKUP(E636,Specifications!$A$2:$D$9,2,FALSE),"")</f>
        <v/>
      </c>
      <c r="N636" s="5" t="str">
        <f>IFERROR(VLOOKUP(E636,Specifications!$A$2:$D$9,3,FALSE),"")</f>
        <v/>
      </c>
      <c r="O636" s="5" t="str">
        <f>IFERROR(VLOOKUP(E636,Specifications!$A$2:$D$9,4,FALSE),"")</f>
        <v/>
      </c>
      <c r="P636" s="8" t="str">
        <f t="shared" si="30"/>
        <v/>
      </c>
      <c r="Q636" s="9"/>
    </row>
    <row r="637" spans="1:17" ht="15">
      <c r="A637" s="5" t="str">
        <f t="shared" si="28"/>
        <v/>
      </c>
      <c r="B637" s="6"/>
      <c r="C637" s="5" t="str">
        <f>IFERROR(VLOOKUP(B637,Lists!$A$2:$B$25,2,FALSE),"")</f>
        <v/>
      </c>
      <c r="D637" s="7"/>
      <c r="E637" s="6"/>
      <c r="F637" s="6" t="str">
        <f t="shared" si="29"/>
        <v/>
      </c>
      <c r="G637" s="6"/>
      <c r="H637" s="6"/>
      <c r="I637" s="6"/>
      <c r="J637" s="7"/>
      <c r="K637" s="5" t="str" cm="1">
        <f t="array" ref="K637">IF(OR(A637="",B637="",D637="",E637=""),"",A637&amp;"_"&amp;SUBSTITUTE(B637," ","-")&amp;"_"&amp;D637&amp;"_"&amp;SUBSTITUTE(SUBSTITUTE(E637," ",""),"€","Euro")&amp;"_"&amp;IF(F637="","Unknown",F637)&amp;IF(F637="Commemorative",IF(G637="","","_"&amp;SUBSTITUTE(SUBSTITUTE(SUBSTITUTE(G637," ","-"),"/","-"),CHAR(39),"")),"")&amp;IF(I637="Duplicate","_Dub"&amp;IF(SUMPRODUCT(($B$2:B637=B637)*($D$2:D637=D637)*($E$2:E637=E637)*($F$2:F637=F637)*($G$2:G637=G637)*($I$2:I637="Duplicate"))&lt;=1,"",SUMPRODUCT(($B$2:B637=B637)*($D$2:D637=D637)*($E$2:E637=E637)*($F$2:F637=F637)*($G$2:G637=G637)*($I$2:I637="Duplicate"))-1),"")&amp;".jpeg")</f>
        <v/>
      </c>
      <c r="L637" s="6"/>
      <c r="M637" s="5" t="str">
        <f>IFERROR(VLOOKUP(E637,Specifications!$A$2:$D$9,2,FALSE),"")</f>
        <v/>
      </c>
      <c r="N637" s="5" t="str">
        <f>IFERROR(VLOOKUP(E637,Specifications!$A$2:$D$9,3,FALSE),"")</f>
        <v/>
      </c>
      <c r="O637" s="5" t="str">
        <f>IFERROR(VLOOKUP(E637,Specifications!$A$2:$D$9,4,FALSE),"")</f>
        <v/>
      </c>
      <c r="P637" s="8" t="str">
        <f t="shared" si="30"/>
        <v/>
      </c>
      <c r="Q637" s="9"/>
    </row>
    <row r="638" spans="1:17" ht="15">
      <c r="A638" s="5" t="str">
        <f t="shared" si="28"/>
        <v/>
      </c>
      <c r="B638" s="6"/>
      <c r="C638" s="5" t="str">
        <f>IFERROR(VLOOKUP(B638,Lists!$A$2:$B$25,2,FALSE),"")</f>
        <v/>
      </c>
      <c r="D638" s="7"/>
      <c r="E638" s="6"/>
      <c r="F638" s="6" t="str">
        <f t="shared" si="29"/>
        <v/>
      </c>
      <c r="G638" s="6"/>
      <c r="H638" s="6"/>
      <c r="I638" s="6"/>
      <c r="J638" s="7"/>
      <c r="K638" s="5" t="str" cm="1">
        <f t="array" ref="K638">IF(OR(A638="",B638="",D638="",E638=""),"",A638&amp;"_"&amp;SUBSTITUTE(B638," ","-")&amp;"_"&amp;D638&amp;"_"&amp;SUBSTITUTE(SUBSTITUTE(E638," ",""),"€","Euro")&amp;"_"&amp;IF(F638="","Unknown",F638)&amp;IF(F638="Commemorative",IF(G638="","","_"&amp;SUBSTITUTE(SUBSTITUTE(SUBSTITUTE(G638," ","-"),"/","-"),CHAR(39),"")),"")&amp;IF(I638="Duplicate","_Dub"&amp;IF(SUMPRODUCT(($B$2:B638=B638)*($D$2:D638=D638)*($E$2:E638=E638)*($F$2:F638=F638)*($G$2:G638=G638)*($I$2:I638="Duplicate"))&lt;=1,"",SUMPRODUCT(($B$2:B638=B638)*($D$2:D638=D638)*($E$2:E638=E638)*($F$2:F638=F638)*($G$2:G638=G638)*($I$2:I638="Duplicate"))-1),"")&amp;".jpeg")</f>
        <v/>
      </c>
      <c r="L638" s="6"/>
      <c r="M638" s="5" t="str">
        <f>IFERROR(VLOOKUP(E638,Specifications!$A$2:$D$9,2,FALSE),"")</f>
        <v/>
      </c>
      <c r="N638" s="5" t="str">
        <f>IFERROR(VLOOKUP(E638,Specifications!$A$2:$D$9,3,FALSE),"")</f>
        <v/>
      </c>
      <c r="O638" s="5" t="str">
        <f>IFERROR(VLOOKUP(E638,Specifications!$A$2:$D$9,4,FALSE),"")</f>
        <v/>
      </c>
      <c r="P638" s="8" t="str">
        <f t="shared" si="30"/>
        <v/>
      </c>
      <c r="Q638" s="9"/>
    </row>
    <row r="639" spans="1:17" ht="15">
      <c r="A639" s="5" t="str">
        <f t="shared" si="28"/>
        <v/>
      </c>
      <c r="B639" s="6"/>
      <c r="C639" s="5" t="str">
        <f>IFERROR(VLOOKUP(B639,Lists!$A$2:$B$25,2,FALSE),"")</f>
        <v/>
      </c>
      <c r="D639" s="7"/>
      <c r="E639" s="6"/>
      <c r="F639" s="6" t="str">
        <f t="shared" si="29"/>
        <v/>
      </c>
      <c r="G639" s="6"/>
      <c r="H639" s="6"/>
      <c r="I639" s="6"/>
      <c r="J639" s="7"/>
      <c r="K639" s="5" t="str" cm="1">
        <f t="array" ref="K639">IF(OR(A639="",B639="",D639="",E639=""),"",A639&amp;"_"&amp;SUBSTITUTE(B639," ","-")&amp;"_"&amp;D639&amp;"_"&amp;SUBSTITUTE(SUBSTITUTE(E639," ",""),"€","Euro")&amp;"_"&amp;IF(F639="","Unknown",F639)&amp;IF(F639="Commemorative",IF(G639="","","_"&amp;SUBSTITUTE(SUBSTITUTE(SUBSTITUTE(G639," ","-"),"/","-"),CHAR(39),"")),"")&amp;IF(I639="Duplicate","_Dub"&amp;IF(SUMPRODUCT(($B$2:B639=B639)*($D$2:D639=D639)*($E$2:E639=E639)*($F$2:F639=F639)*($G$2:G639=G639)*($I$2:I639="Duplicate"))&lt;=1,"",SUMPRODUCT(($B$2:B639=B639)*($D$2:D639=D639)*($E$2:E639=E639)*($F$2:F639=F639)*($G$2:G639=G639)*($I$2:I639="Duplicate"))-1),"")&amp;".jpeg")</f>
        <v/>
      </c>
      <c r="L639" s="6"/>
      <c r="M639" s="5" t="str">
        <f>IFERROR(VLOOKUP(E639,Specifications!$A$2:$D$9,2,FALSE),"")</f>
        <v/>
      </c>
      <c r="N639" s="5" t="str">
        <f>IFERROR(VLOOKUP(E639,Specifications!$A$2:$D$9,3,FALSE),"")</f>
        <v/>
      </c>
      <c r="O639" s="5" t="str">
        <f>IFERROR(VLOOKUP(E639,Specifications!$A$2:$D$9,4,FALSE),"")</f>
        <v/>
      </c>
      <c r="P639" s="8" t="str">
        <f t="shared" si="30"/>
        <v/>
      </c>
      <c r="Q639" s="9"/>
    </row>
    <row r="640" spans="1:17" ht="15">
      <c r="A640" s="5" t="str">
        <f t="shared" si="28"/>
        <v/>
      </c>
      <c r="B640" s="6"/>
      <c r="C640" s="5" t="str">
        <f>IFERROR(VLOOKUP(B640,Lists!$A$2:$B$25,2,FALSE),"")</f>
        <v/>
      </c>
      <c r="D640" s="7"/>
      <c r="E640" s="6"/>
      <c r="F640" s="6" t="str">
        <f t="shared" si="29"/>
        <v/>
      </c>
      <c r="G640" s="6"/>
      <c r="H640" s="6"/>
      <c r="I640" s="6"/>
      <c r="J640" s="7"/>
      <c r="K640" s="5" t="str" cm="1">
        <f t="array" ref="K640">IF(OR(A640="",B640="",D640="",E640=""),"",A640&amp;"_"&amp;SUBSTITUTE(B640," ","-")&amp;"_"&amp;D640&amp;"_"&amp;SUBSTITUTE(SUBSTITUTE(E640," ",""),"€","Euro")&amp;"_"&amp;IF(F640="","Unknown",F640)&amp;IF(F640="Commemorative",IF(G640="","","_"&amp;SUBSTITUTE(SUBSTITUTE(SUBSTITUTE(G640," ","-"),"/","-"),CHAR(39),"")),"")&amp;IF(I640="Duplicate","_Dub"&amp;IF(SUMPRODUCT(($B$2:B640=B640)*($D$2:D640=D640)*($E$2:E640=E640)*($F$2:F640=F640)*($G$2:G640=G640)*($I$2:I640="Duplicate"))&lt;=1,"",SUMPRODUCT(($B$2:B640=B640)*($D$2:D640=D640)*($E$2:E640=E640)*($F$2:F640=F640)*($G$2:G640=G640)*($I$2:I640="Duplicate"))-1),"")&amp;".jpeg")</f>
        <v/>
      </c>
      <c r="L640" s="6"/>
      <c r="M640" s="5" t="str">
        <f>IFERROR(VLOOKUP(E640,Specifications!$A$2:$D$9,2,FALSE),"")</f>
        <v/>
      </c>
      <c r="N640" s="5" t="str">
        <f>IFERROR(VLOOKUP(E640,Specifications!$A$2:$D$9,3,FALSE),"")</f>
        <v/>
      </c>
      <c r="O640" s="5" t="str">
        <f>IFERROR(VLOOKUP(E640,Specifications!$A$2:$D$9,4,FALSE),"")</f>
        <v/>
      </c>
      <c r="P640" s="8" t="str">
        <f t="shared" si="30"/>
        <v/>
      </c>
      <c r="Q640" s="9"/>
    </row>
    <row r="641" spans="1:17" ht="15">
      <c r="A641" s="5" t="str">
        <f t="shared" si="28"/>
        <v/>
      </c>
      <c r="B641" s="6"/>
      <c r="C641" s="5" t="str">
        <f>IFERROR(VLOOKUP(B641,Lists!$A$2:$B$25,2,FALSE),"")</f>
        <v/>
      </c>
      <c r="D641" s="7"/>
      <c r="E641" s="6"/>
      <c r="F641" s="6" t="str">
        <f t="shared" si="29"/>
        <v/>
      </c>
      <c r="G641" s="6"/>
      <c r="H641" s="6"/>
      <c r="I641" s="6"/>
      <c r="J641" s="7"/>
      <c r="K641" s="5" t="str" cm="1">
        <f t="array" ref="K641">IF(OR(A641="",B641="",D641="",E641=""),"",A641&amp;"_"&amp;SUBSTITUTE(B641," ","-")&amp;"_"&amp;D641&amp;"_"&amp;SUBSTITUTE(SUBSTITUTE(E641," ",""),"€","Euro")&amp;"_"&amp;IF(F641="","Unknown",F641)&amp;IF(F641="Commemorative",IF(G641="","","_"&amp;SUBSTITUTE(SUBSTITUTE(SUBSTITUTE(G641," ","-"),"/","-"),CHAR(39),"")),"")&amp;IF(I641="Duplicate","_Dub"&amp;IF(SUMPRODUCT(($B$2:B641=B641)*($D$2:D641=D641)*($E$2:E641=E641)*($F$2:F641=F641)*($G$2:G641=G641)*($I$2:I641="Duplicate"))&lt;=1,"",SUMPRODUCT(($B$2:B641=B641)*($D$2:D641=D641)*($E$2:E641=E641)*($F$2:F641=F641)*($G$2:G641=G641)*($I$2:I641="Duplicate"))-1),"")&amp;".jpeg")</f>
        <v/>
      </c>
      <c r="L641" s="6"/>
      <c r="M641" s="5" t="str">
        <f>IFERROR(VLOOKUP(E641,Specifications!$A$2:$D$9,2,FALSE),"")</f>
        <v/>
      </c>
      <c r="N641" s="5" t="str">
        <f>IFERROR(VLOOKUP(E641,Specifications!$A$2:$D$9,3,FALSE),"")</f>
        <v/>
      </c>
      <c r="O641" s="5" t="str">
        <f>IFERROR(VLOOKUP(E641,Specifications!$A$2:$D$9,4,FALSE),"")</f>
        <v/>
      </c>
      <c r="P641" s="8" t="str">
        <f t="shared" si="30"/>
        <v/>
      </c>
      <c r="Q641" s="9"/>
    </row>
    <row r="642" spans="1:17" ht="15">
      <c r="A642" s="5" t="str">
        <f t="shared" ref="A642:A705" si="31">IF(B642="","",TEXT(ROW()-1,"000"))</f>
        <v/>
      </c>
      <c r="B642" s="6"/>
      <c r="C642" s="5" t="str">
        <f>IFERROR(VLOOKUP(B642,Lists!$A$2:$B$25,2,FALSE),"")</f>
        <v/>
      </c>
      <c r="D642" s="7"/>
      <c r="E642" s="6"/>
      <c r="F642" s="6" t="str">
        <f t="shared" ref="F642:F705" si="32">IF(E642="","",IF(E642="2 €","", "Regular"))</f>
        <v/>
      </c>
      <c r="G642" s="6"/>
      <c r="H642" s="6"/>
      <c r="I642" s="6"/>
      <c r="J642" s="7"/>
      <c r="K642" s="5" t="str" cm="1">
        <f t="array" ref="K642">IF(OR(A642="",B642="",D642="",E642=""),"",A642&amp;"_"&amp;SUBSTITUTE(B642," ","-")&amp;"_"&amp;D642&amp;"_"&amp;SUBSTITUTE(SUBSTITUTE(E642," ",""),"€","Euro")&amp;"_"&amp;IF(F642="","Unknown",F642)&amp;IF(F642="Commemorative",IF(G642="","","_"&amp;SUBSTITUTE(SUBSTITUTE(SUBSTITUTE(G642," ","-"),"/","-"),CHAR(39),"")),"")&amp;IF(I642="Duplicate","_Dub"&amp;IF(SUMPRODUCT(($B$2:B642=B642)*($D$2:D642=D642)*($E$2:E642=E642)*($F$2:F642=F642)*($G$2:G642=G642)*($I$2:I642="Duplicate"))&lt;=1,"",SUMPRODUCT(($B$2:B642=B642)*($D$2:D642=D642)*($E$2:E642=E642)*($F$2:F642=F642)*($G$2:G642=G642)*($I$2:I642="Duplicate"))-1),"")&amp;".jpeg")</f>
        <v/>
      </c>
      <c r="L642" s="6"/>
      <c r="M642" s="5" t="str">
        <f>IFERROR(VLOOKUP(E642,Specifications!$A$2:$D$9,2,FALSE),"")</f>
        <v/>
      </c>
      <c r="N642" s="5" t="str">
        <f>IFERROR(VLOOKUP(E642,Specifications!$A$2:$D$9,3,FALSE),"")</f>
        <v/>
      </c>
      <c r="O642" s="5" t="str">
        <f>IFERROR(VLOOKUP(E642,Specifications!$A$2:$D$9,4,FALSE),"")</f>
        <v/>
      </c>
      <c r="P642" s="8" t="str">
        <f t="shared" ref="P642:P705" si="33">IF(OR(B642="",E642="",F642=""),"",IF(F642="Regular","Regular "&amp;E642&amp;" circulation coin of "&amp;B642&amp;".",IF(F642="Commemorative",IF(G642="","",E642&amp;" commemorative coin of "&amp;B642&amp;" – "&amp;G642&amp;"."),"")))</f>
        <v/>
      </c>
      <c r="Q642" s="9"/>
    </row>
    <row r="643" spans="1:17" ht="15">
      <c r="A643" s="5" t="str">
        <f t="shared" si="31"/>
        <v/>
      </c>
      <c r="B643" s="6"/>
      <c r="C643" s="5" t="str">
        <f>IFERROR(VLOOKUP(B643,Lists!$A$2:$B$25,2,FALSE),"")</f>
        <v/>
      </c>
      <c r="D643" s="7"/>
      <c r="E643" s="6"/>
      <c r="F643" s="6" t="str">
        <f t="shared" si="32"/>
        <v/>
      </c>
      <c r="G643" s="6"/>
      <c r="H643" s="6"/>
      <c r="I643" s="6"/>
      <c r="J643" s="7"/>
      <c r="K643" s="5" t="str" cm="1">
        <f t="array" ref="K643">IF(OR(A643="",B643="",D643="",E643=""),"",A643&amp;"_"&amp;SUBSTITUTE(B643," ","-")&amp;"_"&amp;D643&amp;"_"&amp;SUBSTITUTE(SUBSTITUTE(E643," ",""),"€","Euro")&amp;"_"&amp;IF(F643="","Unknown",F643)&amp;IF(F643="Commemorative",IF(G643="","","_"&amp;SUBSTITUTE(SUBSTITUTE(SUBSTITUTE(G643," ","-"),"/","-"),CHAR(39),"")),"")&amp;IF(I643="Duplicate","_Dub"&amp;IF(SUMPRODUCT(($B$2:B643=B643)*($D$2:D643=D643)*($E$2:E643=E643)*($F$2:F643=F643)*($G$2:G643=G643)*($I$2:I643="Duplicate"))&lt;=1,"",SUMPRODUCT(($B$2:B643=B643)*($D$2:D643=D643)*($E$2:E643=E643)*($F$2:F643=F643)*($G$2:G643=G643)*($I$2:I643="Duplicate"))-1),"")&amp;".jpeg")</f>
        <v/>
      </c>
      <c r="L643" s="6"/>
      <c r="M643" s="5" t="str">
        <f>IFERROR(VLOOKUP(E643,Specifications!$A$2:$D$9,2,FALSE),"")</f>
        <v/>
      </c>
      <c r="N643" s="5" t="str">
        <f>IFERROR(VLOOKUP(E643,Specifications!$A$2:$D$9,3,FALSE),"")</f>
        <v/>
      </c>
      <c r="O643" s="5" t="str">
        <f>IFERROR(VLOOKUP(E643,Specifications!$A$2:$D$9,4,FALSE),"")</f>
        <v/>
      </c>
      <c r="P643" s="8" t="str">
        <f t="shared" si="33"/>
        <v/>
      </c>
      <c r="Q643" s="9"/>
    </row>
    <row r="644" spans="1:17" ht="15">
      <c r="A644" s="5" t="str">
        <f t="shared" si="31"/>
        <v/>
      </c>
      <c r="B644" s="6"/>
      <c r="C644" s="5" t="str">
        <f>IFERROR(VLOOKUP(B644,Lists!$A$2:$B$25,2,FALSE),"")</f>
        <v/>
      </c>
      <c r="D644" s="7"/>
      <c r="E644" s="6"/>
      <c r="F644" s="6" t="str">
        <f t="shared" si="32"/>
        <v/>
      </c>
      <c r="G644" s="6"/>
      <c r="H644" s="6"/>
      <c r="I644" s="6"/>
      <c r="J644" s="7"/>
      <c r="K644" s="5" t="str" cm="1">
        <f t="array" ref="K644">IF(OR(A644="",B644="",D644="",E644=""),"",A644&amp;"_"&amp;SUBSTITUTE(B644," ","-")&amp;"_"&amp;D644&amp;"_"&amp;SUBSTITUTE(SUBSTITUTE(E644," ",""),"€","Euro")&amp;"_"&amp;IF(F644="","Unknown",F644)&amp;IF(F644="Commemorative",IF(G644="","","_"&amp;SUBSTITUTE(SUBSTITUTE(SUBSTITUTE(G644," ","-"),"/","-"),CHAR(39),"")),"")&amp;IF(I644="Duplicate","_Dub"&amp;IF(SUMPRODUCT(($B$2:B644=B644)*($D$2:D644=D644)*($E$2:E644=E644)*($F$2:F644=F644)*($G$2:G644=G644)*($I$2:I644="Duplicate"))&lt;=1,"",SUMPRODUCT(($B$2:B644=B644)*($D$2:D644=D644)*($E$2:E644=E644)*($F$2:F644=F644)*($G$2:G644=G644)*($I$2:I644="Duplicate"))-1),"")&amp;".jpeg")</f>
        <v/>
      </c>
      <c r="L644" s="6"/>
      <c r="M644" s="5" t="str">
        <f>IFERROR(VLOOKUP(E644,Specifications!$A$2:$D$9,2,FALSE),"")</f>
        <v/>
      </c>
      <c r="N644" s="5" t="str">
        <f>IFERROR(VLOOKUP(E644,Specifications!$A$2:$D$9,3,FALSE),"")</f>
        <v/>
      </c>
      <c r="O644" s="5" t="str">
        <f>IFERROR(VLOOKUP(E644,Specifications!$A$2:$D$9,4,FALSE),"")</f>
        <v/>
      </c>
      <c r="P644" s="8" t="str">
        <f t="shared" si="33"/>
        <v/>
      </c>
      <c r="Q644" s="9"/>
    </row>
    <row r="645" spans="1:17" ht="15">
      <c r="A645" s="5" t="str">
        <f t="shared" si="31"/>
        <v/>
      </c>
      <c r="B645" s="6"/>
      <c r="C645" s="5" t="str">
        <f>IFERROR(VLOOKUP(B645,Lists!$A$2:$B$25,2,FALSE),"")</f>
        <v/>
      </c>
      <c r="D645" s="7"/>
      <c r="E645" s="6"/>
      <c r="F645" s="6" t="str">
        <f t="shared" si="32"/>
        <v/>
      </c>
      <c r="G645" s="6"/>
      <c r="H645" s="6"/>
      <c r="I645" s="6"/>
      <c r="J645" s="7"/>
      <c r="K645" s="5" t="str" cm="1">
        <f t="array" ref="K645">IF(OR(A645="",B645="",D645="",E645=""),"",A645&amp;"_"&amp;SUBSTITUTE(B645," ","-")&amp;"_"&amp;D645&amp;"_"&amp;SUBSTITUTE(SUBSTITUTE(E645," ",""),"€","Euro")&amp;"_"&amp;IF(F645="","Unknown",F645)&amp;IF(F645="Commemorative",IF(G645="","","_"&amp;SUBSTITUTE(SUBSTITUTE(SUBSTITUTE(G645," ","-"),"/","-"),CHAR(39),"")),"")&amp;IF(I645="Duplicate","_Dub"&amp;IF(SUMPRODUCT(($B$2:B645=B645)*($D$2:D645=D645)*($E$2:E645=E645)*($F$2:F645=F645)*($G$2:G645=G645)*($I$2:I645="Duplicate"))&lt;=1,"",SUMPRODUCT(($B$2:B645=B645)*($D$2:D645=D645)*($E$2:E645=E645)*($F$2:F645=F645)*($G$2:G645=G645)*($I$2:I645="Duplicate"))-1),"")&amp;".jpeg")</f>
        <v/>
      </c>
      <c r="L645" s="6"/>
      <c r="M645" s="5" t="str">
        <f>IFERROR(VLOOKUP(E645,Specifications!$A$2:$D$9,2,FALSE),"")</f>
        <v/>
      </c>
      <c r="N645" s="5" t="str">
        <f>IFERROR(VLOOKUP(E645,Specifications!$A$2:$D$9,3,FALSE),"")</f>
        <v/>
      </c>
      <c r="O645" s="5" t="str">
        <f>IFERROR(VLOOKUP(E645,Specifications!$A$2:$D$9,4,FALSE),"")</f>
        <v/>
      </c>
      <c r="P645" s="8" t="str">
        <f t="shared" si="33"/>
        <v/>
      </c>
      <c r="Q645" s="9"/>
    </row>
    <row r="646" spans="1:17" ht="15">
      <c r="A646" s="5" t="str">
        <f t="shared" si="31"/>
        <v/>
      </c>
      <c r="B646" s="6"/>
      <c r="C646" s="5" t="str">
        <f>IFERROR(VLOOKUP(B646,Lists!$A$2:$B$25,2,FALSE),"")</f>
        <v/>
      </c>
      <c r="D646" s="7"/>
      <c r="E646" s="6"/>
      <c r="F646" s="6" t="str">
        <f t="shared" si="32"/>
        <v/>
      </c>
      <c r="G646" s="6"/>
      <c r="H646" s="6"/>
      <c r="I646" s="6"/>
      <c r="J646" s="7"/>
      <c r="K646" s="5" t="str" cm="1">
        <f t="array" ref="K646">IF(OR(A646="",B646="",D646="",E646=""),"",A646&amp;"_"&amp;SUBSTITUTE(B646," ","-")&amp;"_"&amp;D646&amp;"_"&amp;SUBSTITUTE(SUBSTITUTE(E646," ",""),"€","Euro")&amp;"_"&amp;IF(F646="","Unknown",F646)&amp;IF(F646="Commemorative",IF(G646="","","_"&amp;SUBSTITUTE(SUBSTITUTE(SUBSTITUTE(G646," ","-"),"/","-"),CHAR(39),"")),"")&amp;IF(I646="Duplicate","_Dub"&amp;IF(SUMPRODUCT(($B$2:B646=B646)*($D$2:D646=D646)*($E$2:E646=E646)*($F$2:F646=F646)*($G$2:G646=G646)*($I$2:I646="Duplicate"))&lt;=1,"",SUMPRODUCT(($B$2:B646=B646)*($D$2:D646=D646)*($E$2:E646=E646)*($F$2:F646=F646)*($G$2:G646=G646)*($I$2:I646="Duplicate"))-1),"")&amp;".jpeg")</f>
        <v/>
      </c>
      <c r="L646" s="6"/>
      <c r="M646" s="5" t="str">
        <f>IFERROR(VLOOKUP(E646,Specifications!$A$2:$D$9,2,FALSE),"")</f>
        <v/>
      </c>
      <c r="N646" s="5" t="str">
        <f>IFERROR(VLOOKUP(E646,Specifications!$A$2:$D$9,3,FALSE),"")</f>
        <v/>
      </c>
      <c r="O646" s="5" t="str">
        <f>IFERROR(VLOOKUP(E646,Specifications!$A$2:$D$9,4,FALSE),"")</f>
        <v/>
      </c>
      <c r="P646" s="8" t="str">
        <f t="shared" si="33"/>
        <v/>
      </c>
      <c r="Q646" s="9"/>
    </row>
    <row r="647" spans="1:17" ht="15">
      <c r="A647" s="5" t="str">
        <f t="shared" si="31"/>
        <v/>
      </c>
      <c r="B647" s="6"/>
      <c r="C647" s="5" t="str">
        <f>IFERROR(VLOOKUP(B647,Lists!$A$2:$B$25,2,FALSE),"")</f>
        <v/>
      </c>
      <c r="D647" s="7"/>
      <c r="E647" s="6"/>
      <c r="F647" s="6" t="str">
        <f t="shared" si="32"/>
        <v/>
      </c>
      <c r="G647" s="6"/>
      <c r="H647" s="6"/>
      <c r="I647" s="6"/>
      <c r="J647" s="7"/>
      <c r="K647" s="5" t="str" cm="1">
        <f t="array" ref="K647">IF(OR(A647="",B647="",D647="",E647=""),"",A647&amp;"_"&amp;SUBSTITUTE(B647," ","-")&amp;"_"&amp;D647&amp;"_"&amp;SUBSTITUTE(SUBSTITUTE(E647," ",""),"€","Euro")&amp;"_"&amp;IF(F647="","Unknown",F647)&amp;IF(F647="Commemorative",IF(G647="","","_"&amp;SUBSTITUTE(SUBSTITUTE(SUBSTITUTE(G647," ","-"),"/","-"),CHAR(39),"")),"")&amp;IF(I647="Duplicate","_Dub"&amp;IF(SUMPRODUCT(($B$2:B647=B647)*($D$2:D647=D647)*($E$2:E647=E647)*($F$2:F647=F647)*($G$2:G647=G647)*($I$2:I647="Duplicate"))&lt;=1,"",SUMPRODUCT(($B$2:B647=B647)*($D$2:D647=D647)*($E$2:E647=E647)*($F$2:F647=F647)*($G$2:G647=G647)*($I$2:I647="Duplicate"))-1),"")&amp;".jpeg")</f>
        <v/>
      </c>
      <c r="L647" s="6"/>
      <c r="M647" s="5" t="str">
        <f>IFERROR(VLOOKUP(E647,Specifications!$A$2:$D$9,2,FALSE),"")</f>
        <v/>
      </c>
      <c r="N647" s="5" t="str">
        <f>IFERROR(VLOOKUP(E647,Specifications!$A$2:$D$9,3,FALSE),"")</f>
        <v/>
      </c>
      <c r="O647" s="5" t="str">
        <f>IFERROR(VLOOKUP(E647,Specifications!$A$2:$D$9,4,FALSE),"")</f>
        <v/>
      </c>
      <c r="P647" s="8" t="str">
        <f t="shared" si="33"/>
        <v/>
      </c>
      <c r="Q647" s="9"/>
    </row>
    <row r="648" spans="1:17" ht="15">
      <c r="A648" s="5" t="str">
        <f t="shared" si="31"/>
        <v/>
      </c>
      <c r="B648" s="6"/>
      <c r="C648" s="5" t="str">
        <f>IFERROR(VLOOKUP(B648,Lists!$A$2:$B$25,2,FALSE),"")</f>
        <v/>
      </c>
      <c r="D648" s="7"/>
      <c r="E648" s="6"/>
      <c r="F648" s="6" t="str">
        <f t="shared" si="32"/>
        <v/>
      </c>
      <c r="G648" s="6"/>
      <c r="H648" s="6"/>
      <c r="I648" s="6"/>
      <c r="J648" s="7"/>
      <c r="K648" s="5" t="str" cm="1">
        <f t="array" ref="K648">IF(OR(A648="",B648="",D648="",E648=""),"",A648&amp;"_"&amp;SUBSTITUTE(B648," ","-")&amp;"_"&amp;D648&amp;"_"&amp;SUBSTITUTE(SUBSTITUTE(E648," ",""),"€","Euro")&amp;"_"&amp;IF(F648="","Unknown",F648)&amp;IF(F648="Commemorative",IF(G648="","","_"&amp;SUBSTITUTE(SUBSTITUTE(SUBSTITUTE(G648," ","-"),"/","-"),CHAR(39),"")),"")&amp;IF(I648="Duplicate","_Dub"&amp;IF(SUMPRODUCT(($B$2:B648=B648)*($D$2:D648=D648)*($E$2:E648=E648)*($F$2:F648=F648)*($G$2:G648=G648)*($I$2:I648="Duplicate"))&lt;=1,"",SUMPRODUCT(($B$2:B648=B648)*($D$2:D648=D648)*($E$2:E648=E648)*($F$2:F648=F648)*($G$2:G648=G648)*($I$2:I648="Duplicate"))-1),"")&amp;".jpeg")</f>
        <v/>
      </c>
      <c r="L648" s="6"/>
      <c r="M648" s="5" t="str">
        <f>IFERROR(VLOOKUP(E648,Specifications!$A$2:$D$9,2,FALSE),"")</f>
        <v/>
      </c>
      <c r="N648" s="5" t="str">
        <f>IFERROR(VLOOKUP(E648,Specifications!$A$2:$D$9,3,FALSE),"")</f>
        <v/>
      </c>
      <c r="O648" s="5" t="str">
        <f>IFERROR(VLOOKUP(E648,Specifications!$A$2:$D$9,4,FALSE),"")</f>
        <v/>
      </c>
      <c r="P648" s="8" t="str">
        <f t="shared" si="33"/>
        <v/>
      </c>
      <c r="Q648" s="9"/>
    </row>
    <row r="649" spans="1:17" ht="15">
      <c r="A649" s="5" t="str">
        <f t="shared" si="31"/>
        <v/>
      </c>
      <c r="B649" s="6"/>
      <c r="C649" s="5" t="str">
        <f>IFERROR(VLOOKUP(B649,Lists!$A$2:$B$25,2,FALSE),"")</f>
        <v/>
      </c>
      <c r="D649" s="7"/>
      <c r="E649" s="6"/>
      <c r="F649" s="6" t="str">
        <f t="shared" si="32"/>
        <v/>
      </c>
      <c r="G649" s="6"/>
      <c r="H649" s="6"/>
      <c r="I649" s="6"/>
      <c r="J649" s="7"/>
      <c r="K649" s="5" t="str" cm="1">
        <f t="array" ref="K649">IF(OR(A649="",B649="",D649="",E649=""),"",A649&amp;"_"&amp;SUBSTITUTE(B649," ","-")&amp;"_"&amp;D649&amp;"_"&amp;SUBSTITUTE(SUBSTITUTE(E649," ",""),"€","Euro")&amp;"_"&amp;IF(F649="","Unknown",F649)&amp;IF(F649="Commemorative",IF(G649="","","_"&amp;SUBSTITUTE(SUBSTITUTE(SUBSTITUTE(G649," ","-"),"/","-"),CHAR(39),"")),"")&amp;IF(I649="Duplicate","_Dub"&amp;IF(SUMPRODUCT(($B$2:B649=B649)*($D$2:D649=D649)*($E$2:E649=E649)*($F$2:F649=F649)*($G$2:G649=G649)*($I$2:I649="Duplicate"))&lt;=1,"",SUMPRODUCT(($B$2:B649=B649)*($D$2:D649=D649)*($E$2:E649=E649)*($F$2:F649=F649)*($G$2:G649=G649)*($I$2:I649="Duplicate"))-1),"")&amp;".jpeg")</f>
        <v/>
      </c>
      <c r="L649" s="6"/>
      <c r="M649" s="5" t="str">
        <f>IFERROR(VLOOKUP(E649,Specifications!$A$2:$D$9,2,FALSE),"")</f>
        <v/>
      </c>
      <c r="N649" s="5" t="str">
        <f>IFERROR(VLOOKUP(E649,Specifications!$A$2:$D$9,3,FALSE),"")</f>
        <v/>
      </c>
      <c r="O649" s="5" t="str">
        <f>IFERROR(VLOOKUP(E649,Specifications!$A$2:$D$9,4,FALSE),"")</f>
        <v/>
      </c>
      <c r="P649" s="8" t="str">
        <f t="shared" si="33"/>
        <v/>
      </c>
      <c r="Q649" s="9"/>
    </row>
    <row r="650" spans="1:17" ht="15">
      <c r="A650" s="5" t="str">
        <f t="shared" si="31"/>
        <v/>
      </c>
      <c r="B650" s="6"/>
      <c r="C650" s="5" t="str">
        <f>IFERROR(VLOOKUP(B650,Lists!$A$2:$B$25,2,FALSE),"")</f>
        <v/>
      </c>
      <c r="D650" s="7"/>
      <c r="E650" s="6"/>
      <c r="F650" s="6" t="str">
        <f t="shared" si="32"/>
        <v/>
      </c>
      <c r="G650" s="6"/>
      <c r="H650" s="6"/>
      <c r="I650" s="6"/>
      <c r="J650" s="7"/>
      <c r="K650" s="5" t="str" cm="1">
        <f t="array" ref="K650">IF(OR(A650="",B650="",D650="",E650=""),"",A650&amp;"_"&amp;SUBSTITUTE(B650," ","-")&amp;"_"&amp;D650&amp;"_"&amp;SUBSTITUTE(SUBSTITUTE(E650," ",""),"€","Euro")&amp;"_"&amp;IF(F650="","Unknown",F650)&amp;IF(F650="Commemorative",IF(G650="","","_"&amp;SUBSTITUTE(SUBSTITUTE(SUBSTITUTE(G650," ","-"),"/","-"),CHAR(39),"")),"")&amp;IF(I650="Duplicate","_Dub"&amp;IF(SUMPRODUCT(($B$2:B650=B650)*($D$2:D650=D650)*($E$2:E650=E650)*($F$2:F650=F650)*($G$2:G650=G650)*($I$2:I650="Duplicate"))&lt;=1,"",SUMPRODUCT(($B$2:B650=B650)*($D$2:D650=D650)*($E$2:E650=E650)*($F$2:F650=F650)*($G$2:G650=G650)*($I$2:I650="Duplicate"))-1),"")&amp;".jpeg")</f>
        <v/>
      </c>
      <c r="L650" s="6"/>
      <c r="M650" s="5" t="str">
        <f>IFERROR(VLOOKUP(E650,Specifications!$A$2:$D$9,2,FALSE),"")</f>
        <v/>
      </c>
      <c r="N650" s="5" t="str">
        <f>IFERROR(VLOOKUP(E650,Specifications!$A$2:$D$9,3,FALSE),"")</f>
        <v/>
      </c>
      <c r="O650" s="5" t="str">
        <f>IFERROR(VLOOKUP(E650,Specifications!$A$2:$D$9,4,FALSE),"")</f>
        <v/>
      </c>
      <c r="P650" s="8" t="str">
        <f t="shared" si="33"/>
        <v/>
      </c>
      <c r="Q650" s="9"/>
    </row>
    <row r="651" spans="1:17" ht="15">
      <c r="A651" s="5" t="str">
        <f t="shared" si="31"/>
        <v/>
      </c>
      <c r="B651" s="6"/>
      <c r="C651" s="5" t="str">
        <f>IFERROR(VLOOKUP(B651,Lists!$A$2:$B$25,2,FALSE),"")</f>
        <v/>
      </c>
      <c r="D651" s="7"/>
      <c r="E651" s="6"/>
      <c r="F651" s="6" t="str">
        <f t="shared" si="32"/>
        <v/>
      </c>
      <c r="G651" s="6"/>
      <c r="H651" s="6"/>
      <c r="I651" s="6"/>
      <c r="J651" s="7"/>
      <c r="K651" s="5" t="str" cm="1">
        <f t="array" ref="K651">IF(OR(A651="",B651="",D651="",E651=""),"",A651&amp;"_"&amp;SUBSTITUTE(B651," ","-")&amp;"_"&amp;D651&amp;"_"&amp;SUBSTITUTE(SUBSTITUTE(E651," ",""),"€","Euro")&amp;"_"&amp;IF(F651="","Unknown",F651)&amp;IF(F651="Commemorative",IF(G651="","","_"&amp;SUBSTITUTE(SUBSTITUTE(SUBSTITUTE(G651," ","-"),"/","-"),CHAR(39),"")),"")&amp;IF(I651="Duplicate","_Dub"&amp;IF(SUMPRODUCT(($B$2:B651=B651)*($D$2:D651=D651)*($E$2:E651=E651)*($F$2:F651=F651)*($G$2:G651=G651)*($I$2:I651="Duplicate"))&lt;=1,"",SUMPRODUCT(($B$2:B651=B651)*($D$2:D651=D651)*($E$2:E651=E651)*($F$2:F651=F651)*($G$2:G651=G651)*($I$2:I651="Duplicate"))-1),"")&amp;".jpeg")</f>
        <v/>
      </c>
      <c r="L651" s="6"/>
      <c r="M651" s="5" t="str">
        <f>IFERROR(VLOOKUP(E651,Specifications!$A$2:$D$9,2,FALSE),"")</f>
        <v/>
      </c>
      <c r="N651" s="5" t="str">
        <f>IFERROR(VLOOKUP(E651,Specifications!$A$2:$D$9,3,FALSE),"")</f>
        <v/>
      </c>
      <c r="O651" s="5" t="str">
        <f>IFERROR(VLOOKUP(E651,Specifications!$A$2:$D$9,4,FALSE),"")</f>
        <v/>
      </c>
      <c r="P651" s="8" t="str">
        <f t="shared" si="33"/>
        <v/>
      </c>
      <c r="Q651" s="9"/>
    </row>
    <row r="652" spans="1:17" ht="15">
      <c r="A652" s="5" t="str">
        <f t="shared" si="31"/>
        <v/>
      </c>
      <c r="B652" s="6"/>
      <c r="C652" s="5" t="str">
        <f>IFERROR(VLOOKUP(B652,Lists!$A$2:$B$25,2,FALSE),"")</f>
        <v/>
      </c>
      <c r="D652" s="7"/>
      <c r="E652" s="6"/>
      <c r="F652" s="6" t="str">
        <f t="shared" si="32"/>
        <v/>
      </c>
      <c r="G652" s="6"/>
      <c r="H652" s="6"/>
      <c r="I652" s="6"/>
      <c r="J652" s="7"/>
      <c r="K652" s="5" t="str" cm="1">
        <f t="array" ref="K652">IF(OR(A652="",B652="",D652="",E652=""),"",A652&amp;"_"&amp;SUBSTITUTE(B652," ","-")&amp;"_"&amp;D652&amp;"_"&amp;SUBSTITUTE(SUBSTITUTE(E652," ",""),"€","Euro")&amp;"_"&amp;IF(F652="","Unknown",F652)&amp;IF(F652="Commemorative",IF(G652="","","_"&amp;SUBSTITUTE(SUBSTITUTE(SUBSTITUTE(G652," ","-"),"/","-"),CHAR(39),"")),"")&amp;IF(I652="Duplicate","_Dub"&amp;IF(SUMPRODUCT(($B$2:B652=B652)*($D$2:D652=D652)*($E$2:E652=E652)*($F$2:F652=F652)*($G$2:G652=G652)*($I$2:I652="Duplicate"))&lt;=1,"",SUMPRODUCT(($B$2:B652=B652)*($D$2:D652=D652)*($E$2:E652=E652)*($F$2:F652=F652)*($G$2:G652=G652)*($I$2:I652="Duplicate"))-1),"")&amp;".jpeg")</f>
        <v/>
      </c>
      <c r="L652" s="6"/>
      <c r="M652" s="5" t="str">
        <f>IFERROR(VLOOKUP(E652,Specifications!$A$2:$D$9,2,FALSE),"")</f>
        <v/>
      </c>
      <c r="N652" s="5" t="str">
        <f>IFERROR(VLOOKUP(E652,Specifications!$A$2:$D$9,3,FALSE),"")</f>
        <v/>
      </c>
      <c r="O652" s="5" t="str">
        <f>IFERROR(VLOOKUP(E652,Specifications!$A$2:$D$9,4,FALSE),"")</f>
        <v/>
      </c>
      <c r="P652" s="8" t="str">
        <f t="shared" si="33"/>
        <v/>
      </c>
      <c r="Q652" s="9"/>
    </row>
    <row r="653" spans="1:17" ht="15">
      <c r="A653" s="5" t="str">
        <f t="shared" si="31"/>
        <v/>
      </c>
      <c r="B653" s="6"/>
      <c r="C653" s="5" t="str">
        <f>IFERROR(VLOOKUP(B653,Lists!$A$2:$B$25,2,FALSE),"")</f>
        <v/>
      </c>
      <c r="D653" s="7"/>
      <c r="E653" s="6"/>
      <c r="F653" s="6" t="str">
        <f t="shared" si="32"/>
        <v/>
      </c>
      <c r="G653" s="6"/>
      <c r="H653" s="6"/>
      <c r="I653" s="6"/>
      <c r="J653" s="7"/>
      <c r="K653" s="5" t="str" cm="1">
        <f t="array" ref="K653">IF(OR(A653="",B653="",D653="",E653=""),"",A653&amp;"_"&amp;SUBSTITUTE(B653," ","-")&amp;"_"&amp;D653&amp;"_"&amp;SUBSTITUTE(SUBSTITUTE(E653," ",""),"€","Euro")&amp;"_"&amp;IF(F653="","Unknown",F653)&amp;IF(F653="Commemorative",IF(G653="","","_"&amp;SUBSTITUTE(SUBSTITUTE(SUBSTITUTE(G653," ","-"),"/","-"),CHAR(39),"")),"")&amp;IF(I653="Duplicate","_Dub"&amp;IF(SUMPRODUCT(($B$2:B653=B653)*($D$2:D653=D653)*($E$2:E653=E653)*($F$2:F653=F653)*($G$2:G653=G653)*($I$2:I653="Duplicate"))&lt;=1,"",SUMPRODUCT(($B$2:B653=B653)*($D$2:D653=D653)*($E$2:E653=E653)*($F$2:F653=F653)*($G$2:G653=G653)*($I$2:I653="Duplicate"))-1),"")&amp;".jpeg")</f>
        <v/>
      </c>
      <c r="L653" s="6"/>
      <c r="M653" s="5" t="str">
        <f>IFERROR(VLOOKUP(E653,Specifications!$A$2:$D$9,2,FALSE),"")</f>
        <v/>
      </c>
      <c r="N653" s="5" t="str">
        <f>IFERROR(VLOOKUP(E653,Specifications!$A$2:$D$9,3,FALSE),"")</f>
        <v/>
      </c>
      <c r="O653" s="5" t="str">
        <f>IFERROR(VLOOKUP(E653,Specifications!$A$2:$D$9,4,FALSE),"")</f>
        <v/>
      </c>
      <c r="P653" s="8" t="str">
        <f t="shared" si="33"/>
        <v/>
      </c>
      <c r="Q653" s="9"/>
    </row>
    <row r="654" spans="1:17" ht="15">
      <c r="A654" s="5" t="str">
        <f t="shared" si="31"/>
        <v/>
      </c>
      <c r="B654" s="6"/>
      <c r="C654" s="5" t="str">
        <f>IFERROR(VLOOKUP(B654,Lists!$A$2:$B$25,2,FALSE),"")</f>
        <v/>
      </c>
      <c r="D654" s="7"/>
      <c r="E654" s="6"/>
      <c r="F654" s="6" t="str">
        <f t="shared" si="32"/>
        <v/>
      </c>
      <c r="G654" s="6"/>
      <c r="H654" s="6"/>
      <c r="I654" s="6"/>
      <c r="J654" s="7"/>
      <c r="K654" s="5" t="str" cm="1">
        <f t="array" ref="K654">IF(OR(A654="",B654="",D654="",E654=""),"",A654&amp;"_"&amp;SUBSTITUTE(B654," ","-")&amp;"_"&amp;D654&amp;"_"&amp;SUBSTITUTE(SUBSTITUTE(E654," ",""),"€","Euro")&amp;"_"&amp;IF(F654="","Unknown",F654)&amp;IF(F654="Commemorative",IF(G654="","","_"&amp;SUBSTITUTE(SUBSTITUTE(SUBSTITUTE(G654," ","-"),"/","-"),CHAR(39),"")),"")&amp;IF(I654="Duplicate","_Dub"&amp;IF(SUMPRODUCT(($B$2:B654=B654)*($D$2:D654=D654)*($E$2:E654=E654)*($F$2:F654=F654)*($G$2:G654=G654)*($I$2:I654="Duplicate"))&lt;=1,"",SUMPRODUCT(($B$2:B654=B654)*($D$2:D654=D654)*($E$2:E654=E654)*($F$2:F654=F654)*($G$2:G654=G654)*($I$2:I654="Duplicate"))-1),"")&amp;".jpeg")</f>
        <v/>
      </c>
      <c r="L654" s="6"/>
      <c r="M654" s="5" t="str">
        <f>IFERROR(VLOOKUP(E654,Specifications!$A$2:$D$9,2,FALSE),"")</f>
        <v/>
      </c>
      <c r="N654" s="5" t="str">
        <f>IFERROR(VLOOKUP(E654,Specifications!$A$2:$D$9,3,FALSE),"")</f>
        <v/>
      </c>
      <c r="O654" s="5" t="str">
        <f>IFERROR(VLOOKUP(E654,Specifications!$A$2:$D$9,4,FALSE),"")</f>
        <v/>
      </c>
      <c r="P654" s="8" t="str">
        <f t="shared" si="33"/>
        <v/>
      </c>
      <c r="Q654" s="9"/>
    </row>
    <row r="655" spans="1:17" ht="15">
      <c r="A655" s="5" t="str">
        <f t="shared" si="31"/>
        <v/>
      </c>
      <c r="B655" s="6"/>
      <c r="C655" s="5" t="str">
        <f>IFERROR(VLOOKUP(B655,Lists!$A$2:$B$25,2,FALSE),"")</f>
        <v/>
      </c>
      <c r="D655" s="7"/>
      <c r="E655" s="6"/>
      <c r="F655" s="6" t="str">
        <f t="shared" si="32"/>
        <v/>
      </c>
      <c r="G655" s="6"/>
      <c r="H655" s="6"/>
      <c r="I655" s="6"/>
      <c r="J655" s="7"/>
      <c r="K655" s="5" t="str" cm="1">
        <f t="array" ref="K655">IF(OR(A655="",B655="",D655="",E655=""),"",A655&amp;"_"&amp;SUBSTITUTE(B655," ","-")&amp;"_"&amp;D655&amp;"_"&amp;SUBSTITUTE(SUBSTITUTE(E655," ",""),"€","Euro")&amp;"_"&amp;IF(F655="","Unknown",F655)&amp;IF(F655="Commemorative",IF(G655="","","_"&amp;SUBSTITUTE(SUBSTITUTE(SUBSTITUTE(G655," ","-"),"/","-"),CHAR(39),"")),"")&amp;IF(I655="Duplicate","_Dub"&amp;IF(SUMPRODUCT(($B$2:B655=B655)*($D$2:D655=D655)*($E$2:E655=E655)*($F$2:F655=F655)*($G$2:G655=G655)*($I$2:I655="Duplicate"))&lt;=1,"",SUMPRODUCT(($B$2:B655=B655)*($D$2:D655=D655)*($E$2:E655=E655)*($F$2:F655=F655)*($G$2:G655=G655)*($I$2:I655="Duplicate"))-1),"")&amp;".jpeg")</f>
        <v/>
      </c>
      <c r="L655" s="6"/>
      <c r="M655" s="5" t="str">
        <f>IFERROR(VLOOKUP(E655,Specifications!$A$2:$D$9,2,FALSE),"")</f>
        <v/>
      </c>
      <c r="N655" s="5" t="str">
        <f>IFERROR(VLOOKUP(E655,Specifications!$A$2:$D$9,3,FALSE),"")</f>
        <v/>
      </c>
      <c r="O655" s="5" t="str">
        <f>IFERROR(VLOOKUP(E655,Specifications!$A$2:$D$9,4,FALSE),"")</f>
        <v/>
      </c>
      <c r="P655" s="8" t="str">
        <f t="shared" si="33"/>
        <v/>
      </c>
      <c r="Q655" s="9"/>
    </row>
    <row r="656" spans="1:17" ht="15">
      <c r="A656" s="5" t="str">
        <f t="shared" si="31"/>
        <v/>
      </c>
      <c r="B656" s="6"/>
      <c r="C656" s="5" t="str">
        <f>IFERROR(VLOOKUP(B656,Lists!$A$2:$B$25,2,FALSE),"")</f>
        <v/>
      </c>
      <c r="D656" s="7"/>
      <c r="E656" s="6"/>
      <c r="F656" s="6" t="str">
        <f t="shared" si="32"/>
        <v/>
      </c>
      <c r="G656" s="6"/>
      <c r="H656" s="6"/>
      <c r="I656" s="6"/>
      <c r="J656" s="7"/>
      <c r="K656" s="5" t="str" cm="1">
        <f t="array" ref="K656">IF(OR(A656="",B656="",D656="",E656=""),"",A656&amp;"_"&amp;SUBSTITUTE(B656," ","-")&amp;"_"&amp;D656&amp;"_"&amp;SUBSTITUTE(SUBSTITUTE(E656," ",""),"€","Euro")&amp;"_"&amp;IF(F656="","Unknown",F656)&amp;IF(F656="Commemorative",IF(G656="","","_"&amp;SUBSTITUTE(SUBSTITUTE(SUBSTITUTE(G656," ","-"),"/","-"),CHAR(39),"")),"")&amp;IF(I656="Duplicate","_Dub"&amp;IF(SUMPRODUCT(($B$2:B656=B656)*($D$2:D656=D656)*($E$2:E656=E656)*($F$2:F656=F656)*($G$2:G656=G656)*($I$2:I656="Duplicate"))&lt;=1,"",SUMPRODUCT(($B$2:B656=B656)*($D$2:D656=D656)*($E$2:E656=E656)*($F$2:F656=F656)*($G$2:G656=G656)*($I$2:I656="Duplicate"))-1),"")&amp;".jpeg")</f>
        <v/>
      </c>
      <c r="L656" s="6"/>
      <c r="M656" s="5" t="str">
        <f>IFERROR(VLOOKUP(E656,Specifications!$A$2:$D$9,2,FALSE),"")</f>
        <v/>
      </c>
      <c r="N656" s="5" t="str">
        <f>IFERROR(VLOOKUP(E656,Specifications!$A$2:$D$9,3,FALSE),"")</f>
        <v/>
      </c>
      <c r="O656" s="5" t="str">
        <f>IFERROR(VLOOKUP(E656,Specifications!$A$2:$D$9,4,FALSE),"")</f>
        <v/>
      </c>
      <c r="P656" s="8" t="str">
        <f t="shared" si="33"/>
        <v/>
      </c>
      <c r="Q656" s="9"/>
    </row>
    <row r="657" spans="1:17" ht="15">
      <c r="A657" s="5" t="str">
        <f t="shared" si="31"/>
        <v/>
      </c>
      <c r="B657" s="6"/>
      <c r="C657" s="5" t="str">
        <f>IFERROR(VLOOKUP(B657,Lists!$A$2:$B$25,2,FALSE),"")</f>
        <v/>
      </c>
      <c r="D657" s="7"/>
      <c r="E657" s="6"/>
      <c r="F657" s="6" t="str">
        <f t="shared" si="32"/>
        <v/>
      </c>
      <c r="G657" s="6"/>
      <c r="H657" s="6"/>
      <c r="I657" s="6"/>
      <c r="J657" s="7"/>
      <c r="K657" s="5" t="str" cm="1">
        <f t="array" ref="K657">IF(OR(A657="",B657="",D657="",E657=""),"",A657&amp;"_"&amp;SUBSTITUTE(B657," ","-")&amp;"_"&amp;D657&amp;"_"&amp;SUBSTITUTE(SUBSTITUTE(E657," ",""),"€","Euro")&amp;"_"&amp;IF(F657="","Unknown",F657)&amp;IF(F657="Commemorative",IF(G657="","","_"&amp;SUBSTITUTE(SUBSTITUTE(SUBSTITUTE(G657," ","-"),"/","-"),CHAR(39),"")),"")&amp;IF(I657="Duplicate","_Dub"&amp;IF(SUMPRODUCT(($B$2:B657=B657)*($D$2:D657=D657)*($E$2:E657=E657)*($F$2:F657=F657)*($G$2:G657=G657)*($I$2:I657="Duplicate"))&lt;=1,"",SUMPRODUCT(($B$2:B657=B657)*($D$2:D657=D657)*($E$2:E657=E657)*($F$2:F657=F657)*($G$2:G657=G657)*($I$2:I657="Duplicate"))-1),"")&amp;".jpeg")</f>
        <v/>
      </c>
      <c r="L657" s="6"/>
      <c r="M657" s="5" t="str">
        <f>IFERROR(VLOOKUP(E657,Specifications!$A$2:$D$9,2,FALSE),"")</f>
        <v/>
      </c>
      <c r="N657" s="5" t="str">
        <f>IFERROR(VLOOKUP(E657,Specifications!$A$2:$D$9,3,FALSE),"")</f>
        <v/>
      </c>
      <c r="O657" s="5" t="str">
        <f>IFERROR(VLOOKUP(E657,Specifications!$A$2:$D$9,4,FALSE),"")</f>
        <v/>
      </c>
      <c r="P657" s="8" t="str">
        <f t="shared" si="33"/>
        <v/>
      </c>
      <c r="Q657" s="9"/>
    </row>
    <row r="658" spans="1:17" ht="15">
      <c r="A658" s="5" t="str">
        <f t="shared" si="31"/>
        <v/>
      </c>
      <c r="B658" s="6"/>
      <c r="C658" s="5" t="str">
        <f>IFERROR(VLOOKUP(B658,Lists!$A$2:$B$25,2,FALSE),"")</f>
        <v/>
      </c>
      <c r="D658" s="7"/>
      <c r="E658" s="6"/>
      <c r="F658" s="6" t="str">
        <f t="shared" si="32"/>
        <v/>
      </c>
      <c r="G658" s="6"/>
      <c r="H658" s="6"/>
      <c r="I658" s="6"/>
      <c r="J658" s="7"/>
      <c r="K658" s="5" t="str" cm="1">
        <f t="array" ref="K658">IF(OR(A658="",B658="",D658="",E658=""),"",A658&amp;"_"&amp;SUBSTITUTE(B658," ","-")&amp;"_"&amp;D658&amp;"_"&amp;SUBSTITUTE(SUBSTITUTE(E658," ",""),"€","Euro")&amp;"_"&amp;IF(F658="","Unknown",F658)&amp;IF(F658="Commemorative",IF(G658="","","_"&amp;SUBSTITUTE(SUBSTITUTE(SUBSTITUTE(G658," ","-"),"/","-"),CHAR(39),"")),"")&amp;IF(I658="Duplicate","_Dub"&amp;IF(SUMPRODUCT(($B$2:B658=B658)*($D$2:D658=D658)*($E$2:E658=E658)*($F$2:F658=F658)*($G$2:G658=G658)*($I$2:I658="Duplicate"))&lt;=1,"",SUMPRODUCT(($B$2:B658=B658)*($D$2:D658=D658)*($E$2:E658=E658)*($F$2:F658=F658)*($G$2:G658=G658)*($I$2:I658="Duplicate"))-1),"")&amp;".jpeg")</f>
        <v/>
      </c>
      <c r="L658" s="6"/>
      <c r="M658" s="5" t="str">
        <f>IFERROR(VLOOKUP(E658,Specifications!$A$2:$D$9,2,FALSE),"")</f>
        <v/>
      </c>
      <c r="N658" s="5" t="str">
        <f>IFERROR(VLOOKUP(E658,Specifications!$A$2:$D$9,3,FALSE),"")</f>
        <v/>
      </c>
      <c r="O658" s="5" t="str">
        <f>IFERROR(VLOOKUP(E658,Specifications!$A$2:$D$9,4,FALSE),"")</f>
        <v/>
      </c>
      <c r="P658" s="8" t="str">
        <f t="shared" si="33"/>
        <v/>
      </c>
      <c r="Q658" s="9"/>
    </row>
    <row r="659" spans="1:17" ht="15">
      <c r="A659" s="5" t="str">
        <f t="shared" si="31"/>
        <v/>
      </c>
      <c r="B659" s="6"/>
      <c r="C659" s="5" t="str">
        <f>IFERROR(VLOOKUP(B659,Lists!$A$2:$B$25,2,FALSE),"")</f>
        <v/>
      </c>
      <c r="D659" s="7"/>
      <c r="E659" s="6"/>
      <c r="F659" s="6" t="str">
        <f t="shared" si="32"/>
        <v/>
      </c>
      <c r="G659" s="6"/>
      <c r="H659" s="6"/>
      <c r="I659" s="6"/>
      <c r="J659" s="7"/>
      <c r="K659" s="5" t="str" cm="1">
        <f t="array" ref="K659">IF(OR(A659="",B659="",D659="",E659=""),"",A659&amp;"_"&amp;SUBSTITUTE(B659," ","-")&amp;"_"&amp;D659&amp;"_"&amp;SUBSTITUTE(SUBSTITUTE(E659," ",""),"€","Euro")&amp;"_"&amp;IF(F659="","Unknown",F659)&amp;IF(F659="Commemorative",IF(G659="","","_"&amp;SUBSTITUTE(SUBSTITUTE(SUBSTITUTE(G659," ","-"),"/","-"),CHAR(39),"")),"")&amp;IF(I659="Duplicate","_Dub"&amp;IF(SUMPRODUCT(($B$2:B659=B659)*($D$2:D659=D659)*($E$2:E659=E659)*($F$2:F659=F659)*($G$2:G659=G659)*($I$2:I659="Duplicate"))&lt;=1,"",SUMPRODUCT(($B$2:B659=B659)*($D$2:D659=D659)*($E$2:E659=E659)*($F$2:F659=F659)*($G$2:G659=G659)*($I$2:I659="Duplicate"))-1),"")&amp;".jpeg")</f>
        <v/>
      </c>
      <c r="L659" s="6"/>
      <c r="M659" s="5" t="str">
        <f>IFERROR(VLOOKUP(E659,Specifications!$A$2:$D$9,2,FALSE),"")</f>
        <v/>
      </c>
      <c r="N659" s="5" t="str">
        <f>IFERROR(VLOOKUP(E659,Specifications!$A$2:$D$9,3,FALSE),"")</f>
        <v/>
      </c>
      <c r="O659" s="5" t="str">
        <f>IFERROR(VLOOKUP(E659,Specifications!$A$2:$D$9,4,FALSE),"")</f>
        <v/>
      </c>
      <c r="P659" s="8" t="str">
        <f t="shared" si="33"/>
        <v/>
      </c>
      <c r="Q659" s="9"/>
    </row>
    <row r="660" spans="1:17" ht="15">
      <c r="A660" s="5" t="str">
        <f t="shared" si="31"/>
        <v/>
      </c>
      <c r="B660" s="6"/>
      <c r="C660" s="5" t="str">
        <f>IFERROR(VLOOKUP(B660,Lists!$A$2:$B$25,2,FALSE),"")</f>
        <v/>
      </c>
      <c r="D660" s="7"/>
      <c r="E660" s="6"/>
      <c r="F660" s="6" t="str">
        <f t="shared" si="32"/>
        <v/>
      </c>
      <c r="G660" s="6"/>
      <c r="H660" s="6"/>
      <c r="I660" s="6"/>
      <c r="J660" s="7"/>
      <c r="K660" s="5" t="str" cm="1">
        <f t="array" ref="K660">IF(OR(A660="",B660="",D660="",E660=""),"",A660&amp;"_"&amp;SUBSTITUTE(B660," ","-")&amp;"_"&amp;D660&amp;"_"&amp;SUBSTITUTE(SUBSTITUTE(E660," ",""),"€","Euro")&amp;"_"&amp;IF(F660="","Unknown",F660)&amp;IF(F660="Commemorative",IF(G660="","","_"&amp;SUBSTITUTE(SUBSTITUTE(SUBSTITUTE(G660," ","-"),"/","-"),CHAR(39),"")),"")&amp;IF(I660="Duplicate","_Dub"&amp;IF(SUMPRODUCT(($B$2:B660=B660)*($D$2:D660=D660)*($E$2:E660=E660)*($F$2:F660=F660)*($G$2:G660=G660)*($I$2:I660="Duplicate"))&lt;=1,"",SUMPRODUCT(($B$2:B660=B660)*($D$2:D660=D660)*($E$2:E660=E660)*($F$2:F660=F660)*($G$2:G660=G660)*($I$2:I660="Duplicate"))-1),"")&amp;".jpeg")</f>
        <v/>
      </c>
      <c r="L660" s="6"/>
      <c r="M660" s="5" t="str">
        <f>IFERROR(VLOOKUP(E660,Specifications!$A$2:$D$9,2,FALSE),"")</f>
        <v/>
      </c>
      <c r="N660" s="5" t="str">
        <f>IFERROR(VLOOKUP(E660,Specifications!$A$2:$D$9,3,FALSE),"")</f>
        <v/>
      </c>
      <c r="O660" s="5" t="str">
        <f>IFERROR(VLOOKUP(E660,Specifications!$A$2:$D$9,4,FALSE),"")</f>
        <v/>
      </c>
      <c r="P660" s="8" t="str">
        <f t="shared" si="33"/>
        <v/>
      </c>
      <c r="Q660" s="9"/>
    </row>
    <row r="661" spans="1:17" ht="15">
      <c r="A661" s="5" t="str">
        <f t="shared" si="31"/>
        <v/>
      </c>
      <c r="B661" s="6"/>
      <c r="C661" s="5" t="str">
        <f>IFERROR(VLOOKUP(B661,Lists!$A$2:$B$25,2,FALSE),"")</f>
        <v/>
      </c>
      <c r="D661" s="7"/>
      <c r="E661" s="6"/>
      <c r="F661" s="6" t="str">
        <f t="shared" si="32"/>
        <v/>
      </c>
      <c r="G661" s="6"/>
      <c r="H661" s="6"/>
      <c r="I661" s="6"/>
      <c r="J661" s="7"/>
      <c r="K661" s="5" t="str" cm="1">
        <f t="array" ref="K661">IF(OR(A661="",B661="",D661="",E661=""),"",A661&amp;"_"&amp;SUBSTITUTE(B661," ","-")&amp;"_"&amp;D661&amp;"_"&amp;SUBSTITUTE(SUBSTITUTE(E661," ",""),"€","Euro")&amp;"_"&amp;IF(F661="","Unknown",F661)&amp;IF(F661="Commemorative",IF(G661="","","_"&amp;SUBSTITUTE(SUBSTITUTE(SUBSTITUTE(G661," ","-"),"/","-"),CHAR(39),"")),"")&amp;IF(I661="Duplicate","_Dub"&amp;IF(SUMPRODUCT(($B$2:B661=B661)*($D$2:D661=D661)*($E$2:E661=E661)*($F$2:F661=F661)*($G$2:G661=G661)*($I$2:I661="Duplicate"))&lt;=1,"",SUMPRODUCT(($B$2:B661=B661)*($D$2:D661=D661)*($E$2:E661=E661)*($F$2:F661=F661)*($G$2:G661=G661)*($I$2:I661="Duplicate"))-1),"")&amp;".jpeg")</f>
        <v/>
      </c>
      <c r="L661" s="6"/>
      <c r="M661" s="5" t="str">
        <f>IFERROR(VLOOKUP(E661,Specifications!$A$2:$D$9,2,FALSE),"")</f>
        <v/>
      </c>
      <c r="N661" s="5" t="str">
        <f>IFERROR(VLOOKUP(E661,Specifications!$A$2:$D$9,3,FALSE),"")</f>
        <v/>
      </c>
      <c r="O661" s="5" t="str">
        <f>IFERROR(VLOOKUP(E661,Specifications!$A$2:$D$9,4,FALSE),"")</f>
        <v/>
      </c>
      <c r="P661" s="8" t="str">
        <f t="shared" si="33"/>
        <v/>
      </c>
      <c r="Q661" s="9"/>
    </row>
    <row r="662" spans="1:17" ht="15">
      <c r="A662" s="5" t="str">
        <f t="shared" si="31"/>
        <v/>
      </c>
      <c r="B662" s="6"/>
      <c r="C662" s="5" t="str">
        <f>IFERROR(VLOOKUP(B662,Lists!$A$2:$B$25,2,FALSE),"")</f>
        <v/>
      </c>
      <c r="D662" s="7"/>
      <c r="E662" s="6"/>
      <c r="F662" s="6" t="str">
        <f t="shared" si="32"/>
        <v/>
      </c>
      <c r="G662" s="6"/>
      <c r="H662" s="6"/>
      <c r="I662" s="6"/>
      <c r="J662" s="7"/>
      <c r="K662" s="5" t="str" cm="1">
        <f t="array" ref="K662">IF(OR(A662="",B662="",D662="",E662=""),"",A662&amp;"_"&amp;SUBSTITUTE(B662," ","-")&amp;"_"&amp;D662&amp;"_"&amp;SUBSTITUTE(SUBSTITUTE(E662," ",""),"€","Euro")&amp;"_"&amp;IF(F662="","Unknown",F662)&amp;IF(F662="Commemorative",IF(G662="","","_"&amp;SUBSTITUTE(SUBSTITUTE(SUBSTITUTE(G662," ","-"),"/","-"),CHAR(39),"")),"")&amp;IF(I662="Duplicate","_Dub"&amp;IF(SUMPRODUCT(($B$2:B662=B662)*($D$2:D662=D662)*($E$2:E662=E662)*($F$2:F662=F662)*($G$2:G662=G662)*($I$2:I662="Duplicate"))&lt;=1,"",SUMPRODUCT(($B$2:B662=B662)*($D$2:D662=D662)*($E$2:E662=E662)*($F$2:F662=F662)*($G$2:G662=G662)*($I$2:I662="Duplicate"))-1),"")&amp;".jpeg")</f>
        <v/>
      </c>
      <c r="L662" s="6"/>
      <c r="M662" s="5" t="str">
        <f>IFERROR(VLOOKUP(E662,Specifications!$A$2:$D$9,2,FALSE),"")</f>
        <v/>
      </c>
      <c r="N662" s="5" t="str">
        <f>IFERROR(VLOOKUP(E662,Specifications!$A$2:$D$9,3,FALSE),"")</f>
        <v/>
      </c>
      <c r="O662" s="5" t="str">
        <f>IFERROR(VLOOKUP(E662,Specifications!$A$2:$D$9,4,FALSE),"")</f>
        <v/>
      </c>
      <c r="P662" s="8" t="str">
        <f t="shared" si="33"/>
        <v/>
      </c>
      <c r="Q662" s="9"/>
    </row>
    <row r="663" spans="1:17" ht="15">
      <c r="A663" s="5" t="str">
        <f t="shared" si="31"/>
        <v/>
      </c>
      <c r="B663" s="6"/>
      <c r="C663" s="5" t="str">
        <f>IFERROR(VLOOKUP(B663,Lists!$A$2:$B$25,2,FALSE),"")</f>
        <v/>
      </c>
      <c r="D663" s="7"/>
      <c r="E663" s="6"/>
      <c r="F663" s="6" t="str">
        <f t="shared" si="32"/>
        <v/>
      </c>
      <c r="G663" s="6"/>
      <c r="H663" s="6"/>
      <c r="I663" s="6"/>
      <c r="J663" s="7"/>
      <c r="K663" s="5" t="str" cm="1">
        <f t="array" ref="K663">IF(OR(A663="",B663="",D663="",E663=""),"",A663&amp;"_"&amp;SUBSTITUTE(B663," ","-")&amp;"_"&amp;D663&amp;"_"&amp;SUBSTITUTE(SUBSTITUTE(E663," ",""),"€","Euro")&amp;"_"&amp;IF(F663="","Unknown",F663)&amp;IF(F663="Commemorative",IF(G663="","","_"&amp;SUBSTITUTE(SUBSTITUTE(SUBSTITUTE(G663," ","-"),"/","-"),CHAR(39),"")),"")&amp;IF(I663="Duplicate","_Dub"&amp;IF(SUMPRODUCT(($B$2:B663=B663)*($D$2:D663=D663)*($E$2:E663=E663)*($F$2:F663=F663)*($G$2:G663=G663)*($I$2:I663="Duplicate"))&lt;=1,"",SUMPRODUCT(($B$2:B663=B663)*($D$2:D663=D663)*($E$2:E663=E663)*($F$2:F663=F663)*($G$2:G663=G663)*($I$2:I663="Duplicate"))-1),"")&amp;".jpeg")</f>
        <v/>
      </c>
      <c r="L663" s="6"/>
      <c r="M663" s="5" t="str">
        <f>IFERROR(VLOOKUP(E663,Specifications!$A$2:$D$9,2,FALSE),"")</f>
        <v/>
      </c>
      <c r="N663" s="5" t="str">
        <f>IFERROR(VLOOKUP(E663,Specifications!$A$2:$D$9,3,FALSE),"")</f>
        <v/>
      </c>
      <c r="O663" s="5" t="str">
        <f>IFERROR(VLOOKUP(E663,Specifications!$A$2:$D$9,4,FALSE),"")</f>
        <v/>
      </c>
      <c r="P663" s="8" t="str">
        <f t="shared" si="33"/>
        <v/>
      </c>
      <c r="Q663" s="9"/>
    </row>
    <row r="664" spans="1:17" ht="15">
      <c r="A664" s="5" t="str">
        <f t="shared" si="31"/>
        <v/>
      </c>
      <c r="B664" s="6"/>
      <c r="C664" s="5" t="str">
        <f>IFERROR(VLOOKUP(B664,Lists!$A$2:$B$25,2,FALSE),"")</f>
        <v/>
      </c>
      <c r="D664" s="7"/>
      <c r="E664" s="6"/>
      <c r="F664" s="6" t="str">
        <f t="shared" si="32"/>
        <v/>
      </c>
      <c r="G664" s="6"/>
      <c r="H664" s="6"/>
      <c r="I664" s="6"/>
      <c r="J664" s="7"/>
      <c r="K664" s="5" t="str" cm="1">
        <f t="array" ref="K664">IF(OR(A664="",B664="",D664="",E664=""),"",A664&amp;"_"&amp;SUBSTITUTE(B664," ","-")&amp;"_"&amp;D664&amp;"_"&amp;SUBSTITUTE(SUBSTITUTE(E664," ",""),"€","Euro")&amp;"_"&amp;IF(F664="","Unknown",F664)&amp;IF(F664="Commemorative",IF(G664="","","_"&amp;SUBSTITUTE(SUBSTITUTE(SUBSTITUTE(G664," ","-"),"/","-"),CHAR(39),"")),"")&amp;IF(I664="Duplicate","_Dub"&amp;IF(SUMPRODUCT(($B$2:B664=B664)*($D$2:D664=D664)*($E$2:E664=E664)*($F$2:F664=F664)*($G$2:G664=G664)*($I$2:I664="Duplicate"))&lt;=1,"",SUMPRODUCT(($B$2:B664=B664)*($D$2:D664=D664)*($E$2:E664=E664)*($F$2:F664=F664)*($G$2:G664=G664)*($I$2:I664="Duplicate"))-1),"")&amp;".jpeg")</f>
        <v/>
      </c>
      <c r="L664" s="6"/>
      <c r="M664" s="5" t="str">
        <f>IFERROR(VLOOKUP(E664,Specifications!$A$2:$D$9,2,FALSE),"")</f>
        <v/>
      </c>
      <c r="N664" s="5" t="str">
        <f>IFERROR(VLOOKUP(E664,Specifications!$A$2:$D$9,3,FALSE),"")</f>
        <v/>
      </c>
      <c r="O664" s="5" t="str">
        <f>IFERROR(VLOOKUP(E664,Specifications!$A$2:$D$9,4,FALSE),"")</f>
        <v/>
      </c>
      <c r="P664" s="8" t="str">
        <f t="shared" si="33"/>
        <v/>
      </c>
      <c r="Q664" s="9"/>
    </row>
    <row r="665" spans="1:17" ht="15">
      <c r="A665" s="5" t="str">
        <f t="shared" si="31"/>
        <v/>
      </c>
      <c r="B665" s="6"/>
      <c r="C665" s="5" t="str">
        <f>IFERROR(VLOOKUP(B665,Lists!$A$2:$B$25,2,FALSE),"")</f>
        <v/>
      </c>
      <c r="D665" s="7"/>
      <c r="E665" s="6"/>
      <c r="F665" s="6" t="str">
        <f t="shared" si="32"/>
        <v/>
      </c>
      <c r="G665" s="6"/>
      <c r="H665" s="6"/>
      <c r="I665" s="6"/>
      <c r="J665" s="7"/>
      <c r="K665" s="5" t="str" cm="1">
        <f t="array" ref="K665">IF(OR(A665="",B665="",D665="",E665=""),"",A665&amp;"_"&amp;SUBSTITUTE(B665," ","-")&amp;"_"&amp;D665&amp;"_"&amp;SUBSTITUTE(SUBSTITUTE(E665," ",""),"€","Euro")&amp;"_"&amp;IF(F665="","Unknown",F665)&amp;IF(F665="Commemorative",IF(G665="","","_"&amp;SUBSTITUTE(SUBSTITUTE(SUBSTITUTE(G665," ","-"),"/","-"),CHAR(39),"")),"")&amp;IF(I665="Duplicate","_Dub"&amp;IF(SUMPRODUCT(($B$2:B665=B665)*($D$2:D665=D665)*($E$2:E665=E665)*($F$2:F665=F665)*($G$2:G665=G665)*($I$2:I665="Duplicate"))&lt;=1,"",SUMPRODUCT(($B$2:B665=B665)*($D$2:D665=D665)*($E$2:E665=E665)*($F$2:F665=F665)*($G$2:G665=G665)*($I$2:I665="Duplicate"))-1),"")&amp;".jpeg")</f>
        <v/>
      </c>
      <c r="L665" s="6"/>
      <c r="M665" s="5" t="str">
        <f>IFERROR(VLOOKUP(E665,Specifications!$A$2:$D$9,2,FALSE),"")</f>
        <v/>
      </c>
      <c r="N665" s="5" t="str">
        <f>IFERROR(VLOOKUP(E665,Specifications!$A$2:$D$9,3,FALSE),"")</f>
        <v/>
      </c>
      <c r="O665" s="5" t="str">
        <f>IFERROR(VLOOKUP(E665,Specifications!$A$2:$D$9,4,FALSE),"")</f>
        <v/>
      </c>
      <c r="P665" s="8" t="str">
        <f t="shared" si="33"/>
        <v/>
      </c>
      <c r="Q665" s="9"/>
    </row>
    <row r="666" spans="1:17" ht="15">
      <c r="A666" s="5" t="str">
        <f t="shared" si="31"/>
        <v/>
      </c>
      <c r="B666" s="6"/>
      <c r="C666" s="5" t="str">
        <f>IFERROR(VLOOKUP(B666,Lists!$A$2:$B$25,2,FALSE),"")</f>
        <v/>
      </c>
      <c r="D666" s="7"/>
      <c r="E666" s="6"/>
      <c r="F666" s="6" t="str">
        <f t="shared" si="32"/>
        <v/>
      </c>
      <c r="G666" s="6"/>
      <c r="H666" s="6"/>
      <c r="I666" s="6"/>
      <c r="J666" s="7"/>
      <c r="K666" s="5" t="str" cm="1">
        <f t="array" ref="K666">IF(OR(A666="",B666="",D666="",E666=""),"",A666&amp;"_"&amp;SUBSTITUTE(B666," ","-")&amp;"_"&amp;D666&amp;"_"&amp;SUBSTITUTE(SUBSTITUTE(E666," ",""),"€","Euro")&amp;"_"&amp;IF(F666="","Unknown",F666)&amp;IF(F666="Commemorative",IF(G666="","","_"&amp;SUBSTITUTE(SUBSTITUTE(SUBSTITUTE(G666," ","-"),"/","-"),CHAR(39),"")),"")&amp;IF(I666="Duplicate","_Dub"&amp;IF(SUMPRODUCT(($B$2:B666=B666)*($D$2:D666=D666)*($E$2:E666=E666)*($F$2:F666=F666)*($G$2:G666=G666)*($I$2:I666="Duplicate"))&lt;=1,"",SUMPRODUCT(($B$2:B666=B666)*($D$2:D666=D666)*($E$2:E666=E666)*($F$2:F666=F666)*($G$2:G666=G666)*($I$2:I666="Duplicate"))-1),"")&amp;".jpeg")</f>
        <v/>
      </c>
      <c r="L666" s="6"/>
      <c r="M666" s="5" t="str">
        <f>IFERROR(VLOOKUP(E666,Specifications!$A$2:$D$9,2,FALSE),"")</f>
        <v/>
      </c>
      <c r="N666" s="5" t="str">
        <f>IFERROR(VLOOKUP(E666,Specifications!$A$2:$D$9,3,FALSE),"")</f>
        <v/>
      </c>
      <c r="O666" s="5" t="str">
        <f>IFERROR(VLOOKUP(E666,Specifications!$A$2:$D$9,4,FALSE),"")</f>
        <v/>
      </c>
      <c r="P666" s="8" t="str">
        <f t="shared" si="33"/>
        <v/>
      </c>
      <c r="Q666" s="9"/>
    </row>
    <row r="667" spans="1:17" ht="15">
      <c r="A667" s="5" t="str">
        <f t="shared" si="31"/>
        <v/>
      </c>
      <c r="B667" s="6"/>
      <c r="C667" s="5" t="str">
        <f>IFERROR(VLOOKUP(B667,Lists!$A$2:$B$25,2,FALSE),"")</f>
        <v/>
      </c>
      <c r="D667" s="7"/>
      <c r="E667" s="6"/>
      <c r="F667" s="6" t="str">
        <f t="shared" si="32"/>
        <v/>
      </c>
      <c r="G667" s="6"/>
      <c r="H667" s="6"/>
      <c r="I667" s="6"/>
      <c r="J667" s="7"/>
      <c r="K667" s="5" t="str" cm="1">
        <f t="array" ref="K667">IF(OR(A667="",B667="",D667="",E667=""),"",A667&amp;"_"&amp;SUBSTITUTE(B667," ","-")&amp;"_"&amp;D667&amp;"_"&amp;SUBSTITUTE(SUBSTITUTE(E667," ",""),"€","Euro")&amp;"_"&amp;IF(F667="","Unknown",F667)&amp;IF(F667="Commemorative",IF(G667="","","_"&amp;SUBSTITUTE(SUBSTITUTE(SUBSTITUTE(G667," ","-"),"/","-"),CHAR(39),"")),"")&amp;IF(I667="Duplicate","_Dub"&amp;IF(SUMPRODUCT(($B$2:B667=B667)*($D$2:D667=D667)*($E$2:E667=E667)*($F$2:F667=F667)*($G$2:G667=G667)*($I$2:I667="Duplicate"))&lt;=1,"",SUMPRODUCT(($B$2:B667=B667)*($D$2:D667=D667)*($E$2:E667=E667)*($F$2:F667=F667)*($G$2:G667=G667)*($I$2:I667="Duplicate"))-1),"")&amp;".jpeg")</f>
        <v/>
      </c>
      <c r="L667" s="6"/>
      <c r="M667" s="5" t="str">
        <f>IFERROR(VLOOKUP(E667,Specifications!$A$2:$D$9,2,FALSE),"")</f>
        <v/>
      </c>
      <c r="N667" s="5" t="str">
        <f>IFERROR(VLOOKUP(E667,Specifications!$A$2:$D$9,3,FALSE),"")</f>
        <v/>
      </c>
      <c r="O667" s="5" t="str">
        <f>IFERROR(VLOOKUP(E667,Specifications!$A$2:$D$9,4,FALSE),"")</f>
        <v/>
      </c>
      <c r="P667" s="8" t="str">
        <f t="shared" si="33"/>
        <v/>
      </c>
      <c r="Q667" s="9"/>
    </row>
    <row r="668" spans="1:17" ht="15">
      <c r="A668" s="5" t="str">
        <f t="shared" si="31"/>
        <v/>
      </c>
      <c r="B668" s="6"/>
      <c r="C668" s="5" t="str">
        <f>IFERROR(VLOOKUP(B668,Lists!$A$2:$B$25,2,FALSE),"")</f>
        <v/>
      </c>
      <c r="D668" s="7"/>
      <c r="E668" s="6"/>
      <c r="F668" s="6" t="str">
        <f t="shared" si="32"/>
        <v/>
      </c>
      <c r="G668" s="6"/>
      <c r="H668" s="6"/>
      <c r="I668" s="6"/>
      <c r="J668" s="7"/>
      <c r="K668" s="5" t="str" cm="1">
        <f t="array" ref="K668">IF(OR(A668="",B668="",D668="",E668=""),"",A668&amp;"_"&amp;SUBSTITUTE(B668," ","-")&amp;"_"&amp;D668&amp;"_"&amp;SUBSTITUTE(SUBSTITUTE(E668," ",""),"€","Euro")&amp;"_"&amp;IF(F668="","Unknown",F668)&amp;IF(F668="Commemorative",IF(G668="","","_"&amp;SUBSTITUTE(SUBSTITUTE(SUBSTITUTE(G668," ","-"),"/","-"),CHAR(39),"")),"")&amp;IF(I668="Duplicate","_Dub"&amp;IF(SUMPRODUCT(($B$2:B668=B668)*($D$2:D668=D668)*($E$2:E668=E668)*($F$2:F668=F668)*($G$2:G668=G668)*($I$2:I668="Duplicate"))&lt;=1,"",SUMPRODUCT(($B$2:B668=B668)*($D$2:D668=D668)*($E$2:E668=E668)*($F$2:F668=F668)*($G$2:G668=G668)*($I$2:I668="Duplicate"))-1),"")&amp;".jpeg")</f>
        <v/>
      </c>
      <c r="L668" s="6"/>
      <c r="M668" s="5" t="str">
        <f>IFERROR(VLOOKUP(E668,Specifications!$A$2:$D$9,2,FALSE),"")</f>
        <v/>
      </c>
      <c r="N668" s="5" t="str">
        <f>IFERROR(VLOOKUP(E668,Specifications!$A$2:$D$9,3,FALSE),"")</f>
        <v/>
      </c>
      <c r="O668" s="5" t="str">
        <f>IFERROR(VLOOKUP(E668,Specifications!$A$2:$D$9,4,FALSE),"")</f>
        <v/>
      </c>
      <c r="P668" s="8" t="str">
        <f t="shared" si="33"/>
        <v/>
      </c>
      <c r="Q668" s="9"/>
    </row>
    <row r="669" spans="1:17" ht="15">
      <c r="A669" s="5" t="str">
        <f t="shared" si="31"/>
        <v/>
      </c>
      <c r="B669" s="6"/>
      <c r="C669" s="5" t="str">
        <f>IFERROR(VLOOKUP(B669,Lists!$A$2:$B$25,2,FALSE),"")</f>
        <v/>
      </c>
      <c r="D669" s="7"/>
      <c r="E669" s="6"/>
      <c r="F669" s="6" t="str">
        <f t="shared" si="32"/>
        <v/>
      </c>
      <c r="G669" s="6"/>
      <c r="H669" s="6"/>
      <c r="I669" s="6"/>
      <c r="J669" s="7"/>
      <c r="K669" s="5" t="str" cm="1">
        <f t="array" ref="K669">IF(OR(A669="",B669="",D669="",E669=""),"",A669&amp;"_"&amp;SUBSTITUTE(B669," ","-")&amp;"_"&amp;D669&amp;"_"&amp;SUBSTITUTE(SUBSTITUTE(E669," ",""),"€","Euro")&amp;"_"&amp;IF(F669="","Unknown",F669)&amp;IF(F669="Commemorative",IF(G669="","","_"&amp;SUBSTITUTE(SUBSTITUTE(SUBSTITUTE(G669," ","-"),"/","-"),CHAR(39),"")),"")&amp;IF(I669="Duplicate","_Dub"&amp;IF(SUMPRODUCT(($B$2:B669=B669)*($D$2:D669=D669)*($E$2:E669=E669)*($F$2:F669=F669)*($G$2:G669=G669)*($I$2:I669="Duplicate"))&lt;=1,"",SUMPRODUCT(($B$2:B669=B669)*($D$2:D669=D669)*($E$2:E669=E669)*($F$2:F669=F669)*($G$2:G669=G669)*($I$2:I669="Duplicate"))-1),"")&amp;".jpeg")</f>
        <v/>
      </c>
      <c r="L669" s="6"/>
      <c r="M669" s="5" t="str">
        <f>IFERROR(VLOOKUP(E669,Specifications!$A$2:$D$9,2,FALSE),"")</f>
        <v/>
      </c>
      <c r="N669" s="5" t="str">
        <f>IFERROR(VLOOKUP(E669,Specifications!$A$2:$D$9,3,FALSE),"")</f>
        <v/>
      </c>
      <c r="O669" s="5" t="str">
        <f>IFERROR(VLOOKUP(E669,Specifications!$A$2:$D$9,4,FALSE),"")</f>
        <v/>
      </c>
      <c r="P669" s="8" t="str">
        <f t="shared" si="33"/>
        <v/>
      </c>
      <c r="Q669" s="9"/>
    </row>
    <row r="670" spans="1:17" ht="15">
      <c r="A670" s="5" t="str">
        <f t="shared" si="31"/>
        <v/>
      </c>
      <c r="B670" s="6"/>
      <c r="C670" s="5" t="str">
        <f>IFERROR(VLOOKUP(B670,Lists!$A$2:$B$25,2,FALSE),"")</f>
        <v/>
      </c>
      <c r="D670" s="7"/>
      <c r="E670" s="6"/>
      <c r="F670" s="6" t="str">
        <f t="shared" si="32"/>
        <v/>
      </c>
      <c r="G670" s="6"/>
      <c r="H670" s="6"/>
      <c r="I670" s="6"/>
      <c r="J670" s="7"/>
      <c r="K670" s="5" t="str" cm="1">
        <f t="array" ref="K670">IF(OR(A670="",B670="",D670="",E670=""),"",A670&amp;"_"&amp;SUBSTITUTE(B670," ","-")&amp;"_"&amp;D670&amp;"_"&amp;SUBSTITUTE(SUBSTITUTE(E670," ",""),"€","Euro")&amp;"_"&amp;IF(F670="","Unknown",F670)&amp;IF(F670="Commemorative",IF(G670="","","_"&amp;SUBSTITUTE(SUBSTITUTE(SUBSTITUTE(G670," ","-"),"/","-"),CHAR(39),"")),"")&amp;IF(I670="Duplicate","_Dub"&amp;IF(SUMPRODUCT(($B$2:B670=B670)*($D$2:D670=D670)*($E$2:E670=E670)*($F$2:F670=F670)*($G$2:G670=G670)*($I$2:I670="Duplicate"))&lt;=1,"",SUMPRODUCT(($B$2:B670=B670)*($D$2:D670=D670)*($E$2:E670=E670)*($F$2:F670=F670)*($G$2:G670=G670)*($I$2:I670="Duplicate"))-1),"")&amp;".jpeg")</f>
        <v/>
      </c>
      <c r="L670" s="6"/>
      <c r="M670" s="5" t="str">
        <f>IFERROR(VLOOKUP(E670,Specifications!$A$2:$D$9,2,FALSE),"")</f>
        <v/>
      </c>
      <c r="N670" s="5" t="str">
        <f>IFERROR(VLOOKUP(E670,Specifications!$A$2:$D$9,3,FALSE),"")</f>
        <v/>
      </c>
      <c r="O670" s="5" t="str">
        <f>IFERROR(VLOOKUP(E670,Specifications!$A$2:$D$9,4,FALSE),"")</f>
        <v/>
      </c>
      <c r="P670" s="8" t="str">
        <f t="shared" si="33"/>
        <v/>
      </c>
      <c r="Q670" s="9"/>
    </row>
    <row r="671" spans="1:17" ht="15">
      <c r="A671" s="5" t="str">
        <f t="shared" si="31"/>
        <v/>
      </c>
      <c r="B671" s="6"/>
      <c r="C671" s="5" t="str">
        <f>IFERROR(VLOOKUP(B671,Lists!$A$2:$B$25,2,FALSE),"")</f>
        <v/>
      </c>
      <c r="D671" s="7"/>
      <c r="E671" s="6"/>
      <c r="F671" s="6" t="str">
        <f t="shared" si="32"/>
        <v/>
      </c>
      <c r="G671" s="6"/>
      <c r="H671" s="6"/>
      <c r="I671" s="6"/>
      <c r="J671" s="7"/>
      <c r="K671" s="5" t="str" cm="1">
        <f t="array" ref="K671">IF(OR(A671="",B671="",D671="",E671=""),"",A671&amp;"_"&amp;SUBSTITUTE(B671," ","-")&amp;"_"&amp;D671&amp;"_"&amp;SUBSTITUTE(SUBSTITUTE(E671," ",""),"€","Euro")&amp;"_"&amp;IF(F671="","Unknown",F671)&amp;IF(F671="Commemorative",IF(G671="","","_"&amp;SUBSTITUTE(SUBSTITUTE(SUBSTITUTE(G671," ","-"),"/","-"),CHAR(39),"")),"")&amp;IF(I671="Duplicate","_Dub"&amp;IF(SUMPRODUCT(($B$2:B671=B671)*($D$2:D671=D671)*($E$2:E671=E671)*($F$2:F671=F671)*($G$2:G671=G671)*($I$2:I671="Duplicate"))&lt;=1,"",SUMPRODUCT(($B$2:B671=B671)*($D$2:D671=D671)*($E$2:E671=E671)*($F$2:F671=F671)*($G$2:G671=G671)*($I$2:I671="Duplicate"))-1),"")&amp;".jpeg")</f>
        <v/>
      </c>
      <c r="L671" s="6"/>
      <c r="M671" s="5" t="str">
        <f>IFERROR(VLOOKUP(E671,Specifications!$A$2:$D$9,2,FALSE),"")</f>
        <v/>
      </c>
      <c r="N671" s="5" t="str">
        <f>IFERROR(VLOOKUP(E671,Specifications!$A$2:$D$9,3,FALSE),"")</f>
        <v/>
      </c>
      <c r="O671" s="5" t="str">
        <f>IFERROR(VLOOKUP(E671,Specifications!$A$2:$D$9,4,FALSE),"")</f>
        <v/>
      </c>
      <c r="P671" s="8" t="str">
        <f t="shared" si="33"/>
        <v/>
      </c>
      <c r="Q671" s="9"/>
    </row>
    <row r="672" spans="1:17" ht="15">
      <c r="A672" s="5" t="str">
        <f t="shared" si="31"/>
        <v/>
      </c>
      <c r="B672" s="6"/>
      <c r="C672" s="5" t="str">
        <f>IFERROR(VLOOKUP(B672,Lists!$A$2:$B$25,2,FALSE),"")</f>
        <v/>
      </c>
      <c r="D672" s="7"/>
      <c r="E672" s="6"/>
      <c r="F672" s="6" t="str">
        <f t="shared" si="32"/>
        <v/>
      </c>
      <c r="G672" s="6"/>
      <c r="H672" s="6"/>
      <c r="I672" s="6"/>
      <c r="J672" s="7"/>
      <c r="K672" s="5" t="str" cm="1">
        <f t="array" ref="K672">IF(OR(A672="",B672="",D672="",E672=""),"",A672&amp;"_"&amp;SUBSTITUTE(B672," ","-")&amp;"_"&amp;D672&amp;"_"&amp;SUBSTITUTE(SUBSTITUTE(E672," ",""),"€","Euro")&amp;"_"&amp;IF(F672="","Unknown",F672)&amp;IF(F672="Commemorative",IF(G672="","","_"&amp;SUBSTITUTE(SUBSTITUTE(SUBSTITUTE(G672," ","-"),"/","-"),CHAR(39),"")),"")&amp;IF(I672="Duplicate","_Dub"&amp;IF(SUMPRODUCT(($B$2:B672=B672)*($D$2:D672=D672)*($E$2:E672=E672)*($F$2:F672=F672)*($G$2:G672=G672)*($I$2:I672="Duplicate"))&lt;=1,"",SUMPRODUCT(($B$2:B672=B672)*($D$2:D672=D672)*($E$2:E672=E672)*($F$2:F672=F672)*($G$2:G672=G672)*($I$2:I672="Duplicate"))-1),"")&amp;".jpeg")</f>
        <v/>
      </c>
      <c r="L672" s="6"/>
      <c r="M672" s="5" t="str">
        <f>IFERROR(VLOOKUP(E672,Specifications!$A$2:$D$9,2,FALSE),"")</f>
        <v/>
      </c>
      <c r="N672" s="5" t="str">
        <f>IFERROR(VLOOKUP(E672,Specifications!$A$2:$D$9,3,FALSE),"")</f>
        <v/>
      </c>
      <c r="O672" s="5" t="str">
        <f>IFERROR(VLOOKUP(E672,Specifications!$A$2:$D$9,4,FALSE),"")</f>
        <v/>
      </c>
      <c r="P672" s="8" t="str">
        <f t="shared" si="33"/>
        <v/>
      </c>
      <c r="Q672" s="9"/>
    </row>
    <row r="673" spans="1:17" ht="15">
      <c r="A673" s="5" t="str">
        <f t="shared" si="31"/>
        <v/>
      </c>
      <c r="B673" s="6"/>
      <c r="C673" s="5" t="str">
        <f>IFERROR(VLOOKUP(B673,Lists!$A$2:$B$25,2,FALSE),"")</f>
        <v/>
      </c>
      <c r="D673" s="7"/>
      <c r="E673" s="6"/>
      <c r="F673" s="6" t="str">
        <f t="shared" si="32"/>
        <v/>
      </c>
      <c r="G673" s="6"/>
      <c r="H673" s="6"/>
      <c r="I673" s="6"/>
      <c r="J673" s="7"/>
      <c r="K673" s="5" t="str" cm="1">
        <f t="array" ref="K673">IF(OR(A673="",B673="",D673="",E673=""),"",A673&amp;"_"&amp;SUBSTITUTE(B673," ","-")&amp;"_"&amp;D673&amp;"_"&amp;SUBSTITUTE(SUBSTITUTE(E673," ",""),"€","Euro")&amp;"_"&amp;IF(F673="","Unknown",F673)&amp;IF(F673="Commemorative",IF(G673="","","_"&amp;SUBSTITUTE(SUBSTITUTE(SUBSTITUTE(G673," ","-"),"/","-"),CHAR(39),"")),"")&amp;IF(I673="Duplicate","_Dub"&amp;IF(SUMPRODUCT(($B$2:B673=B673)*($D$2:D673=D673)*($E$2:E673=E673)*($F$2:F673=F673)*($G$2:G673=G673)*($I$2:I673="Duplicate"))&lt;=1,"",SUMPRODUCT(($B$2:B673=B673)*($D$2:D673=D673)*($E$2:E673=E673)*($F$2:F673=F673)*($G$2:G673=G673)*($I$2:I673="Duplicate"))-1),"")&amp;".jpeg")</f>
        <v/>
      </c>
      <c r="L673" s="6"/>
      <c r="M673" s="5" t="str">
        <f>IFERROR(VLOOKUP(E673,Specifications!$A$2:$D$9,2,FALSE),"")</f>
        <v/>
      </c>
      <c r="N673" s="5" t="str">
        <f>IFERROR(VLOOKUP(E673,Specifications!$A$2:$D$9,3,FALSE),"")</f>
        <v/>
      </c>
      <c r="O673" s="5" t="str">
        <f>IFERROR(VLOOKUP(E673,Specifications!$A$2:$D$9,4,FALSE),"")</f>
        <v/>
      </c>
      <c r="P673" s="8" t="str">
        <f t="shared" si="33"/>
        <v/>
      </c>
      <c r="Q673" s="9"/>
    </row>
    <row r="674" spans="1:17" ht="15">
      <c r="A674" s="5" t="str">
        <f t="shared" si="31"/>
        <v/>
      </c>
      <c r="B674" s="6"/>
      <c r="C674" s="5" t="str">
        <f>IFERROR(VLOOKUP(B674,Lists!$A$2:$B$25,2,FALSE),"")</f>
        <v/>
      </c>
      <c r="D674" s="7"/>
      <c r="E674" s="6"/>
      <c r="F674" s="6" t="str">
        <f t="shared" si="32"/>
        <v/>
      </c>
      <c r="G674" s="6"/>
      <c r="H674" s="6"/>
      <c r="I674" s="6"/>
      <c r="J674" s="7"/>
      <c r="K674" s="5" t="str" cm="1">
        <f t="array" ref="K674">IF(OR(A674="",B674="",D674="",E674=""),"",A674&amp;"_"&amp;SUBSTITUTE(B674," ","-")&amp;"_"&amp;D674&amp;"_"&amp;SUBSTITUTE(SUBSTITUTE(E674," ",""),"€","Euro")&amp;"_"&amp;IF(F674="","Unknown",F674)&amp;IF(F674="Commemorative",IF(G674="","","_"&amp;SUBSTITUTE(SUBSTITUTE(SUBSTITUTE(G674," ","-"),"/","-"),CHAR(39),"")),"")&amp;IF(I674="Duplicate","_Dub"&amp;IF(SUMPRODUCT(($B$2:B674=B674)*($D$2:D674=D674)*($E$2:E674=E674)*($F$2:F674=F674)*($G$2:G674=G674)*($I$2:I674="Duplicate"))&lt;=1,"",SUMPRODUCT(($B$2:B674=B674)*($D$2:D674=D674)*($E$2:E674=E674)*($F$2:F674=F674)*($G$2:G674=G674)*($I$2:I674="Duplicate"))-1),"")&amp;".jpeg")</f>
        <v/>
      </c>
      <c r="L674" s="6"/>
      <c r="M674" s="5" t="str">
        <f>IFERROR(VLOOKUP(E674,Specifications!$A$2:$D$9,2,FALSE),"")</f>
        <v/>
      </c>
      <c r="N674" s="5" t="str">
        <f>IFERROR(VLOOKUP(E674,Specifications!$A$2:$D$9,3,FALSE),"")</f>
        <v/>
      </c>
      <c r="O674" s="5" t="str">
        <f>IFERROR(VLOOKUP(E674,Specifications!$A$2:$D$9,4,FALSE),"")</f>
        <v/>
      </c>
      <c r="P674" s="8" t="str">
        <f t="shared" si="33"/>
        <v/>
      </c>
      <c r="Q674" s="9"/>
    </row>
    <row r="675" spans="1:17" ht="15">
      <c r="A675" s="5" t="str">
        <f t="shared" si="31"/>
        <v/>
      </c>
      <c r="B675" s="6"/>
      <c r="C675" s="5" t="str">
        <f>IFERROR(VLOOKUP(B675,Lists!$A$2:$B$25,2,FALSE),"")</f>
        <v/>
      </c>
      <c r="D675" s="7"/>
      <c r="E675" s="6"/>
      <c r="F675" s="6" t="str">
        <f t="shared" si="32"/>
        <v/>
      </c>
      <c r="G675" s="6"/>
      <c r="H675" s="6"/>
      <c r="I675" s="6"/>
      <c r="J675" s="7"/>
      <c r="K675" s="5" t="str" cm="1">
        <f t="array" ref="K675">IF(OR(A675="",B675="",D675="",E675=""),"",A675&amp;"_"&amp;SUBSTITUTE(B675," ","-")&amp;"_"&amp;D675&amp;"_"&amp;SUBSTITUTE(SUBSTITUTE(E675," ",""),"€","Euro")&amp;"_"&amp;IF(F675="","Unknown",F675)&amp;IF(F675="Commemorative",IF(G675="","","_"&amp;SUBSTITUTE(SUBSTITUTE(SUBSTITUTE(G675," ","-"),"/","-"),CHAR(39),"")),"")&amp;IF(I675="Duplicate","_Dub"&amp;IF(SUMPRODUCT(($B$2:B675=B675)*($D$2:D675=D675)*($E$2:E675=E675)*($F$2:F675=F675)*($G$2:G675=G675)*($I$2:I675="Duplicate"))&lt;=1,"",SUMPRODUCT(($B$2:B675=B675)*($D$2:D675=D675)*($E$2:E675=E675)*($F$2:F675=F675)*($G$2:G675=G675)*($I$2:I675="Duplicate"))-1),"")&amp;".jpeg")</f>
        <v/>
      </c>
      <c r="L675" s="6"/>
      <c r="M675" s="5" t="str">
        <f>IFERROR(VLOOKUP(E675,Specifications!$A$2:$D$9,2,FALSE),"")</f>
        <v/>
      </c>
      <c r="N675" s="5" t="str">
        <f>IFERROR(VLOOKUP(E675,Specifications!$A$2:$D$9,3,FALSE),"")</f>
        <v/>
      </c>
      <c r="O675" s="5" t="str">
        <f>IFERROR(VLOOKUP(E675,Specifications!$A$2:$D$9,4,FALSE),"")</f>
        <v/>
      </c>
      <c r="P675" s="8" t="str">
        <f t="shared" si="33"/>
        <v/>
      </c>
      <c r="Q675" s="9"/>
    </row>
    <row r="676" spans="1:17" ht="15">
      <c r="A676" s="5" t="str">
        <f t="shared" si="31"/>
        <v/>
      </c>
      <c r="B676" s="6"/>
      <c r="C676" s="5" t="str">
        <f>IFERROR(VLOOKUP(B676,Lists!$A$2:$B$25,2,FALSE),"")</f>
        <v/>
      </c>
      <c r="D676" s="7"/>
      <c r="E676" s="6"/>
      <c r="F676" s="6" t="str">
        <f t="shared" si="32"/>
        <v/>
      </c>
      <c r="G676" s="6"/>
      <c r="H676" s="6"/>
      <c r="I676" s="6"/>
      <c r="J676" s="7"/>
      <c r="K676" s="5" t="str" cm="1">
        <f t="array" ref="K676">IF(OR(A676="",B676="",D676="",E676=""),"",A676&amp;"_"&amp;SUBSTITUTE(B676," ","-")&amp;"_"&amp;D676&amp;"_"&amp;SUBSTITUTE(SUBSTITUTE(E676," ",""),"€","Euro")&amp;"_"&amp;IF(F676="","Unknown",F676)&amp;IF(F676="Commemorative",IF(G676="","","_"&amp;SUBSTITUTE(SUBSTITUTE(SUBSTITUTE(G676," ","-"),"/","-"),CHAR(39),"")),"")&amp;IF(I676="Duplicate","_Dub"&amp;IF(SUMPRODUCT(($B$2:B676=B676)*($D$2:D676=D676)*($E$2:E676=E676)*($F$2:F676=F676)*($G$2:G676=G676)*($I$2:I676="Duplicate"))&lt;=1,"",SUMPRODUCT(($B$2:B676=B676)*($D$2:D676=D676)*($E$2:E676=E676)*($F$2:F676=F676)*($G$2:G676=G676)*($I$2:I676="Duplicate"))-1),"")&amp;".jpeg")</f>
        <v/>
      </c>
      <c r="L676" s="6"/>
      <c r="M676" s="5" t="str">
        <f>IFERROR(VLOOKUP(E676,Specifications!$A$2:$D$9,2,FALSE),"")</f>
        <v/>
      </c>
      <c r="N676" s="5" t="str">
        <f>IFERROR(VLOOKUP(E676,Specifications!$A$2:$D$9,3,FALSE),"")</f>
        <v/>
      </c>
      <c r="O676" s="5" t="str">
        <f>IFERROR(VLOOKUP(E676,Specifications!$A$2:$D$9,4,FALSE),"")</f>
        <v/>
      </c>
      <c r="P676" s="8" t="str">
        <f t="shared" si="33"/>
        <v/>
      </c>
      <c r="Q676" s="9"/>
    </row>
    <row r="677" spans="1:17" ht="15">
      <c r="A677" s="5" t="str">
        <f t="shared" si="31"/>
        <v/>
      </c>
      <c r="B677" s="6"/>
      <c r="C677" s="5" t="str">
        <f>IFERROR(VLOOKUP(B677,Lists!$A$2:$B$25,2,FALSE),"")</f>
        <v/>
      </c>
      <c r="D677" s="7"/>
      <c r="E677" s="6"/>
      <c r="F677" s="6" t="str">
        <f t="shared" si="32"/>
        <v/>
      </c>
      <c r="G677" s="6"/>
      <c r="H677" s="6"/>
      <c r="I677" s="6"/>
      <c r="J677" s="7"/>
      <c r="K677" s="5" t="str" cm="1">
        <f t="array" ref="K677">IF(OR(A677="",B677="",D677="",E677=""),"",A677&amp;"_"&amp;SUBSTITUTE(B677," ","-")&amp;"_"&amp;D677&amp;"_"&amp;SUBSTITUTE(SUBSTITUTE(E677," ",""),"€","Euro")&amp;"_"&amp;IF(F677="","Unknown",F677)&amp;IF(F677="Commemorative",IF(G677="","","_"&amp;SUBSTITUTE(SUBSTITUTE(SUBSTITUTE(G677," ","-"),"/","-"),CHAR(39),"")),"")&amp;IF(I677="Duplicate","_Dub"&amp;IF(SUMPRODUCT(($B$2:B677=B677)*($D$2:D677=D677)*($E$2:E677=E677)*($F$2:F677=F677)*($G$2:G677=G677)*($I$2:I677="Duplicate"))&lt;=1,"",SUMPRODUCT(($B$2:B677=B677)*($D$2:D677=D677)*($E$2:E677=E677)*($F$2:F677=F677)*($G$2:G677=G677)*($I$2:I677="Duplicate"))-1),"")&amp;".jpeg")</f>
        <v/>
      </c>
      <c r="L677" s="6"/>
      <c r="M677" s="5" t="str">
        <f>IFERROR(VLOOKUP(E677,Specifications!$A$2:$D$9,2,FALSE),"")</f>
        <v/>
      </c>
      <c r="N677" s="5" t="str">
        <f>IFERROR(VLOOKUP(E677,Specifications!$A$2:$D$9,3,FALSE),"")</f>
        <v/>
      </c>
      <c r="O677" s="5" t="str">
        <f>IFERROR(VLOOKUP(E677,Specifications!$A$2:$D$9,4,FALSE),"")</f>
        <v/>
      </c>
      <c r="P677" s="8" t="str">
        <f t="shared" si="33"/>
        <v/>
      </c>
      <c r="Q677" s="9"/>
    </row>
    <row r="678" spans="1:17" ht="15">
      <c r="A678" s="5" t="str">
        <f t="shared" si="31"/>
        <v/>
      </c>
      <c r="B678" s="6"/>
      <c r="C678" s="5" t="str">
        <f>IFERROR(VLOOKUP(B678,Lists!$A$2:$B$25,2,FALSE),"")</f>
        <v/>
      </c>
      <c r="D678" s="7"/>
      <c r="E678" s="6"/>
      <c r="F678" s="6" t="str">
        <f t="shared" si="32"/>
        <v/>
      </c>
      <c r="G678" s="6"/>
      <c r="H678" s="6"/>
      <c r="I678" s="6"/>
      <c r="J678" s="7"/>
      <c r="K678" s="5" t="str" cm="1">
        <f t="array" ref="K678">IF(OR(A678="",B678="",D678="",E678=""),"",A678&amp;"_"&amp;SUBSTITUTE(B678," ","-")&amp;"_"&amp;D678&amp;"_"&amp;SUBSTITUTE(SUBSTITUTE(E678," ",""),"€","Euro")&amp;"_"&amp;IF(F678="","Unknown",F678)&amp;IF(F678="Commemorative",IF(G678="","","_"&amp;SUBSTITUTE(SUBSTITUTE(SUBSTITUTE(G678," ","-"),"/","-"),CHAR(39),"")),"")&amp;IF(I678="Duplicate","_Dub"&amp;IF(SUMPRODUCT(($B$2:B678=B678)*($D$2:D678=D678)*($E$2:E678=E678)*($F$2:F678=F678)*($G$2:G678=G678)*($I$2:I678="Duplicate"))&lt;=1,"",SUMPRODUCT(($B$2:B678=B678)*($D$2:D678=D678)*($E$2:E678=E678)*($F$2:F678=F678)*($G$2:G678=G678)*($I$2:I678="Duplicate"))-1),"")&amp;".jpeg")</f>
        <v/>
      </c>
      <c r="L678" s="6"/>
      <c r="M678" s="5" t="str">
        <f>IFERROR(VLOOKUP(E678,Specifications!$A$2:$D$9,2,FALSE),"")</f>
        <v/>
      </c>
      <c r="N678" s="5" t="str">
        <f>IFERROR(VLOOKUP(E678,Specifications!$A$2:$D$9,3,FALSE),"")</f>
        <v/>
      </c>
      <c r="O678" s="5" t="str">
        <f>IFERROR(VLOOKUP(E678,Specifications!$A$2:$D$9,4,FALSE),"")</f>
        <v/>
      </c>
      <c r="P678" s="8" t="str">
        <f t="shared" si="33"/>
        <v/>
      </c>
      <c r="Q678" s="9"/>
    </row>
    <row r="679" spans="1:17" ht="15">
      <c r="A679" s="5" t="str">
        <f t="shared" si="31"/>
        <v/>
      </c>
      <c r="B679" s="6"/>
      <c r="C679" s="5" t="str">
        <f>IFERROR(VLOOKUP(B679,Lists!$A$2:$B$25,2,FALSE),"")</f>
        <v/>
      </c>
      <c r="D679" s="7"/>
      <c r="E679" s="6"/>
      <c r="F679" s="6" t="str">
        <f t="shared" si="32"/>
        <v/>
      </c>
      <c r="G679" s="6"/>
      <c r="H679" s="6"/>
      <c r="I679" s="6"/>
      <c r="J679" s="7"/>
      <c r="K679" s="5" t="str" cm="1">
        <f t="array" ref="K679">IF(OR(A679="",B679="",D679="",E679=""),"",A679&amp;"_"&amp;SUBSTITUTE(B679," ","-")&amp;"_"&amp;D679&amp;"_"&amp;SUBSTITUTE(SUBSTITUTE(E679," ",""),"€","Euro")&amp;"_"&amp;IF(F679="","Unknown",F679)&amp;IF(F679="Commemorative",IF(G679="","","_"&amp;SUBSTITUTE(SUBSTITUTE(SUBSTITUTE(G679," ","-"),"/","-"),CHAR(39),"")),"")&amp;IF(I679="Duplicate","_Dub"&amp;IF(SUMPRODUCT(($B$2:B679=B679)*($D$2:D679=D679)*($E$2:E679=E679)*($F$2:F679=F679)*($G$2:G679=G679)*($I$2:I679="Duplicate"))&lt;=1,"",SUMPRODUCT(($B$2:B679=B679)*($D$2:D679=D679)*($E$2:E679=E679)*($F$2:F679=F679)*($G$2:G679=G679)*($I$2:I679="Duplicate"))-1),"")&amp;".jpeg")</f>
        <v/>
      </c>
      <c r="L679" s="6"/>
      <c r="M679" s="5" t="str">
        <f>IFERROR(VLOOKUP(E679,Specifications!$A$2:$D$9,2,FALSE),"")</f>
        <v/>
      </c>
      <c r="N679" s="5" t="str">
        <f>IFERROR(VLOOKUP(E679,Specifications!$A$2:$D$9,3,FALSE),"")</f>
        <v/>
      </c>
      <c r="O679" s="5" t="str">
        <f>IFERROR(VLOOKUP(E679,Specifications!$A$2:$D$9,4,FALSE),"")</f>
        <v/>
      </c>
      <c r="P679" s="8" t="str">
        <f t="shared" si="33"/>
        <v/>
      </c>
      <c r="Q679" s="9"/>
    </row>
    <row r="680" spans="1:17" ht="15">
      <c r="A680" s="5" t="str">
        <f t="shared" si="31"/>
        <v/>
      </c>
      <c r="B680" s="6"/>
      <c r="C680" s="5" t="str">
        <f>IFERROR(VLOOKUP(B680,Lists!$A$2:$B$25,2,FALSE),"")</f>
        <v/>
      </c>
      <c r="D680" s="7"/>
      <c r="E680" s="6"/>
      <c r="F680" s="6" t="str">
        <f t="shared" si="32"/>
        <v/>
      </c>
      <c r="G680" s="6"/>
      <c r="H680" s="6"/>
      <c r="I680" s="6"/>
      <c r="J680" s="7"/>
      <c r="K680" s="5" t="str" cm="1">
        <f t="array" ref="K680">IF(OR(A680="",B680="",D680="",E680=""),"",A680&amp;"_"&amp;SUBSTITUTE(B680," ","-")&amp;"_"&amp;D680&amp;"_"&amp;SUBSTITUTE(SUBSTITUTE(E680," ",""),"€","Euro")&amp;"_"&amp;IF(F680="","Unknown",F680)&amp;IF(F680="Commemorative",IF(G680="","","_"&amp;SUBSTITUTE(SUBSTITUTE(SUBSTITUTE(G680," ","-"),"/","-"),CHAR(39),"")),"")&amp;IF(I680="Duplicate","_Dub"&amp;IF(SUMPRODUCT(($B$2:B680=B680)*($D$2:D680=D680)*($E$2:E680=E680)*($F$2:F680=F680)*($G$2:G680=G680)*($I$2:I680="Duplicate"))&lt;=1,"",SUMPRODUCT(($B$2:B680=B680)*($D$2:D680=D680)*($E$2:E680=E680)*($F$2:F680=F680)*($G$2:G680=G680)*($I$2:I680="Duplicate"))-1),"")&amp;".jpeg")</f>
        <v/>
      </c>
      <c r="L680" s="6"/>
      <c r="M680" s="5" t="str">
        <f>IFERROR(VLOOKUP(E680,Specifications!$A$2:$D$9,2,FALSE),"")</f>
        <v/>
      </c>
      <c r="N680" s="5" t="str">
        <f>IFERROR(VLOOKUP(E680,Specifications!$A$2:$D$9,3,FALSE),"")</f>
        <v/>
      </c>
      <c r="O680" s="5" t="str">
        <f>IFERROR(VLOOKUP(E680,Specifications!$A$2:$D$9,4,FALSE),"")</f>
        <v/>
      </c>
      <c r="P680" s="8" t="str">
        <f t="shared" si="33"/>
        <v/>
      </c>
      <c r="Q680" s="9"/>
    </row>
    <row r="681" spans="1:17" ht="15">
      <c r="A681" s="5" t="str">
        <f t="shared" si="31"/>
        <v/>
      </c>
      <c r="B681" s="6"/>
      <c r="C681" s="5" t="str">
        <f>IFERROR(VLOOKUP(B681,Lists!$A$2:$B$25,2,FALSE),"")</f>
        <v/>
      </c>
      <c r="D681" s="7"/>
      <c r="E681" s="6"/>
      <c r="F681" s="6" t="str">
        <f t="shared" si="32"/>
        <v/>
      </c>
      <c r="G681" s="6"/>
      <c r="H681" s="6"/>
      <c r="I681" s="6"/>
      <c r="J681" s="7"/>
      <c r="K681" s="5" t="str" cm="1">
        <f t="array" ref="K681">IF(OR(A681="",B681="",D681="",E681=""),"",A681&amp;"_"&amp;SUBSTITUTE(B681," ","-")&amp;"_"&amp;D681&amp;"_"&amp;SUBSTITUTE(SUBSTITUTE(E681," ",""),"€","Euro")&amp;"_"&amp;IF(F681="","Unknown",F681)&amp;IF(F681="Commemorative",IF(G681="","","_"&amp;SUBSTITUTE(SUBSTITUTE(SUBSTITUTE(G681," ","-"),"/","-"),CHAR(39),"")),"")&amp;IF(I681="Duplicate","_Dub"&amp;IF(SUMPRODUCT(($B$2:B681=B681)*($D$2:D681=D681)*($E$2:E681=E681)*($F$2:F681=F681)*($G$2:G681=G681)*($I$2:I681="Duplicate"))&lt;=1,"",SUMPRODUCT(($B$2:B681=B681)*($D$2:D681=D681)*($E$2:E681=E681)*($F$2:F681=F681)*($G$2:G681=G681)*($I$2:I681="Duplicate"))-1),"")&amp;".jpeg")</f>
        <v/>
      </c>
      <c r="L681" s="6"/>
      <c r="M681" s="5" t="str">
        <f>IFERROR(VLOOKUP(E681,Specifications!$A$2:$D$9,2,FALSE),"")</f>
        <v/>
      </c>
      <c r="N681" s="5" t="str">
        <f>IFERROR(VLOOKUP(E681,Specifications!$A$2:$D$9,3,FALSE),"")</f>
        <v/>
      </c>
      <c r="O681" s="5" t="str">
        <f>IFERROR(VLOOKUP(E681,Specifications!$A$2:$D$9,4,FALSE),"")</f>
        <v/>
      </c>
      <c r="P681" s="8" t="str">
        <f t="shared" si="33"/>
        <v/>
      </c>
      <c r="Q681" s="9"/>
    </row>
    <row r="682" spans="1:17" ht="15">
      <c r="A682" s="5" t="str">
        <f t="shared" si="31"/>
        <v/>
      </c>
      <c r="B682" s="6"/>
      <c r="C682" s="5" t="str">
        <f>IFERROR(VLOOKUP(B682,Lists!$A$2:$B$25,2,FALSE),"")</f>
        <v/>
      </c>
      <c r="D682" s="7"/>
      <c r="E682" s="6"/>
      <c r="F682" s="6" t="str">
        <f t="shared" si="32"/>
        <v/>
      </c>
      <c r="G682" s="6"/>
      <c r="H682" s="6"/>
      <c r="I682" s="6"/>
      <c r="J682" s="7"/>
      <c r="K682" s="5" t="str" cm="1">
        <f t="array" ref="K682">IF(OR(A682="",B682="",D682="",E682=""),"",A682&amp;"_"&amp;SUBSTITUTE(B682," ","-")&amp;"_"&amp;D682&amp;"_"&amp;SUBSTITUTE(SUBSTITUTE(E682," ",""),"€","Euro")&amp;"_"&amp;IF(F682="","Unknown",F682)&amp;IF(F682="Commemorative",IF(G682="","","_"&amp;SUBSTITUTE(SUBSTITUTE(SUBSTITUTE(G682," ","-"),"/","-"),CHAR(39),"")),"")&amp;IF(I682="Duplicate","_Dub"&amp;IF(SUMPRODUCT(($B$2:B682=B682)*($D$2:D682=D682)*($E$2:E682=E682)*($F$2:F682=F682)*($G$2:G682=G682)*($I$2:I682="Duplicate"))&lt;=1,"",SUMPRODUCT(($B$2:B682=B682)*($D$2:D682=D682)*($E$2:E682=E682)*($F$2:F682=F682)*($G$2:G682=G682)*($I$2:I682="Duplicate"))-1),"")&amp;".jpeg")</f>
        <v/>
      </c>
      <c r="L682" s="6"/>
      <c r="M682" s="5" t="str">
        <f>IFERROR(VLOOKUP(E682,Specifications!$A$2:$D$9,2,FALSE),"")</f>
        <v/>
      </c>
      <c r="N682" s="5" t="str">
        <f>IFERROR(VLOOKUP(E682,Specifications!$A$2:$D$9,3,FALSE),"")</f>
        <v/>
      </c>
      <c r="O682" s="5" t="str">
        <f>IFERROR(VLOOKUP(E682,Specifications!$A$2:$D$9,4,FALSE),"")</f>
        <v/>
      </c>
      <c r="P682" s="8" t="str">
        <f t="shared" si="33"/>
        <v/>
      </c>
      <c r="Q682" s="9"/>
    </row>
    <row r="683" spans="1:17" ht="15">
      <c r="A683" s="5" t="str">
        <f t="shared" si="31"/>
        <v/>
      </c>
      <c r="B683" s="6"/>
      <c r="C683" s="5" t="str">
        <f>IFERROR(VLOOKUP(B683,Lists!$A$2:$B$25,2,FALSE),"")</f>
        <v/>
      </c>
      <c r="D683" s="7"/>
      <c r="E683" s="6"/>
      <c r="F683" s="6" t="str">
        <f t="shared" si="32"/>
        <v/>
      </c>
      <c r="G683" s="6"/>
      <c r="H683" s="6"/>
      <c r="I683" s="6"/>
      <c r="J683" s="7"/>
      <c r="K683" s="5" t="str" cm="1">
        <f t="array" ref="K683">IF(OR(A683="",B683="",D683="",E683=""),"",A683&amp;"_"&amp;SUBSTITUTE(B683," ","-")&amp;"_"&amp;D683&amp;"_"&amp;SUBSTITUTE(SUBSTITUTE(E683," ",""),"€","Euro")&amp;"_"&amp;IF(F683="","Unknown",F683)&amp;IF(F683="Commemorative",IF(G683="","","_"&amp;SUBSTITUTE(SUBSTITUTE(SUBSTITUTE(G683," ","-"),"/","-"),CHAR(39),"")),"")&amp;IF(I683="Duplicate","_Dub"&amp;IF(SUMPRODUCT(($B$2:B683=B683)*($D$2:D683=D683)*($E$2:E683=E683)*($F$2:F683=F683)*($G$2:G683=G683)*($I$2:I683="Duplicate"))&lt;=1,"",SUMPRODUCT(($B$2:B683=B683)*($D$2:D683=D683)*($E$2:E683=E683)*($F$2:F683=F683)*($G$2:G683=G683)*($I$2:I683="Duplicate"))-1),"")&amp;".jpeg")</f>
        <v/>
      </c>
      <c r="L683" s="6"/>
      <c r="M683" s="5" t="str">
        <f>IFERROR(VLOOKUP(E683,Specifications!$A$2:$D$9,2,FALSE),"")</f>
        <v/>
      </c>
      <c r="N683" s="5" t="str">
        <f>IFERROR(VLOOKUP(E683,Specifications!$A$2:$D$9,3,FALSE),"")</f>
        <v/>
      </c>
      <c r="O683" s="5" t="str">
        <f>IFERROR(VLOOKUP(E683,Specifications!$A$2:$D$9,4,FALSE),"")</f>
        <v/>
      </c>
      <c r="P683" s="8" t="str">
        <f t="shared" si="33"/>
        <v/>
      </c>
      <c r="Q683" s="9"/>
    </row>
    <row r="684" spans="1:17" ht="15">
      <c r="A684" s="5" t="str">
        <f t="shared" si="31"/>
        <v/>
      </c>
      <c r="B684" s="6"/>
      <c r="C684" s="5" t="str">
        <f>IFERROR(VLOOKUP(B684,Lists!$A$2:$B$25,2,FALSE),"")</f>
        <v/>
      </c>
      <c r="D684" s="7"/>
      <c r="E684" s="6"/>
      <c r="F684" s="6" t="str">
        <f t="shared" si="32"/>
        <v/>
      </c>
      <c r="G684" s="6"/>
      <c r="H684" s="6"/>
      <c r="I684" s="6"/>
      <c r="J684" s="7"/>
      <c r="K684" s="5" t="str" cm="1">
        <f t="array" ref="K684">IF(OR(A684="",B684="",D684="",E684=""),"",A684&amp;"_"&amp;SUBSTITUTE(B684," ","-")&amp;"_"&amp;D684&amp;"_"&amp;SUBSTITUTE(SUBSTITUTE(E684," ",""),"€","Euro")&amp;"_"&amp;IF(F684="","Unknown",F684)&amp;IF(F684="Commemorative",IF(G684="","","_"&amp;SUBSTITUTE(SUBSTITUTE(SUBSTITUTE(G684," ","-"),"/","-"),CHAR(39),"")),"")&amp;IF(I684="Duplicate","_Dub"&amp;IF(SUMPRODUCT(($B$2:B684=B684)*($D$2:D684=D684)*($E$2:E684=E684)*($F$2:F684=F684)*($G$2:G684=G684)*($I$2:I684="Duplicate"))&lt;=1,"",SUMPRODUCT(($B$2:B684=B684)*($D$2:D684=D684)*($E$2:E684=E684)*($F$2:F684=F684)*($G$2:G684=G684)*($I$2:I684="Duplicate"))-1),"")&amp;".jpeg")</f>
        <v/>
      </c>
      <c r="L684" s="6"/>
      <c r="M684" s="5" t="str">
        <f>IFERROR(VLOOKUP(E684,Specifications!$A$2:$D$9,2,FALSE),"")</f>
        <v/>
      </c>
      <c r="N684" s="5" t="str">
        <f>IFERROR(VLOOKUP(E684,Specifications!$A$2:$D$9,3,FALSE),"")</f>
        <v/>
      </c>
      <c r="O684" s="5" t="str">
        <f>IFERROR(VLOOKUP(E684,Specifications!$A$2:$D$9,4,FALSE),"")</f>
        <v/>
      </c>
      <c r="P684" s="8" t="str">
        <f t="shared" si="33"/>
        <v/>
      </c>
      <c r="Q684" s="9"/>
    </row>
    <row r="685" spans="1:17" ht="15">
      <c r="A685" s="5" t="str">
        <f t="shared" si="31"/>
        <v/>
      </c>
      <c r="B685" s="6"/>
      <c r="C685" s="5" t="str">
        <f>IFERROR(VLOOKUP(B685,Lists!$A$2:$B$25,2,FALSE),"")</f>
        <v/>
      </c>
      <c r="D685" s="7"/>
      <c r="E685" s="6"/>
      <c r="F685" s="6" t="str">
        <f t="shared" si="32"/>
        <v/>
      </c>
      <c r="G685" s="6"/>
      <c r="H685" s="6"/>
      <c r="I685" s="6"/>
      <c r="J685" s="7"/>
      <c r="K685" s="5" t="str" cm="1">
        <f t="array" ref="K685">IF(OR(A685="",B685="",D685="",E685=""),"",A685&amp;"_"&amp;SUBSTITUTE(B685," ","-")&amp;"_"&amp;D685&amp;"_"&amp;SUBSTITUTE(SUBSTITUTE(E685," ",""),"€","Euro")&amp;"_"&amp;IF(F685="","Unknown",F685)&amp;IF(F685="Commemorative",IF(G685="","","_"&amp;SUBSTITUTE(SUBSTITUTE(SUBSTITUTE(G685," ","-"),"/","-"),CHAR(39),"")),"")&amp;IF(I685="Duplicate","_Dub"&amp;IF(SUMPRODUCT(($B$2:B685=B685)*($D$2:D685=D685)*($E$2:E685=E685)*($F$2:F685=F685)*($G$2:G685=G685)*($I$2:I685="Duplicate"))&lt;=1,"",SUMPRODUCT(($B$2:B685=B685)*($D$2:D685=D685)*($E$2:E685=E685)*($F$2:F685=F685)*($G$2:G685=G685)*($I$2:I685="Duplicate"))-1),"")&amp;".jpeg")</f>
        <v/>
      </c>
      <c r="L685" s="6"/>
      <c r="M685" s="5" t="str">
        <f>IFERROR(VLOOKUP(E685,Specifications!$A$2:$D$9,2,FALSE),"")</f>
        <v/>
      </c>
      <c r="N685" s="5" t="str">
        <f>IFERROR(VLOOKUP(E685,Specifications!$A$2:$D$9,3,FALSE),"")</f>
        <v/>
      </c>
      <c r="O685" s="5" t="str">
        <f>IFERROR(VLOOKUP(E685,Specifications!$A$2:$D$9,4,FALSE),"")</f>
        <v/>
      </c>
      <c r="P685" s="8" t="str">
        <f t="shared" si="33"/>
        <v/>
      </c>
      <c r="Q685" s="9"/>
    </row>
    <row r="686" spans="1:17" ht="15">
      <c r="A686" s="5" t="str">
        <f t="shared" si="31"/>
        <v/>
      </c>
      <c r="B686" s="6"/>
      <c r="C686" s="5" t="str">
        <f>IFERROR(VLOOKUP(B686,Lists!$A$2:$B$25,2,FALSE),"")</f>
        <v/>
      </c>
      <c r="D686" s="7"/>
      <c r="E686" s="6"/>
      <c r="F686" s="6" t="str">
        <f t="shared" si="32"/>
        <v/>
      </c>
      <c r="G686" s="6"/>
      <c r="H686" s="6"/>
      <c r="I686" s="6"/>
      <c r="J686" s="7"/>
      <c r="K686" s="5" t="str" cm="1">
        <f t="array" ref="K686">IF(OR(A686="",B686="",D686="",E686=""),"",A686&amp;"_"&amp;SUBSTITUTE(B686," ","-")&amp;"_"&amp;D686&amp;"_"&amp;SUBSTITUTE(SUBSTITUTE(E686," ",""),"€","Euro")&amp;"_"&amp;IF(F686="","Unknown",F686)&amp;IF(F686="Commemorative",IF(G686="","","_"&amp;SUBSTITUTE(SUBSTITUTE(SUBSTITUTE(G686," ","-"),"/","-"),CHAR(39),"")),"")&amp;IF(I686="Duplicate","_Dub"&amp;IF(SUMPRODUCT(($B$2:B686=B686)*($D$2:D686=D686)*($E$2:E686=E686)*($F$2:F686=F686)*($G$2:G686=G686)*($I$2:I686="Duplicate"))&lt;=1,"",SUMPRODUCT(($B$2:B686=B686)*($D$2:D686=D686)*($E$2:E686=E686)*($F$2:F686=F686)*($G$2:G686=G686)*($I$2:I686="Duplicate"))-1),"")&amp;".jpeg")</f>
        <v/>
      </c>
      <c r="L686" s="6"/>
      <c r="M686" s="5" t="str">
        <f>IFERROR(VLOOKUP(E686,Specifications!$A$2:$D$9,2,FALSE),"")</f>
        <v/>
      </c>
      <c r="N686" s="5" t="str">
        <f>IFERROR(VLOOKUP(E686,Specifications!$A$2:$D$9,3,FALSE),"")</f>
        <v/>
      </c>
      <c r="O686" s="5" t="str">
        <f>IFERROR(VLOOKUP(E686,Specifications!$A$2:$D$9,4,FALSE),"")</f>
        <v/>
      </c>
      <c r="P686" s="8" t="str">
        <f t="shared" si="33"/>
        <v/>
      </c>
      <c r="Q686" s="9"/>
    </row>
    <row r="687" spans="1:17" ht="15">
      <c r="A687" s="5" t="str">
        <f t="shared" si="31"/>
        <v/>
      </c>
      <c r="B687" s="6"/>
      <c r="C687" s="5" t="str">
        <f>IFERROR(VLOOKUP(B687,Lists!$A$2:$B$25,2,FALSE),"")</f>
        <v/>
      </c>
      <c r="D687" s="7"/>
      <c r="E687" s="6"/>
      <c r="F687" s="6" t="str">
        <f t="shared" si="32"/>
        <v/>
      </c>
      <c r="G687" s="6"/>
      <c r="H687" s="6"/>
      <c r="I687" s="6"/>
      <c r="J687" s="7"/>
      <c r="K687" s="5" t="str" cm="1">
        <f t="array" ref="K687">IF(OR(A687="",B687="",D687="",E687=""),"",A687&amp;"_"&amp;SUBSTITUTE(B687," ","-")&amp;"_"&amp;D687&amp;"_"&amp;SUBSTITUTE(SUBSTITUTE(E687," ",""),"€","Euro")&amp;"_"&amp;IF(F687="","Unknown",F687)&amp;IF(F687="Commemorative",IF(G687="","","_"&amp;SUBSTITUTE(SUBSTITUTE(SUBSTITUTE(G687," ","-"),"/","-"),CHAR(39),"")),"")&amp;IF(I687="Duplicate","_Dub"&amp;IF(SUMPRODUCT(($B$2:B687=B687)*($D$2:D687=D687)*($E$2:E687=E687)*($F$2:F687=F687)*($G$2:G687=G687)*($I$2:I687="Duplicate"))&lt;=1,"",SUMPRODUCT(($B$2:B687=B687)*($D$2:D687=D687)*($E$2:E687=E687)*($F$2:F687=F687)*($G$2:G687=G687)*($I$2:I687="Duplicate"))-1),"")&amp;".jpeg")</f>
        <v/>
      </c>
      <c r="L687" s="6"/>
      <c r="M687" s="5" t="str">
        <f>IFERROR(VLOOKUP(E687,Specifications!$A$2:$D$9,2,FALSE),"")</f>
        <v/>
      </c>
      <c r="N687" s="5" t="str">
        <f>IFERROR(VLOOKUP(E687,Specifications!$A$2:$D$9,3,FALSE),"")</f>
        <v/>
      </c>
      <c r="O687" s="5" t="str">
        <f>IFERROR(VLOOKUP(E687,Specifications!$A$2:$D$9,4,FALSE),"")</f>
        <v/>
      </c>
      <c r="P687" s="8" t="str">
        <f t="shared" si="33"/>
        <v/>
      </c>
      <c r="Q687" s="9"/>
    </row>
    <row r="688" spans="1:17" ht="15">
      <c r="A688" s="5" t="str">
        <f t="shared" si="31"/>
        <v/>
      </c>
      <c r="B688" s="6"/>
      <c r="C688" s="5" t="str">
        <f>IFERROR(VLOOKUP(B688,Lists!$A$2:$B$25,2,FALSE),"")</f>
        <v/>
      </c>
      <c r="D688" s="7"/>
      <c r="E688" s="6"/>
      <c r="F688" s="6" t="str">
        <f t="shared" si="32"/>
        <v/>
      </c>
      <c r="G688" s="6"/>
      <c r="H688" s="6"/>
      <c r="I688" s="6"/>
      <c r="J688" s="7"/>
      <c r="K688" s="5" t="str" cm="1">
        <f t="array" ref="K688">IF(OR(A688="",B688="",D688="",E688=""),"",A688&amp;"_"&amp;SUBSTITUTE(B688," ","-")&amp;"_"&amp;D688&amp;"_"&amp;SUBSTITUTE(SUBSTITUTE(E688," ",""),"€","Euro")&amp;"_"&amp;IF(F688="","Unknown",F688)&amp;IF(F688="Commemorative",IF(G688="","","_"&amp;SUBSTITUTE(SUBSTITUTE(SUBSTITUTE(G688," ","-"),"/","-"),CHAR(39),"")),"")&amp;IF(I688="Duplicate","_Dub"&amp;IF(SUMPRODUCT(($B$2:B688=B688)*($D$2:D688=D688)*($E$2:E688=E688)*($F$2:F688=F688)*($G$2:G688=G688)*($I$2:I688="Duplicate"))&lt;=1,"",SUMPRODUCT(($B$2:B688=B688)*($D$2:D688=D688)*($E$2:E688=E688)*($F$2:F688=F688)*($G$2:G688=G688)*($I$2:I688="Duplicate"))-1),"")&amp;".jpeg")</f>
        <v/>
      </c>
      <c r="L688" s="6"/>
      <c r="M688" s="5" t="str">
        <f>IFERROR(VLOOKUP(E688,Specifications!$A$2:$D$9,2,FALSE),"")</f>
        <v/>
      </c>
      <c r="N688" s="5" t="str">
        <f>IFERROR(VLOOKUP(E688,Specifications!$A$2:$D$9,3,FALSE),"")</f>
        <v/>
      </c>
      <c r="O688" s="5" t="str">
        <f>IFERROR(VLOOKUP(E688,Specifications!$A$2:$D$9,4,FALSE),"")</f>
        <v/>
      </c>
      <c r="P688" s="8" t="str">
        <f t="shared" si="33"/>
        <v/>
      </c>
      <c r="Q688" s="9"/>
    </row>
    <row r="689" spans="1:17" ht="15">
      <c r="A689" s="5" t="str">
        <f t="shared" si="31"/>
        <v/>
      </c>
      <c r="B689" s="6"/>
      <c r="C689" s="5" t="str">
        <f>IFERROR(VLOOKUP(B689,Lists!$A$2:$B$25,2,FALSE),"")</f>
        <v/>
      </c>
      <c r="D689" s="7"/>
      <c r="E689" s="6"/>
      <c r="F689" s="6" t="str">
        <f t="shared" si="32"/>
        <v/>
      </c>
      <c r="G689" s="6"/>
      <c r="H689" s="6"/>
      <c r="I689" s="6"/>
      <c r="J689" s="7"/>
      <c r="K689" s="5" t="str" cm="1">
        <f t="array" ref="K689">IF(OR(A689="",B689="",D689="",E689=""),"",A689&amp;"_"&amp;SUBSTITUTE(B689," ","-")&amp;"_"&amp;D689&amp;"_"&amp;SUBSTITUTE(SUBSTITUTE(E689," ",""),"€","Euro")&amp;"_"&amp;IF(F689="","Unknown",F689)&amp;IF(F689="Commemorative",IF(G689="","","_"&amp;SUBSTITUTE(SUBSTITUTE(SUBSTITUTE(G689," ","-"),"/","-"),CHAR(39),"")),"")&amp;IF(I689="Duplicate","_Dub"&amp;IF(SUMPRODUCT(($B$2:B689=B689)*($D$2:D689=D689)*($E$2:E689=E689)*($F$2:F689=F689)*($G$2:G689=G689)*($I$2:I689="Duplicate"))&lt;=1,"",SUMPRODUCT(($B$2:B689=B689)*($D$2:D689=D689)*($E$2:E689=E689)*($F$2:F689=F689)*($G$2:G689=G689)*($I$2:I689="Duplicate"))-1),"")&amp;".jpeg")</f>
        <v/>
      </c>
      <c r="L689" s="6"/>
      <c r="M689" s="5" t="str">
        <f>IFERROR(VLOOKUP(E689,Specifications!$A$2:$D$9,2,FALSE),"")</f>
        <v/>
      </c>
      <c r="N689" s="5" t="str">
        <f>IFERROR(VLOOKUP(E689,Specifications!$A$2:$D$9,3,FALSE),"")</f>
        <v/>
      </c>
      <c r="O689" s="5" t="str">
        <f>IFERROR(VLOOKUP(E689,Specifications!$A$2:$D$9,4,FALSE),"")</f>
        <v/>
      </c>
      <c r="P689" s="8" t="str">
        <f t="shared" si="33"/>
        <v/>
      </c>
      <c r="Q689" s="9"/>
    </row>
    <row r="690" spans="1:17" ht="15">
      <c r="A690" s="5" t="str">
        <f t="shared" si="31"/>
        <v/>
      </c>
      <c r="B690" s="6"/>
      <c r="C690" s="5" t="str">
        <f>IFERROR(VLOOKUP(B690,Lists!$A$2:$B$25,2,FALSE),"")</f>
        <v/>
      </c>
      <c r="D690" s="7"/>
      <c r="E690" s="6"/>
      <c r="F690" s="6" t="str">
        <f t="shared" si="32"/>
        <v/>
      </c>
      <c r="G690" s="6"/>
      <c r="H690" s="6"/>
      <c r="I690" s="6"/>
      <c r="J690" s="7"/>
      <c r="K690" s="5" t="str" cm="1">
        <f t="array" ref="K690">IF(OR(A690="",B690="",D690="",E690=""),"",A690&amp;"_"&amp;SUBSTITUTE(B690," ","-")&amp;"_"&amp;D690&amp;"_"&amp;SUBSTITUTE(SUBSTITUTE(E690," ",""),"€","Euro")&amp;"_"&amp;IF(F690="","Unknown",F690)&amp;IF(F690="Commemorative",IF(G690="","","_"&amp;SUBSTITUTE(SUBSTITUTE(SUBSTITUTE(G690," ","-"),"/","-"),CHAR(39),"")),"")&amp;IF(I690="Duplicate","_Dub"&amp;IF(SUMPRODUCT(($B$2:B690=B690)*($D$2:D690=D690)*($E$2:E690=E690)*($F$2:F690=F690)*($G$2:G690=G690)*($I$2:I690="Duplicate"))&lt;=1,"",SUMPRODUCT(($B$2:B690=B690)*($D$2:D690=D690)*($E$2:E690=E690)*($F$2:F690=F690)*($G$2:G690=G690)*($I$2:I690="Duplicate"))-1),"")&amp;".jpeg")</f>
        <v/>
      </c>
      <c r="L690" s="6"/>
      <c r="M690" s="5" t="str">
        <f>IFERROR(VLOOKUP(E690,Specifications!$A$2:$D$9,2,FALSE),"")</f>
        <v/>
      </c>
      <c r="N690" s="5" t="str">
        <f>IFERROR(VLOOKUP(E690,Specifications!$A$2:$D$9,3,FALSE),"")</f>
        <v/>
      </c>
      <c r="O690" s="5" t="str">
        <f>IFERROR(VLOOKUP(E690,Specifications!$A$2:$D$9,4,FALSE),"")</f>
        <v/>
      </c>
      <c r="P690" s="8" t="str">
        <f t="shared" si="33"/>
        <v/>
      </c>
      <c r="Q690" s="9"/>
    </row>
    <row r="691" spans="1:17" ht="15">
      <c r="A691" s="5" t="str">
        <f t="shared" si="31"/>
        <v/>
      </c>
      <c r="B691" s="6"/>
      <c r="C691" s="5" t="str">
        <f>IFERROR(VLOOKUP(B691,Lists!$A$2:$B$25,2,FALSE),"")</f>
        <v/>
      </c>
      <c r="D691" s="7"/>
      <c r="E691" s="6"/>
      <c r="F691" s="6" t="str">
        <f t="shared" si="32"/>
        <v/>
      </c>
      <c r="G691" s="6"/>
      <c r="H691" s="6"/>
      <c r="I691" s="6"/>
      <c r="J691" s="7"/>
      <c r="K691" s="5" t="str" cm="1">
        <f t="array" ref="K691">IF(OR(A691="",B691="",D691="",E691=""),"",A691&amp;"_"&amp;SUBSTITUTE(B691," ","-")&amp;"_"&amp;D691&amp;"_"&amp;SUBSTITUTE(SUBSTITUTE(E691," ",""),"€","Euro")&amp;"_"&amp;IF(F691="","Unknown",F691)&amp;IF(F691="Commemorative",IF(G691="","","_"&amp;SUBSTITUTE(SUBSTITUTE(SUBSTITUTE(G691," ","-"),"/","-"),CHAR(39),"")),"")&amp;IF(I691="Duplicate","_Dub"&amp;IF(SUMPRODUCT(($B$2:B691=B691)*($D$2:D691=D691)*($E$2:E691=E691)*($F$2:F691=F691)*($G$2:G691=G691)*($I$2:I691="Duplicate"))&lt;=1,"",SUMPRODUCT(($B$2:B691=B691)*($D$2:D691=D691)*($E$2:E691=E691)*($F$2:F691=F691)*($G$2:G691=G691)*($I$2:I691="Duplicate"))-1),"")&amp;".jpeg")</f>
        <v/>
      </c>
      <c r="L691" s="6"/>
      <c r="M691" s="5" t="str">
        <f>IFERROR(VLOOKUP(E691,Specifications!$A$2:$D$9,2,FALSE),"")</f>
        <v/>
      </c>
      <c r="N691" s="5" t="str">
        <f>IFERROR(VLOOKUP(E691,Specifications!$A$2:$D$9,3,FALSE),"")</f>
        <v/>
      </c>
      <c r="O691" s="5" t="str">
        <f>IFERROR(VLOOKUP(E691,Specifications!$A$2:$D$9,4,FALSE),"")</f>
        <v/>
      </c>
      <c r="P691" s="8" t="str">
        <f t="shared" si="33"/>
        <v/>
      </c>
      <c r="Q691" s="9"/>
    </row>
    <row r="692" spans="1:17" ht="15">
      <c r="A692" s="5" t="str">
        <f t="shared" si="31"/>
        <v/>
      </c>
      <c r="B692" s="6"/>
      <c r="C692" s="5" t="str">
        <f>IFERROR(VLOOKUP(B692,Lists!$A$2:$B$25,2,FALSE),"")</f>
        <v/>
      </c>
      <c r="D692" s="7"/>
      <c r="E692" s="6"/>
      <c r="F692" s="6" t="str">
        <f t="shared" si="32"/>
        <v/>
      </c>
      <c r="G692" s="6"/>
      <c r="H692" s="6"/>
      <c r="I692" s="6"/>
      <c r="J692" s="7"/>
      <c r="K692" s="5" t="str" cm="1">
        <f t="array" ref="K692">IF(OR(A692="",B692="",D692="",E692=""),"",A692&amp;"_"&amp;SUBSTITUTE(B692," ","-")&amp;"_"&amp;D692&amp;"_"&amp;SUBSTITUTE(SUBSTITUTE(E692," ",""),"€","Euro")&amp;"_"&amp;IF(F692="","Unknown",F692)&amp;IF(F692="Commemorative",IF(G692="","","_"&amp;SUBSTITUTE(SUBSTITUTE(SUBSTITUTE(G692," ","-"),"/","-"),CHAR(39),"")),"")&amp;IF(I692="Duplicate","_Dub"&amp;IF(SUMPRODUCT(($B$2:B692=B692)*($D$2:D692=D692)*($E$2:E692=E692)*($F$2:F692=F692)*($G$2:G692=G692)*($I$2:I692="Duplicate"))&lt;=1,"",SUMPRODUCT(($B$2:B692=B692)*($D$2:D692=D692)*($E$2:E692=E692)*($F$2:F692=F692)*($G$2:G692=G692)*($I$2:I692="Duplicate"))-1),"")&amp;".jpeg")</f>
        <v/>
      </c>
      <c r="L692" s="6"/>
      <c r="M692" s="5" t="str">
        <f>IFERROR(VLOOKUP(E692,Specifications!$A$2:$D$9,2,FALSE),"")</f>
        <v/>
      </c>
      <c r="N692" s="5" t="str">
        <f>IFERROR(VLOOKUP(E692,Specifications!$A$2:$D$9,3,FALSE),"")</f>
        <v/>
      </c>
      <c r="O692" s="5" t="str">
        <f>IFERROR(VLOOKUP(E692,Specifications!$A$2:$D$9,4,FALSE),"")</f>
        <v/>
      </c>
      <c r="P692" s="8" t="str">
        <f t="shared" si="33"/>
        <v/>
      </c>
      <c r="Q692" s="9"/>
    </row>
    <row r="693" spans="1:17" ht="15">
      <c r="A693" s="5" t="str">
        <f t="shared" si="31"/>
        <v/>
      </c>
      <c r="B693" s="6"/>
      <c r="C693" s="5" t="str">
        <f>IFERROR(VLOOKUP(B693,Lists!$A$2:$B$25,2,FALSE),"")</f>
        <v/>
      </c>
      <c r="D693" s="7"/>
      <c r="E693" s="6"/>
      <c r="F693" s="6" t="str">
        <f t="shared" si="32"/>
        <v/>
      </c>
      <c r="G693" s="6"/>
      <c r="H693" s="6"/>
      <c r="I693" s="6"/>
      <c r="J693" s="7"/>
      <c r="K693" s="5" t="str" cm="1">
        <f t="array" ref="K693">IF(OR(A693="",B693="",D693="",E693=""),"",A693&amp;"_"&amp;SUBSTITUTE(B693," ","-")&amp;"_"&amp;D693&amp;"_"&amp;SUBSTITUTE(SUBSTITUTE(E693," ",""),"€","Euro")&amp;"_"&amp;IF(F693="","Unknown",F693)&amp;IF(F693="Commemorative",IF(G693="","","_"&amp;SUBSTITUTE(SUBSTITUTE(SUBSTITUTE(G693," ","-"),"/","-"),CHAR(39),"")),"")&amp;IF(I693="Duplicate","_Dub"&amp;IF(SUMPRODUCT(($B$2:B693=B693)*($D$2:D693=D693)*($E$2:E693=E693)*($F$2:F693=F693)*($G$2:G693=G693)*($I$2:I693="Duplicate"))&lt;=1,"",SUMPRODUCT(($B$2:B693=B693)*($D$2:D693=D693)*($E$2:E693=E693)*($F$2:F693=F693)*($G$2:G693=G693)*($I$2:I693="Duplicate"))-1),"")&amp;".jpeg")</f>
        <v/>
      </c>
      <c r="L693" s="6"/>
      <c r="M693" s="5" t="str">
        <f>IFERROR(VLOOKUP(E693,Specifications!$A$2:$D$9,2,FALSE),"")</f>
        <v/>
      </c>
      <c r="N693" s="5" t="str">
        <f>IFERROR(VLOOKUP(E693,Specifications!$A$2:$D$9,3,FALSE),"")</f>
        <v/>
      </c>
      <c r="O693" s="5" t="str">
        <f>IFERROR(VLOOKUP(E693,Specifications!$A$2:$D$9,4,FALSE),"")</f>
        <v/>
      </c>
      <c r="P693" s="8" t="str">
        <f t="shared" si="33"/>
        <v/>
      </c>
      <c r="Q693" s="9"/>
    </row>
    <row r="694" spans="1:17" ht="15">
      <c r="A694" s="5" t="str">
        <f t="shared" si="31"/>
        <v/>
      </c>
      <c r="B694" s="6"/>
      <c r="C694" s="5" t="str">
        <f>IFERROR(VLOOKUP(B694,Lists!$A$2:$B$25,2,FALSE),"")</f>
        <v/>
      </c>
      <c r="D694" s="7"/>
      <c r="E694" s="6"/>
      <c r="F694" s="6" t="str">
        <f t="shared" si="32"/>
        <v/>
      </c>
      <c r="G694" s="6"/>
      <c r="H694" s="6"/>
      <c r="I694" s="6"/>
      <c r="J694" s="7"/>
      <c r="K694" s="5" t="str" cm="1">
        <f t="array" ref="K694">IF(OR(A694="",B694="",D694="",E694=""),"",A694&amp;"_"&amp;SUBSTITUTE(B694," ","-")&amp;"_"&amp;D694&amp;"_"&amp;SUBSTITUTE(SUBSTITUTE(E694," ",""),"€","Euro")&amp;"_"&amp;IF(F694="","Unknown",F694)&amp;IF(F694="Commemorative",IF(G694="","","_"&amp;SUBSTITUTE(SUBSTITUTE(SUBSTITUTE(G694," ","-"),"/","-"),CHAR(39),"")),"")&amp;IF(I694="Duplicate","_Dub"&amp;IF(SUMPRODUCT(($B$2:B694=B694)*($D$2:D694=D694)*($E$2:E694=E694)*($F$2:F694=F694)*($G$2:G694=G694)*($I$2:I694="Duplicate"))&lt;=1,"",SUMPRODUCT(($B$2:B694=B694)*($D$2:D694=D694)*($E$2:E694=E694)*($F$2:F694=F694)*($G$2:G694=G694)*($I$2:I694="Duplicate"))-1),"")&amp;".jpeg")</f>
        <v/>
      </c>
      <c r="L694" s="6"/>
      <c r="M694" s="5" t="str">
        <f>IFERROR(VLOOKUP(E694,Specifications!$A$2:$D$9,2,FALSE),"")</f>
        <v/>
      </c>
      <c r="N694" s="5" t="str">
        <f>IFERROR(VLOOKUP(E694,Specifications!$A$2:$D$9,3,FALSE),"")</f>
        <v/>
      </c>
      <c r="O694" s="5" t="str">
        <f>IFERROR(VLOOKUP(E694,Specifications!$A$2:$D$9,4,FALSE),"")</f>
        <v/>
      </c>
      <c r="P694" s="8" t="str">
        <f t="shared" si="33"/>
        <v/>
      </c>
      <c r="Q694" s="9"/>
    </row>
    <row r="695" spans="1:17" ht="15">
      <c r="A695" s="5" t="str">
        <f t="shared" si="31"/>
        <v/>
      </c>
      <c r="B695" s="6"/>
      <c r="C695" s="5" t="str">
        <f>IFERROR(VLOOKUP(B695,Lists!$A$2:$B$25,2,FALSE),"")</f>
        <v/>
      </c>
      <c r="D695" s="7"/>
      <c r="E695" s="6"/>
      <c r="F695" s="6" t="str">
        <f t="shared" si="32"/>
        <v/>
      </c>
      <c r="G695" s="6"/>
      <c r="H695" s="6"/>
      <c r="I695" s="6"/>
      <c r="J695" s="7"/>
      <c r="K695" s="5" t="str" cm="1">
        <f t="array" ref="K695">IF(OR(A695="",B695="",D695="",E695=""),"",A695&amp;"_"&amp;SUBSTITUTE(B695," ","-")&amp;"_"&amp;D695&amp;"_"&amp;SUBSTITUTE(SUBSTITUTE(E695," ",""),"€","Euro")&amp;"_"&amp;IF(F695="","Unknown",F695)&amp;IF(F695="Commemorative",IF(G695="","","_"&amp;SUBSTITUTE(SUBSTITUTE(SUBSTITUTE(G695," ","-"),"/","-"),CHAR(39),"")),"")&amp;IF(I695="Duplicate","_Dub"&amp;IF(SUMPRODUCT(($B$2:B695=B695)*($D$2:D695=D695)*($E$2:E695=E695)*($F$2:F695=F695)*($G$2:G695=G695)*($I$2:I695="Duplicate"))&lt;=1,"",SUMPRODUCT(($B$2:B695=B695)*($D$2:D695=D695)*($E$2:E695=E695)*($F$2:F695=F695)*($G$2:G695=G695)*($I$2:I695="Duplicate"))-1),"")&amp;".jpeg")</f>
        <v/>
      </c>
      <c r="L695" s="6"/>
      <c r="M695" s="5" t="str">
        <f>IFERROR(VLOOKUP(E695,Specifications!$A$2:$D$9,2,FALSE),"")</f>
        <v/>
      </c>
      <c r="N695" s="5" t="str">
        <f>IFERROR(VLOOKUP(E695,Specifications!$A$2:$D$9,3,FALSE),"")</f>
        <v/>
      </c>
      <c r="O695" s="5" t="str">
        <f>IFERROR(VLOOKUP(E695,Specifications!$A$2:$D$9,4,FALSE),"")</f>
        <v/>
      </c>
      <c r="P695" s="8" t="str">
        <f t="shared" si="33"/>
        <v/>
      </c>
      <c r="Q695" s="9"/>
    </row>
    <row r="696" spans="1:17" ht="15">
      <c r="A696" s="5" t="str">
        <f t="shared" si="31"/>
        <v/>
      </c>
      <c r="B696" s="6"/>
      <c r="C696" s="5" t="str">
        <f>IFERROR(VLOOKUP(B696,Lists!$A$2:$B$25,2,FALSE),"")</f>
        <v/>
      </c>
      <c r="D696" s="7"/>
      <c r="E696" s="6"/>
      <c r="F696" s="6" t="str">
        <f t="shared" si="32"/>
        <v/>
      </c>
      <c r="G696" s="6"/>
      <c r="H696" s="6"/>
      <c r="I696" s="6"/>
      <c r="J696" s="7"/>
      <c r="K696" s="5" t="str" cm="1">
        <f t="array" ref="K696">IF(OR(A696="",B696="",D696="",E696=""),"",A696&amp;"_"&amp;SUBSTITUTE(B696," ","-")&amp;"_"&amp;D696&amp;"_"&amp;SUBSTITUTE(SUBSTITUTE(E696," ",""),"€","Euro")&amp;"_"&amp;IF(F696="","Unknown",F696)&amp;IF(F696="Commemorative",IF(G696="","","_"&amp;SUBSTITUTE(SUBSTITUTE(SUBSTITUTE(G696," ","-"),"/","-"),CHAR(39),"")),"")&amp;IF(I696="Duplicate","_Dub"&amp;IF(SUMPRODUCT(($B$2:B696=B696)*($D$2:D696=D696)*($E$2:E696=E696)*($F$2:F696=F696)*($G$2:G696=G696)*($I$2:I696="Duplicate"))&lt;=1,"",SUMPRODUCT(($B$2:B696=B696)*($D$2:D696=D696)*($E$2:E696=E696)*($F$2:F696=F696)*($G$2:G696=G696)*($I$2:I696="Duplicate"))-1),"")&amp;".jpeg")</f>
        <v/>
      </c>
      <c r="L696" s="6"/>
      <c r="M696" s="5" t="str">
        <f>IFERROR(VLOOKUP(E696,Specifications!$A$2:$D$9,2,FALSE),"")</f>
        <v/>
      </c>
      <c r="N696" s="5" t="str">
        <f>IFERROR(VLOOKUP(E696,Specifications!$A$2:$D$9,3,FALSE),"")</f>
        <v/>
      </c>
      <c r="O696" s="5" t="str">
        <f>IFERROR(VLOOKUP(E696,Specifications!$A$2:$D$9,4,FALSE),"")</f>
        <v/>
      </c>
      <c r="P696" s="8" t="str">
        <f t="shared" si="33"/>
        <v/>
      </c>
      <c r="Q696" s="9"/>
    </row>
    <row r="697" spans="1:17" ht="15">
      <c r="A697" s="5" t="str">
        <f t="shared" si="31"/>
        <v/>
      </c>
      <c r="B697" s="6"/>
      <c r="C697" s="5" t="str">
        <f>IFERROR(VLOOKUP(B697,Lists!$A$2:$B$25,2,FALSE),"")</f>
        <v/>
      </c>
      <c r="D697" s="7"/>
      <c r="E697" s="6"/>
      <c r="F697" s="6" t="str">
        <f t="shared" si="32"/>
        <v/>
      </c>
      <c r="G697" s="6"/>
      <c r="H697" s="6"/>
      <c r="I697" s="6"/>
      <c r="J697" s="7"/>
      <c r="K697" s="5" t="str" cm="1">
        <f t="array" ref="K697">IF(OR(A697="",B697="",D697="",E697=""),"",A697&amp;"_"&amp;SUBSTITUTE(B697," ","-")&amp;"_"&amp;D697&amp;"_"&amp;SUBSTITUTE(SUBSTITUTE(E697," ",""),"€","Euro")&amp;"_"&amp;IF(F697="","Unknown",F697)&amp;IF(F697="Commemorative",IF(G697="","","_"&amp;SUBSTITUTE(SUBSTITUTE(SUBSTITUTE(G697," ","-"),"/","-"),CHAR(39),"")),"")&amp;IF(I697="Duplicate","_Dub"&amp;IF(SUMPRODUCT(($B$2:B697=B697)*($D$2:D697=D697)*($E$2:E697=E697)*($F$2:F697=F697)*($G$2:G697=G697)*($I$2:I697="Duplicate"))&lt;=1,"",SUMPRODUCT(($B$2:B697=B697)*($D$2:D697=D697)*($E$2:E697=E697)*($F$2:F697=F697)*($G$2:G697=G697)*($I$2:I697="Duplicate"))-1),"")&amp;".jpeg")</f>
        <v/>
      </c>
      <c r="L697" s="6"/>
      <c r="M697" s="5" t="str">
        <f>IFERROR(VLOOKUP(E697,Specifications!$A$2:$D$9,2,FALSE),"")</f>
        <v/>
      </c>
      <c r="N697" s="5" t="str">
        <f>IFERROR(VLOOKUP(E697,Specifications!$A$2:$D$9,3,FALSE),"")</f>
        <v/>
      </c>
      <c r="O697" s="5" t="str">
        <f>IFERROR(VLOOKUP(E697,Specifications!$A$2:$D$9,4,FALSE),"")</f>
        <v/>
      </c>
      <c r="P697" s="8" t="str">
        <f t="shared" si="33"/>
        <v/>
      </c>
      <c r="Q697" s="9"/>
    </row>
    <row r="698" spans="1:17" ht="15">
      <c r="A698" s="5" t="str">
        <f t="shared" si="31"/>
        <v/>
      </c>
      <c r="B698" s="6"/>
      <c r="C698" s="5" t="str">
        <f>IFERROR(VLOOKUP(B698,Lists!$A$2:$B$25,2,FALSE),"")</f>
        <v/>
      </c>
      <c r="D698" s="7"/>
      <c r="E698" s="6"/>
      <c r="F698" s="6" t="str">
        <f t="shared" si="32"/>
        <v/>
      </c>
      <c r="G698" s="6"/>
      <c r="H698" s="6"/>
      <c r="I698" s="6"/>
      <c r="J698" s="7"/>
      <c r="K698" s="5" t="str" cm="1">
        <f t="array" ref="K698">IF(OR(A698="",B698="",D698="",E698=""),"",A698&amp;"_"&amp;SUBSTITUTE(B698," ","-")&amp;"_"&amp;D698&amp;"_"&amp;SUBSTITUTE(SUBSTITUTE(E698," ",""),"€","Euro")&amp;"_"&amp;IF(F698="","Unknown",F698)&amp;IF(F698="Commemorative",IF(G698="","","_"&amp;SUBSTITUTE(SUBSTITUTE(SUBSTITUTE(G698," ","-"),"/","-"),CHAR(39),"")),"")&amp;IF(I698="Duplicate","_Dub"&amp;IF(SUMPRODUCT(($B$2:B698=B698)*($D$2:D698=D698)*($E$2:E698=E698)*($F$2:F698=F698)*($G$2:G698=G698)*($I$2:I698="Duplicate"))&lt;=1,"",SUMPRODUCT(($B$2:B698=B698)*($D$2:D698=D698)*($E$2:E698=E698)*($F$2:F698=F698)*($G$2:G698=G698)*($I$2:I698="Duplicate"))-1),"")&amp;".jpeg")</f>
        <v/>
      </c>
      <c r="L698" s="6"/>
      <c r="M698" s="5" t="str">
        <f>IFERROR(VLOOKUP(E698,Specifications!$A$2:$D$9,2,FALSE),"")</f>
        <v/>
      </c>
      <c r="N698" s="5" t="str">
        <f>IFERROR(VLOOKUP(E698,Specifications!$A$2:$D$9,3,FALSE),"")</f>
        <v/>
      </c>
      <c r="O698" s="5" t="str">
        <f>IFERROR(VLOOKUP(E698,Specifications!$A$2:$D$9,4,FALSE),"")</f>
        <v/>
      </c>
      <c r="P698" s="8" t="str">
        <f t="shared" si="33"/>
        <v/>
      </c>
      <c r="Q698" s="9"/>
    </row>
    <row r="699" spans="1:17" ht="15">
      <c r="A699" s="5" t="str">
        <f t="shared" si="31"/>
        <v/>
      </c>
      <c r="B699" s="6"/>
      <c r="C699" s="5" t="str">
        <f>IFERROR(VLOOKUP(B699,Lists!$A$2:$B$25,2,FALSE),"")</f>
        <v/>
      </c>
      <c r="D699" s="7"/>
      <c r="E699" s="6"/>
      <c r="F699" s="6" t="str">
        <f t="shared" si="32"/>
        <v/>
      </c>
      <c r="G699" s="6"/>
      <c r="H699" s="6"/>
      <c r="I699" s="6"/>
      <c r="J699" s="7"/>
      <c r="K699" s="5" t="str" cm="1">
        <f t="array" ref="K699">IF(OR(A699="",B699="",D699="",E699=""),"",A699&amp;"_"&amp;SUBSTITUTE(B699," ","-")&amp;"_"&amp;D699&amp;"_"&amp;SUBSTITUTE(SUBSTITUTE(E699," ",""),"€","Euro")&amp;"_"&amp;IF(F699="","Unknown",F699)&amp;IF(F699="Commemorative",IF(G699="","","_"&amp;SUBSTITUTE(SUBSTITUTE(SUBSTITUTE(G699," ","-"),"/","-"),CHAR(39),"")),"")&amp;IF(I699="Duplicate","_Dub"&amp;IF(SUMPRODUCT(($B$2:B699=B699)*($D$2:D699=D699)*($E$2:E699=E699)*($F$2:F699=F699)*($G$2:G699=G699)*($I$2:I699="Duplicate"))&lt;=1,"",SUMPRODUCT(($B$2:B699=B699)*($D$2:D699=D699)*($E$2:E699=E699)*($F$2:F699=F699)*($G$2:G699=G699)*($I$2:I699="Duplicate"))-1),"")&amp;".jpeg")</f>
        <v/>
      </c>
      <c r="L699" s="6"/>
      <c r="M699" s="5" t="str">
        <f>IFERROR(VLOOKUP(E699,Specifications!$A$2:$D$9,2,FALSE),"")</f>
        <v/>
      </c>
      <c r="N699" s="5" t="str">
        <f>IFERROR(VLOOKUP(E699,Specifications!$A$2:$D$9,3,FALSE),"")</f>
        <v/>
      </c>
      <c r="O699" s="5" t="str">
        <f>IFERROR(VLOOKUP(E699,Specifications!$A$2:$D$9,4,FALSE),"")</f>
        <v/>
      </c>
      <c r="P699" s="8" t="str">
        <f t="shared" si="33"/>
        <v/>
      </c>
      <c r="Q699" s="9"/>
    </row>
    <row r="700" spans="1:17" ht="15">
      <c r="A700" s="5" t="str">
        <f t="shared" si="31"/>
        <v/>
      </c>
      <c r="B700" s="6"/>
      <c r="C700" s="5" t="str">
        <f>IFERROR(VLOOKUP(B700,Lists!$A$2:$B$25,2,FALSE),"")</f>
        <v/>
      </c>
      <c r="D700" s="7"/>
      <c r="E700" s="6"/>
      <c r="F700" s="6" t="str">
        <f t="shared" si="32"/>
        <v/>
      </c>
      <c r="G700" s="6"/>
      <c r="H700" s="6"/>
      <c r="I700" s="6"/>
      <c r="J700" s="7"/>
      <c r="K700" s="5" t="str" cm="1">
        <f t="array" ref="K700">IF(OR(A700="",B700="",D700="",E700=""),"",A700&amp;"_"&amp;SUBSTITUTE(B700," ","-")&amp;"_"&amp;D700&amp;"_"&amp;SUBSTITUTE(SUBSTITUTE(E700," ",""),"€","Euro")&amp;"_"&amp;IF(F700="","Unknown",F700)&amp;IF(F700="Commemorative",IF(G700="","","_"&amp;SUBSTITUTE(SUBSTITUTE(SUBSTITUTE(G700," ","-"),"/","-"),CHAR(39),"")),"")&amp;IF(I700="Duplicate","_Dub"&amp;IF(SUMPRODUCT(($B$2:B700=B700)*($D$2:D700=D700)*($E$2:E700=E700)*($F$2:F700=F700)*($G$2:G700=G700)*($I$2:I700="Duplicate"))&lt;=1,"",SUMPRODUCT(($B$2:B700=B700)*($D$2:D700=D700)*($E$2:E700=E700)*($F$2:F700=F700)*($G$2:G700=G700)*($I$2:I700="Duplicate"))-1),"")&amp;".jpeg")</f>
        <v/>
      </c>
      <c r="L700" s="6"/>
      <c r="M700" s="5" t="str">
        <f>IFERROR(VLOOKUP(E700,Specifications!$A$2:$D$9,2,FALSE),"")</f>
        <v/>
      </c>
      <c r="N700" s="5" t="str">
        <f>IFERROR(VLOOKUP(E700,Specifications!$A$2:$D$9,3,FALSE),"")</f>
        <v/>
      </c>
      <c r="O700" s="5" t="str">
        <f>IFERROR(VLOOKUP(E700,Specifications!$A$2:$D$9,4,FALSE),"")</f>
        <v/>
      </c>
      <c r="P700" s="8" t="str">
        <f t="shared" si="33"/>
        <v/>
      </c>
      <c r="Q700" s="9"/>
    </row>
    <row r="701" spans="1:17" ht="15">
      <c r="A701" s="5" t="str">
        <f t="shared" si="31"/>
        <v/>
      </c>
      <c r="B701" s="6"/>
      <c r="C701" s="5" t="str">
        <f>IFERROR(VLOOKUP(B701,Lists!$A$2:$B$25,2,FALSE),"")</f>
        <v/>
      </c>
      <c r="D701" s="7"/>
      <c r="E701" s="6"/>
      <c r="F701" s="6" t="str">
        <f t="shared" si="32"/>
        <v/>
      </c>
      <c r="G701" s="6"/>
      <c r="H701" s="6"/>
      <c r="I701" s="6"/>
      <c r="J701" s="7"/>
      <c r="K701" s="5" t="str" cm="1">
        <f t="array" ref="K701">IF(OR(A701="",B701="",D701="",E701=""),"",A701&amp;"_"&amp;SUBSTITUTE(B701," ","-")&amp;"_"&amp;D701&amp;"_"&amp;SUBSTITUTE(SUBSTITUTE(E701," ",""),"€","Euro")&amp;"_"&amp;IF(F701="","Unknown",F701)&amp;IF(F701="Commemorative",IF(G701="","","_"&amp;SUBSTITUTE(SUBSTITUTE(SUBSTITUTE(G701," ","-"),"/","-"),CHAR(39),"")),"")&amp;IF(I701="Duplicate","_Dub"&amp;IF(SUMPRODUCT(($B$2:B701=B701)*($D$2:D701=D701)*($E$2:E701=E701)*($F$2:F701=F701)*($G$2:G701=G701)*($I$2:I701="Duplicate"))&lt;=1,"",SUMPRODUCT(($B$2:B701=B701)*($D$2:D701=D701)*($E$2:E701=E701)*($F$2:F701=F701)*($G$2:G701=G701)*($I$2:I701="Duplicate"))-1),"")&amp;".jpeg")</f>
        <v/>
      </c>
      <c r="L701" s="6"/>
      <c r="M701" s="5" t="str">
        <f>IFERROR(VLOOKUP(E701,Specifications!$A$2:$D$9,2,FALSE),"")</f>
        <v/>
      </c>
      <c r="N701" s="5" t="str">
        <f>IFERROR(VLOOKUP(E701,Specifications!$A$2:$D$9,3,FALSE),"")</f>
        <v/>
      </c>
      <c r="O701" s="5" t="str">
        <f>IFERROR(VLOOKUP(E701,Specifications!$A$2:$D$9,4,FALSE),"")</f>
        <v/>
      </c>
      <c r="P701" s="8" t="str">
        <f t="shared" si="33"/>
        <v/>
      </c>
      <c r="Q701" s="9"/>
    </row>
    <row r="702" spans="1:17" ht="15">
      <c r="A702" s="5" t="str">
        <f t="shared" si="31"/>
        <v/>
      </c>
      <c r="B702" s="6"/>
      <c r="C702" s="5" t="str">
        <f>IFERROR(VLOOKUP(B702,Lists!$A$2:$B$25,2,FALSE),"")</f>
        <v/>
      </c>
      <c r="D702" s="7"/>
      <c r="E702" s="6"/>
      <c r="F702" s="6" t="str">
        <f t="shared" si="32"/>
        <v/>
      </c>
      <c r="G702" s="6"/>
      <c r="H702" s="6"/>
      <c r="I702" s="6"/>
      <c r="J702" s="7"/>
      <c r="K702" s="5" t="str" cm="1">
        <f t="array" ref="K702">IF(OR(A702="",B702="",D702="",E702=""),"",A702&amp;"_"&amp;SUBSTITUTE(B702," ","-")&amp;"_"&amp;D702&amp;"_"&amp;SUBSTITUTE(SUBSTITUTE(E702," ",""),"€","Euro")&amp;"_"&amp;IF(F702="","Unknown",F702)&amp;IF(F702="Commemorative",IF(G702="","","_"&amp;SUBSTITUTE(SUBSTITUTE(SUBSTITUTE(G702," ","-"),"/","-"),CHAR(39),"")),"")&amp;IF(I702="Duplicate","_Dub"&amp;IF(SUMPRODUCT(($B$2:B702=B702)*($D$2:D702=D702)*($E$2:E702=E702)*($F$2:F702=F702)*($G$2:G702=G702)*($I$2:I702="Duplicate"))&lt;=1,"",SUMPRODUCT(($B$2:B702=B702)*($D$2:D702=D702)*($E$2:E702=E702)*($F$2:F702=F702)*($G$2:G702=G702)*($I$2:I702="Duplicate"))-1),"")&amp;".jpeg")</f>
        <v/>
      </c>
      <c r="L702" s="6"/>
      <c r="M702" s="5" t="str">
        <f>IFERROR(VLOOKUP(E702,Specifications!$A$2:$D$9,2,FALSE),"")</f>
        <v/>
      </c>
      <c r="N702" s="5" t="str">
        <f>IFERROR(VLOOKUP(E702,Specifications!$A$2:$D$9,3,FALSE),"")</f>
        <v/>
      </c>
      <c r="O702" s="5" t="str">
        <f>IFERROR(VLOOKUP(E702,Specifications!$A$2:$D$9,4,FALSE),"")</f>
        <v/>
      </c>
      <c r="P702" s="8" t="str">
        <f t="shared" si="33"/>
        <v/>
      </c>
      <c r="Q702" s="9"/>
    </row>
    <row r="703" spans="1:17" ht="15">
      <c r="A703" s="5" t="str">
        <f t="shared" si="31"/>
        <v/>
      </c>
      <c r="B703" s="6"/>
      <c r="C703" s="5" t="str">
        <f>IFERROR(VLOOKUP(B703,Lists!$A$2:$B$25,2,FALSE),"")</f>
        <v/>
      </c>
      <c r="D703" s="7"/>
      <c r="E703" s="6"/>
      <c r="F703" s="6" t="str">
        <f t="shared" si="32"/>
        <v/>
      </c>
      <c r="G703" s="6"/>
      <c r="H703" s="6"/>
      <c r="I703" s="6"/>
      <c r="J703" s="7"/>
      <c r="K703" s="5" t="str" cm="1">
        <f t="array" ref="K703">IF(OR(A703="",B703="",D703="",E703=""),"",A703&amp;"_"&amp;SUBSTITUTE(B703," ","-")&amp;"_"&amp;D703&amp;"_"&amp;SUBSTITUTE(SUBSTITUTE(E703," ",""),"€","Euro")&amp;"_"&amp;IF(F703="","Unknown",F703)&amp;IF(F703="Commemorative",IF(G703="","","_"&amp;SUBSTITUTE(SUBSTITUTE(SUBSTITUTE(G703," ","-"),"/","-"),CHAR(39),"")),"")&amp;IF(I703="Duplicate","_Dub"&amp;IF(SUMPRODUCT(($B$2:B703=B703)*($D$2:D703=D703)*($E$2:E703=E703)*($F$2:F703=F703)*($G$2:G703=G703)*($I$2:I703="Duplicate"))&lt;=1,"",SUMPRODUCT(($B$2:B703=B703)*($D$2:D703=D703)*($E$2:E703=E703)*($F$2:F703=F703)*($G$2:G703=G703)*($I$2:I703="Duplicate"))-1),"")&amp;".jpeg")</f>
        <v/>
      </c>
      <c r="L703" s="6"/>
      <c r="M703" s="5" t="str">
        <f>IFERROR(VLOOKUP(E703,Specifications!$A$2:$D$9,2,FALSE),"")</f>
        <v/>
      </c>
      <c r="N703" s="5" t="str">
        <f>IFERROR(VLOOKUP(E703,Specifications!$A$2:$D$9,3,FALSE),"")</f>
        <v/>
      </c>
      <c r="O703" s="5" t="str">
        <f>IFERROR(VLOOKUP(E703,Specifications!$A$2:$D$9,4,FALSE),"")</f>
        <v/>
      </c>
      <c r="P703" s="8" t="str">
        <f t="shared" si="33"/>
        <v/>
      </c>
      <c r="Q703" s="9"/>
    </row>
    <row r="704" spans="1:17" ht="15">
      <c r="A704" s="5" t="str">
        <f t="shared" si="31"/>
        <v/>
      </c>
      <c r="B704" s="6"/>
      <c r="C704" s="5" t="str">
        <f>IFERROR(VLOOKUP(B704,Lists!$A$2:$B$25,2,FALSE),"")</f>
        <v/>
      </c>
      <c r="D704" s="7"/>
      <c r="E704" s="6"/>
      <c r="F704" s="6" t="str">
        <f t="shared" si="32"/>
        <v/>
      </c>
      <c r="G704" s="6"/>
      <c r="H704" s="6"/>
      <c r="I704" s="6"/>
      <c r="J704" s="7"/>
      <c r="K704" s="5" t="str" cm="1">
        <f t="array" ref="K704">IF(OR(A704="",B704="",D704="",E704=""),"",A704&amp;"_"&amp;SUBSTITUTE(B704," ","-")&amp;"_"&amp;D704&amp;"_"&amp;SUBSTITUTE(SUBSTITUTE(E704," ",""),"€","Euro")&amp;"_"&amp;IF(F704="","Unknown",F704)&amp;IF(F704="Commemorative",IF(G704="","","_"&amp;SUBSTITUTE(SUBSTITUTE(SUBSTITUTE(G704," ","-"),"/","-"),CHAR(39),"")),"")&amp;IF(I704="Duplicate","_Dub"&amp;IF(SUMPRODUCT(($B$2:B704=B704)*($D$2:D704=D704)*($E$2:E704=E704)*($F$2:F704=F704)*($G$2:G704=G704)*($I$2:I704="Duplicate"))&lt;=1,"",SUMPRODUCT(($B$2:B704=B704)*($D$2:D704=D704)*($E$2:E704=E704)*($F$2:F704=F704)*($G$2:G704=G704)*($I$2:I704="Duplicate"))-1),"")&amp;".jpeg")</f>
        <v/>
      </c>
      <c r="L704" s="6"/>
      <c r="M704" s="5" t="str">
        <f>IFERROR(VLOOKUP(E704,Specifications!$A$2:$D$9,2,FALSE),"")</f>
        <v/>
      </c>
      <c r="N704" s="5" t="str">
        <f>IFERROR(VLOOKUP(E704,Specifications!$A$2:$D$9,3,FALSE),"")</f>
        <v/>
      </c>
      <c r="O704" s="5" t="str">
        <f>IFERROR(VLOOKUP(E704,Specifications!$A$2:$D$9,4,FALSE),"")</f>
        <v/>
      </c>
      <c r="P704" s="8" t="str">
        <f t="shared" si="33"/>
        <v/>
      </c>
      <c r="Q704" s="9"/>
    </row>
    <row r="705" spans="1:17" ht="15">
      <c r="A705" s="5" t="str">
        <f t="shared" si="31"/>
        <v/>
      </c>
      <c r="B705" s="6"/>
      <c r="C705" s="5" t="str">
        <f>IFERROR(VLOOKUP(B705,Lists!$A$2:$B$25,2,FALSE),"")</f>
        <v/>
      </c>
      <c r="D705" s="7"/>
      <c r="E705" s="6"/>
      <c r="F705" s="6" t="str">
        <f t="shared" si="32"/>
        <v/>
      </c>
      <c r="G705" s="6"/>
      <c r="H705" s="6"/>
      <c r="I705" s="6"/>
      <c r="J705" s="7"/>
      <c r="K705" s="5" t="str" cm="1">
        <f t="array" ref="K705">IF(OR(A705="",B705="",D705="",E705=""),"",A705&amp;"_"&amp;SUBSTITUTE(B705," ","-")&amp;"_"&amp;D705&amp;"_"&amp;SUBSTITUTE(SUBSTITUTE(E705," ",""),"€","Euro")&amp;"_"&amp;IF(F705="","Unknown",F705)&amp;IF(F705="Commemorative",IF(G705="","","_"&amp;SUBSTITUTE(SUBSTITUTE(SUBSTITUTE(G705," ","-"),"/","-"),CHAR(39),"")),"")&amp;IF(I705="Duplicate","_Dub"&amp;IF(SUMPRODUCT(($B$2:B705=B705)*($D$2:D705=D705)*($E$2:E705=E705)*($F$2:F705=F705)*($G$2:G705=G705)*($I$2:I705="Duplicate"))&lt;=1,"",SUMPRODUCT(($B$2:B705=B705)*($D$2:D705=D705)*($E$2:E705=E705)*($F$2:F705=F705)*($G$2:G705=G705)*($I$2:I705="Duplicate"))-1),"")&amp;".jpeg")</f>
        <v/>
      </c>
      <c r="L705" s="6"/>
      <c r="M705" s="5" t="str">
        <f>IFERROR(VLOOKUP(E705,Specifications!$A$2:$D$9,2,FALSE),"")</f>
        <v/>
      </c>
      <c r="N705" s="5" t="str">
        <f>IFERROR(VLOOKUP(E705,Specifications!$A$2:$D$9,3,FALSE),"")</f>
        <v/>
      </c>
      <c r="O705" s="5" t="str">
        <f>IFERROR(VLOOKUP(E705,Specifications!$A$2:$D$9,4,FALSE),"")</f>
        <v/>
      </c>
      <c r="P705" s="8" t="str">
        <f t="shared" si="33"/>
        <v/>
      </c>
      <c r="Q705" s="9"/>
    </row>
    <row r="706" spans="1:17" ht="15">
      <c r="A706" s="5" t="str">
        <f t="shared" ref="A706:A769" si="34">IF(B706="","",TEXT(ROW()-1,"000"))</f>
        <v/>
      </c>
      <c r="B706" s="6"/>
      <c r="C706" s="5" t="str">
        <f>IFERROR(VLOOKUP(B706,Lists!$A$2:$B$25,2,FALSE),"")</f>
        <v/>
      </c>
      <c r="D706" s="7"/>
      <c r="E706" s="6"/>
      <c r="F706" s="6" t="str">
        <f t="shared" ref="F706:F769" si="35">IF(E706="","",IF(E706="2 €","", "Regular"))</f>
        <v/>
      </c>
      <c r="G706" s="6"/>
      <c r="H706" s="6"/>
      <c r="I706" s="6"/>
      <c r="J706" s="7"/>
      <c r="K706" s="5" t="str" cm="1">
        <f t="array" ref="K706">IF(OR(A706="",B706="",D706="",E706=""),"",A706&amp;"_"&amp;SUBSTITUTE(B706," ","-")&amp;"_"&amp;D706&amp;"_"&amp;SUBSTITUTE(SUBSTITUTE(E706," ",""),"€","Euro")&amp;"_"&amp;IF(F706="","Unknown",F706)&amp;IF(F706="Commemorative",IF(G706="","","_"&amp;SUBSTITUTE(SUBSTITUTE(SUBSTITUTE(G706," ","-"),"/","-"),CHAR(39),"")),"")&amp;IF(I706="Duplicate","_Dub"&amp;IF(SUMPRODUCT(($B$2:B706=B706)*($D$2:D706=D706)*($E$2:E706=E706)*($F$2:F706=F706)*($G$2:G706=G706)*($I$2:I706="Duplicate"))&lt;=1,"",SUMPRODUCT(($B$2:B706=B706)*($D$2:D706=D706)*($E$2:E706=E706)*($F$2:F706=F706)*($G$2:G706=G706)*($I$2:I706="Duplicate"))-1),"")&amp;".jpeg")</f>
        <v/>
      </c>
      <c r="L706" s="6"/>
      <c r="M706" s="5" t="str">
        <f>IFERROR(VLOOKUP(E706,Specifications!$A$2:$D$9,2,FALSE),"")</f>
        <v/>
      </c>
      <c r="N706" s="5" t="str">
        <f>IFERROR(VLOOKUP(E706,Specifications!$A$2:$D$9,3,FALSE),"")</f>
        <v/>
      </c>
      <c r="O706" s="5" t="str">
        <f>IFERROR(VLOOKUP(E706,Specifications!$A$2:$D$9,4,FALSE),"")</f>
        <v/>
      </c>
      <c r="P706" s="8" t="str">
        <f t="shared" ref="P706:P769" si="36">IF(OR(B706="",E706="",F706=""),"",IF(F706="Regular","Regular "&amp;E706&amp;" circulation coin of "&amp;B706&amp;".",IF(F706="Commemorative",IF(G706="","",E706&amp;" commemorative coin of "&amp;B706&amp;" – "&amp;G706&amp;"."),"")))</f>
        <v/>
      </c>
      <c r="Q706" s="9"/>
    </row>
    <row r="707" spans="1:17" ht="15">
      <c r="A707" s="5" t="str">
        <f t="shared" si="34"/>
        <v/>
      </c>
      <c r="B707" s="6"/>
      <c r="C707" s="5" t="str">
        <f>IFERROR(VLOOKUP(B707,Lists!$A$2:$B$25,2,FALSE),"")</f>
        <v/>
      </c>
      <c r="D707" s="7"/>
      <c r="E707" s="6"/>
      <c r="F707" s="6" t="str">
        <f t="shared" si="35"/>
        <v/>
      </c>
      <c r="G707" s="6"/>
      <c r="H707" s="6"/>
      <c r="I707" s="6"/>
      <c r="J707" s="7"/>
      <c r="K707" s="5" t="str" cm="1">
        <f t="array" ref="K707">IF(OR(A707="",B707="",D707="",E707=""),"",A707&amp;"_"&amp;SUBSTITUTE(B707," ","-")&amp;"_"&amp;D707&amp;"_"&amp;SUBSTITUTE(SUBSTITUTE(E707," ",""),"€","Euro")&amp;"_"&amp;IF(F707="","Unknown",F707)&amp;IF(F707="Commemorative",IF(G707="","","_"&amp;SUBSTITUTE(SUBSTITUTE(SUBSTITUTE(G707," ","-"),"/","-"),CHAR(39),"")),"")&amp;IF(I707="Duplicate","_Dub"&amp;IF(SUMPRODUCT(($B$2:B707=B707)*($D$2:D707=D707)*($E$2:E707=E707)*($F$2:F707=F707)*($G$2:G707=G707)*($I$2:I707="Duplicate"))&lt;=1,"",SUMPRODUCT(($B$2:B707=B707)*($D$2:D707=D707)*($E$2:E707=E707)*($F$2:F707=F707)*($G$2:G707=G707)*($I$2:I707="Duplicate"))-1),"")&amp;".jpeg")</f>
        <v/>
      </c>
      <c r="L707" s="6"/>
      <c r="M707" s="5" t="str">
        <f>IFERROR(VLOOKUP(E707,Specifications!$A$2:$D$9,2,FALSE),"")</f>
        <v/>
      </c>
      <c r="N707" s="5" t="str">
        <f>IFERROR(VLOOKUP(E707,Specifications!$A$2:$D$9,3,FALSE),"")</f>
        <v/>
      </c>
      <c r="O707" s="5" t="str">
        <f>IFERROR(VLOOKUP(E707,Specifications!$A$2:$D$9,4,FALSE),"")</f>
        <v/>
      </c>
      <c r="P707" s="8" t="str">
        <f t="shared" si="36"/>
        <v/>
      </c>
      <c r="Q707" s="9"/>
    </row>
    <row r="708" spans="1:17" ht="15">
      <c r="A708" s="5" t="str">
        <f t="shared" si="34"/>
        <v/>
      </c>
      <c r="B708" s="6"/>
      <c r="C708" s="5" t="str">
        <f>IFERROR(VLOOKUP(B708,Lists!$A$2:$B$25,2,FALSE),"")</f>
        <v/>
      </c>
      <c r="D708" s="7"/>
      <c r="E708" s="6"/>
      <c r="F708" s="6" t="str">
        <f t="shared" si="35"/>
        <v/>
      </c>
      <c r="G708" s="6"/>
      <c r="H708" s="6"/>
      <c r="I708" s="6"/>
      <c r="J708" s="7"/>
      <c r="K708" s="5" t="str" cm="1">
        <f t="array" ref="K708">IF(OR(A708="",B708="",D708="",E708=""),"",A708&amp;"_"&amp;SUBSTITUTE(B708," ","-")&amp;"_"&amp;D708&amp;"_"&amp;SUBSTITUTE(SUBSTITUTE(E708," ",""),"€","Euro")&amp;"_"&amp;IF(F708="","Unknown",F708)&amp;IF(F708="Commemorative",IF(G708="","","_"&amp;SUBSTITUTE(SUBSTITUTE(SUBSTITUTE(G708," ","-"),"/","-"),CHAR(39),"")),"")&amp;IF(I708="Duplicate","_Dub"&amp;IF(SUMPRODUCT(($B$2:B708=B708)*($D$2:D708=D708)*($E$2:E708=E708)*($F$2:F708=F708)*($G$2:G708=G708)*($I$2:I708="Duplicate"))&lt;=1,"",SUMPRODUCT(($B$2:B708=B708)*($D$2:D708=D708)*($E$2:E708=E708)*($F$2:F708=F708)*($G$2:G708=G708)*($I$2:I708="Duplicate"))-1),"")&amp;".jpeg")</f>
        <v/>
      </c>
      <c r="L708" s="6"/>
      <c r="M708" s="5" t="str">
        <f>IFERROR(VLOOKUP(E708,Specifications!$A$2:$D$9,2,FALSE),"")</f>
        <v/>
      </c>
      <c r="N708" s="5" t="str">
        <f>IFERROR(VLOOKUP(E708,Specifications!$A$2:$D$9,3,FALSE),"")</f>
        <v/>
      </c>
      <c r="O708" s="5" t="str">
        <f>IFERROR(VLOOKUP(E708,Specifications!$A$2:$D$9,4,FALSE),"")</f>
        <v/>
      </c>
      <c r="P708" s="8" t="str">
        <f t="shared" si="36"/>
        <v/>
      </c>
      <c r="Q708" s="9"/>
    </row>
    <row r="709" spans="1:17" ht="15">
      <c r="A709" s="5" t="str">
        <f t="shared" si="34"/>
        <v/>
      </c>
      <c r="B709" s="6"/>
      <c r="C709" s="5" t="str">
        <f>IFERROR(VLOOKUP(B709,Lists!$A$2:$B$25,2,FALSE),"")</f>
        <v/>
      </c>
      <c r="D709" s="7"/>
      <c r="E709" s="6"/>
      <c r="F709" s="6" t="str">
        <f t="shared" si="35"/>
        <v/>
      </c>
      <c r="G709" s="6"/>
      <c r="H709" s="6"/>
      <c r="I709" s="6"/>
      <c r="J709" s="7"/>
      <c r="K709" s="5" t="str" cm="1">
        <f t="array" ref="K709">IF(OR(A709="",B709="",D709="",E709=""),"",A709&amp;"_"&amp;SUBSTITUTE(B709," ","-")&amp;"_"&amp;D709&amp;"_"&amp;SUBSTITUTE(SUBSTITUTE(E709," ",""),"€","Euro")&amp;"_"&amp;IF(F709="","Unknown",F709)&amp;IF(F709="Commemorative",IF(G709="","","_"&amp;SUBSTITUTE(SUBSTITUTE(SUBSTITUTE(G709," ","-"),"/","-"),CHAR(39),"")),"")&amp;IF(I709="Duplicate","_Dub"&amp;IF(SUMPRODUCT(($B$2:B709=B709)*($D$2:D709=D709)*($E$2:E709=E709)*($F$2:F709=F709)*($G$2:G709=G709)*($I$2:I709="Duplicate"))&lt;=1,"",SUMPRODUCT(($B$2:B709=B709)*($D$2:D709=D709)*($E$2:E709=E709)*($F$2:F709=F709)*($G$2:G709=G709)*($I$2:I709="Duplicate"))-1),"")&amp;".jpeg")</f>
        <v/>
      </c>
      <c r="L709" s="6"/>
      <c r="M709" s="5" t="str">
        <f>IFERROR(VLOOKUP(E709,Specifications!$A$2:$D$9,2,FALSE),"")</f>
        <v/>
      </c>
      <c r="N709" s="5" t="str">
        <f>IFERROR(VLOOKUP(E709,Specifications!$A$2:$D$9,3,FALSE),"")</f>
        <v/>
      </c>
      <c r="O709" s="5" t="str">
        <f>IFERROR(VLOOKUP(E709,Specifications!$A$2:$D$9,4,FALSE),"")</f>
        <v/>
      </c>
      <c r="P709" s="8" t="str">
        <f t="shared" si="36"/>
        <v/>
      </c>
      <c r="Q709" s="9"/>
    </row>
    <row r="710" spans="1:17" ht="15">
      <c r="A710" s="5" t="str">
        <f t="shared" si="34"/>
        <v/>
      </c>
      <c r="B710" s="6"/>
      <c r="C710" s="5" t="str">
        <f>IFERROR(VLOOKUP(B710,Lists!$A$2:$B$25,2,FALSE),"")</f>
        <v/>
      </c>
      <c r="D710" s="7"/>
      <c r="E710" s="6"/>
      <c r="F710" s="6" t="str">
        <f t="shared" si="35"/>
        <v/>
      </c>
      <c r="G710" s="6"/>
      <c r="H710" s="6"/>
      <c r="I710" s="6"/>
      <c r="J710" s="7"/>
      <c r="K710" s="5" t="str" cm="1">
        <f t="array" ref="K710">IF(OR(A710="",B710="",D710="",E710=""),"",A710&amp;"_"&amp;SUBSTITUTE(B710," ","-")&amp;"_"&amp;D710&amp;"_"&amp;SUBSTITUTE(SUBSTITUTE(E710," ",""),"€","Euro")&amp;"_"&amp;IF(F710="","Unknown",F710)&amp;IF(F710="Commemorative",IF(G710="","","_"&amp;SUBSTITUTE(SUBSTITUTE(SUBSTITUTE(G710," ","-"),"/","-"),CHAR(39),"")),"")&amp;IF(I710="Duplicate","_Dub"&amp;IF(SUMPRODUCT(($B$2:B710=B710)*($D$2:D710=D710)*($E$2:E710=E710)*($F$2:F710=F710)*($G$2:G710=G710)*($I$2:I710="Duplicate"))&lt;=1,"",SUMPRODUCT(($B$2:B710=B710)*($D$2:D710=D710)*($E$2:E710=E710)*($F$2:F710=F710)*($G$2:G710=G710)*($I$2:I710="Duplicate"))-1),"")&amp;".jpeg")</f>
        <v/>
      </c>
      <c r="L710" s="6"/>
      <c r="M710" s="5" t="str">
        <f>IFERROR(VLOOKUP(E710,Specifications!$A$2:$D$9,2,FALSE),"")</f>
        <v/>
      </c>
      <c r="N710" s="5" t="str">
        <f>IFERROR(VLOOKUP(E710,Specifications!$A$2:$D$9,3,FALSE),"")</f>
        <v/>
      </c>
      <c r="O710" s="5" t="str">
        <f>IFERROR(VLOOKUP(E710,Specifications!$A$2:$D$9,4,FALSE),"")</f>
        <v/>
      </c>
      <c r="P710" s="8" t="str">
        <f t="shared" si="36"/>
        <v/>
      </c>
      <c r="Q710" s="9"/>
    </row>
    <row r="711" spans="1:17" ht="15">
      <c r="A711" s="5" t="str">
        <f t="shared" si="34"/>
        <v/>
      </c>
      <c r="B711" s="6"/>
      <c r="C711" s="5" t="str">
        <f>IFERROR(VLOOKUP(B711,Lists!$A$2:$B$25,2,FALSE),"")</f>
        <v/>
      </c>
      <c r="D711" s="7"/>
      <c r="E711" s="6"/>
      <c r="F711" s="6" t="str">
        <f t="shared" si="35"/>
        <v/>
      </c>
      <c r="G711" s="6"/>
      <c r="H711" s="6"/>
      <c r="I711" s="6"/>
      <c r="J711" s="7"/>
      <c r="K711" s="5" t="str" cm="1">
        <f t="array" ref="K711">IF(OR(A711="",B711="",D711="",E711=""),"",A711&amp;"_"&amp;SUBSTITUTE(B711," ","-")&amp;"_"&amp;D711&amp;"_"&amp;SUBSTITUTE(SUBSTITUTE(E711," ",""),"€","Euro")&amp;"_"&amp;IF(F711="","Unknown",F711)&amp;IF(F711="Commemorative",IF(G711="","","_"&amp;SUBSTITUTE(SUBSTITUTE(SUBSTITUTE(G711," ","-"),"/","-"),CHAR(39),"")),"")&amp;IF(I711="Duplicate","_Dub"&amp;IF(SUMPRODUCT(($B$2:B711=B711)*($D$2:D711=D711)*($E$2:E711=E711)*($F$2:F711=F711)*($G$2:G711=G711)*($I$2:I711="Duplicate"))&lt;=1,"",SUMPRODUCT(($B$2:B711=B711)*($D$2:D711=D711)*($E$2:E711=E711)*($F$2:F711=F711)*($G$2:G711=G711)*($I$2:I711="Duplicate"))-1),"")&amp;".jpeg")</f>
        <v/>
      </c>
      <c r="L711" s="6"/>
      <c r="M711" s="5" t="str">
        <f>IFERROR(VLOOKUP(E711,Specifications!$A$2:$D$9,2,FALSE),"")</f>
        <v/>
      </c>
      <c r="N711" s="5" t="str">
        <f>IFERROR(VLOOKUP(E711,Specifications!$A$2:$D$9,3,FALSE),"")</f>
        <v/>
      </c>
      <c r="O711" s="5" t="str">
        <f>IFERROR(VLOOKUP(E711,Specifications!$A$2:$D$9,4,FALSE),"")</f>
        <v/>
      </c>
      <c r="P711" s="8" t="str">
        <f t="shared" si="36"/>
        <v/>
      </c>
      <c r="Q711" s="9"/>
    </row>
    <row r="712" spans="1:17" ht="15">
      <c r="A712" s="5" t="str">
        <f t="shared" si="34"/>
        <v/>
      </c>
      <c r="B712" s="6"/>
      <c r="C712" s="5" t="str">
        <f>IFERROR(VLOOKUP(B712,Lists!$A$2:$B$25,2,FALSE),"")</f>
        <v/>
      </c>
      <c r="D712" s="7"/>
      <c r="E712" s="6"/>
      <c r="F712" s="6" t="str">
        <f t="shared" si="35"/>
        <v/>
      </c>
      <c r="G712" s="6"/>
      <c r="H712" s="6"/>
      <c r="I712" s="6"/>
      <c r="J712" s="7"/>
      <c r="K712" s="5" t="str" cm="1">
        <f t="array" ref="K712">IF(OR(A712="",B712="",D712="",E712=""),"",A712&amp;"_"&amp;SUBSTITUTE(B712," ","-")&amp;"_"&amp;D712&amp;"_"&amp;SUBSTITUTE(SUBSTITUTE(E712," ",""),"€","Euro")&amp;"_"&amp;IF(F712="","Unknown",F712)&amp;IF(F712="Commemorative",IF(G712="","","_"&amp;SUBSTITUTE(SUBSTITUTE(SUBSTITUTE(G712," ","-"),"/","-"),CHAR(39),"")),"")&amp;IF(I712="Duplicate","_Dub"&amp;IF(SUMPRODUCT(($B$2:B712=B712)*($D$2:D712=D712)*($E$2:E712=E712)*($F$2:F712=F712)*($G$2:G712=G712)*($I$2:I712="Duplicate"))&lt;=1,"",SUMPRODUCT(($B$2:B712=B712)*($D$2:D712=D712)*($E$2:E712=E712)*($F$2:F712=F712)*($G$2:G712=G712)*($I$2:I712="Duplicate"))-1),"")&amp;".jpeg")</f>
        <v/>
      </c>
      <c r="L712" s="6"/>
      <c r="M712" s="5" t="str">
        <f>IFERROR(VLOOKUP(E712,Specifications!$A$2:$D$9,2,FALSE),"")</f>
        <v/>
      </c>
      <c r="N712" s="5" t="str">
        <f>IFERROR(VLOOKUP(E712,Specifications!$A$2:$D$9,3,FALSE),"")</f>
        <v/>
      </c>
      <c r="O712" s="5" t="str">
        <f>IFERROR(VLOOKUP(E712,Specifications!$A$2:$D$9,4,FALSE),"")</f>
        <v/>
      </c>
      <c r="P712" s="8" t="str">
        <f t="shared" si="36"/>
        <v/>
      </c>
      <c r="Q712" s="9"/>
    </row>
    <row r="713" spans="1:17" ht="15">
      <c r="A713" s="5" t="str">
        <f t="shared" si="34"/>
        <v/>
      </c>
      <c r="B713" s="6"/>
      <c r="C713" s="5" t="str">
        <f>IFERROR(VLOOKUP(B713,Lists!$A$2:$B$25,2,FALSE),"")</f>
        <v/>
      </c>
      <c r="D713" s="7"/>
      <c r="E713" s="6"/>
      <c r="F713" s="6" t="str">
        <f t="shared" si="35"/>
        <v/>
      </c>
      <c r="G713" s="6"/>
      <c r="H713" s="6"/>
      <c r="I713" s="6"/>
      <c r="J713" s="7"/>
      <c r="K713" s="5" t="str" cm="1">
        <f t="array" ref="K713">IF(OR(A713="",B713="",D713="",E713=""),"",A713&amp;"_"&amp;SUBSTITUTE(B713," ","-")&amp;"_"&amp;D713&amp;"_"&amp;SUBSTITUTE(SUBSTITUTE(E713," ",""),"€","Euro")&amp;"_"&amp;IF(F713="","Unknown",F713)&amp;IF(F713="Commemorative",IF(G713="","","_"&amp;SUBSTITUTE(SUBSTITUTE(SUBSTITUTE(G713," ","-"),"/","-"),CHAR(39),"")),"")&amp;IF(I713="Duplicate","_Dub"&amp;IF(SUMPRODUCT(($B$2:B713=B713)*($D$2:D713=D713)*($E$2:E713=E713)*($F$2:F713=F713)*($G$2:G713=G713)*($I$2:I713="Duplicate"))&lt;=1,"",SUMPRODUCT(($B$2:B713=B713)*($D$2:D713=D713)*($E$2:E713=E713)*($F$2:F713=F713)*($G$2:G713=G713)*($I$2:I713="Duplicate"))-1),"")&amp;".jpeg")</f>
        <v/>
      </c>
      <c r="L713" s="6"/>
      <c r="M713" s="5" t="str">
        <f>IFERROR(VLOOKUP(E713,Specifications!$A$2:$D$9,2,FALSE),"")</f>
        <v/>
      </c>
      <c r="N713" s="5" t="str">
        <f>IFERROR(VLOOKUP(E713,Specifications!$A$2:$D$9,3,FALSE),"")</f>
        <v/>
      </c>
      <c r="O713" s="5" t="str">
        <f>IFERROR(VLOOKUP(E713,Specifications!$A$2:$D$9,4,FALSE),"")</f>
        <v/>
      </c>
      <c r="P713" s="8" t="str">
        <f t="shared" si="36"/>
        <v/>
      </c>
      <c r="Q713" s="9"/>
    </row>
    <row r="714" spans="1:17" ht="15">
      <c r="A714" s="5" t="str">
        <f t="shared" si="34"/>
        <v/>
      </c>
      <c r="B714" s="6"/>
      <c r="C714" s="5" t="str">
        <f>IFERROR(VLOOKUP(B714,Lists!$A$2:$B$25,2,FALSE),"")</f>
        <v/>
      </c>
      <c r="D714" s="7"/>
      <c r="E714" s="6"/>
      <c r="F714" s="6" t="str">
        <f t="shared" si="35"/>
        <v/>
      </c>
      <c r="G714" s="6"/>
      <c r="H714" s="6"/>
      <c r="I714" s="6"/>
      <c r="J714" s="7"/>
      <c r="K714" s="5" t="str" cm="1">
        <f t="array" ref="K714">IF(OR(A714="",B714="",D714="",E714=""),"",A714&amp;"_"&amp;SUBSTITUTE(B714," ","-")&amp;"_"&amp;D714&amp;"_"&amp;SUBSTITUTE(SUBSTITUTE(E714," ",""),"€","Euro")&amp;"_"&amp;IF(F714="","Unknown",F714)&amp;IF(F714="Commemorative",IF(G714="","","_"&amp;SUBSTITUTE(SUBSTITUTE(SUBSTITUTE(G714," ","-"),"/","-"),CHAR(39),"")),"")&amp;IF(I714="Duplicate","_Dub"&amp;IF(SUMPRODUCT(($B$2:B714=B714)*($D$2:D714=D714)*($E$2:E714=E714)*($F$2:F714=F714)*($G$2:G714=G714)*($I$2:I714="Duplicate"))&lt;=1,"",SUMPRODUCT(($B$2:B714=B714)*($D$2:D714=D714)*($E$2:E714=E714)*($F$2:F714=F714)*($G$2:G714=G714)*($I$2:I714="Duplicate"))-1),"")&amp;".jpeg")</f>
        <v/>
      </c>
      <c r="L714" s="6"/>
      <c r="M714" s="5" t="str">
        <f>IFERROR(VLOOKUP(E714,Specifications!$A$2:$D$9,2,FALSE),"")</f>
        <v/>
      </c>
      <c r="N714" s="5" t="str">
        <f>IFERROR(VLOOKUP(E714,Specifications!$A$2:$D$9,3,FALSE),"")</f>
        <v/>
      </c>
      <c r="O714" s="5" t="str">
        <f>IFERROR(VLOOKUP(E714,Specifications!$A$2:$D$9,4,FALSE),"")</f>
        <v/>
      </c>
      <c r="P714" s="8" t="str">
        <f t="shared" si="36"/>
        <v/>
      </c>
      <c r="Q714" s="9"/>
    </row>
    <row r="715" spans="1:17" ht="15">
      <c r="A715" s="5" t="str">
        <f t="shared" si="34"/>
        <v/>
      </c>
      <c r="B715" s="6"/>
      <c r="C715" s="5" t="str">
        <f>IFERROR(VLOOKUP(B715,Lists!$A$2:$B$25,2,FALSE),"")</f>
        <v/>
      </c>
      <c r="D715" s="7"/>
      <c r="E715" s="6"/>
      <c r="F715" s="6" t="str">
        <f t="shared" si="35"/>
        <v/>
      </c>
      <c r="G715" s="6"/>
      <c r="H715" s="6"/>
      <c r="I715" s="6"/>
      <c r="J715" s="7"/>
      <c r="K715" s="5" t="str" cm="1">
        <f t="array" ref="K715">IF(OR(A715="",B715="",D715="",E715=""),"",A715&amp;"_"&amp;SUBSTITUTE(B715," ","-")&amp;"_"&amp;D715&amp;"_"&amp;SUBSTITUTE(SUBSTITUTE(E715," ",""),"€","Euro")&amp;"_"&amp;IF(F715="","Unknown",F715)&amp;IF(F715="Commemorative",IF(G715="","","_"&amp;SUBSTITUTE(SUBSTITUTE(SUBSTITUTE(G715," ","-"),"/","-"),CHAR(39),"")),"")&amp;IF(I715="Duplicate","_Dub"&amp;IF(SUMPRODUCT(($B$2:B715=B715)*($D$2:D715=D715)*($E$2:E715=E715)*($F$2:F715=F715)*($G$2:G715=G715)*($I$2:I715="Duplicate"))&lt;=1,"",SUMPRODUCT(($B$2:B715=B715)*($D$2:D715=D715)*($E$2:E715=E715)*($F$2:F715=F715)*($G$2:G715=G715)*($I$2:I715="Duplicate"))-1),"")&amp;".jpeg")</f>
        <v/>
      </c>
      <c r="L715" s="6"/>
      <c r="M715" s="5" t="str">
        <f>IFERROR(VLOOKUP(E715,Specifications!$A$2:$D$9,2,FALSE),"")</f>
        <v/>
      </c>
      <c r="N715" s="5" t="str">
        <f>IFERROR(VLOOKUP(E715,Specifications!$A$2:$D$9,3,FALSE),"")</f>
        <v/>
      </c>
      <c r="O715" s="5" t="str">
        <f>IFERROR(VLOOKUP(E715,Specifications!$A$2:$D$9,4,FALSE),"")</f>
        <v/>
      </c>
      <c r="P715" s="8" t="str">
        <f t="shared" si="36"/>
        <v/>
      </c>
      <c r="Q715" s="9"/>
    </row>
    <row r="716" spans="1:17" ht="15">
      <c r="A716" s="5" t="str">
        <f t="shared" si="34"/>
        <v/>
      </c>
      <c r="B716" s="6"/>
      <c r="C716" s="5" t="str">
        <f>IFERROR(VLOOKUP(B716,Lists!$A$2:$B$25,2,FALSE),"")</f>
        <v/>
      </c>
      <c r="D716" s="7"/>
      <c r="E716" s="6"/>
      <c r="F716" s="6" t="str">
        <f t="shared" si="35"/>
        <v/>
      </c>
      <c r="G716" s="6"/>
      <c r="H716" s="6"/>
      <c r="I716" s="6"/>
      <c r="J716" s="7"/>
      <c r="K716" s="5" t="str" cm="1">
        <f t="array" ref="K716">IF(OR(A716="",B716="",D716="",E716=""),"",A716&amp;"_"&amp;SUBSTITUTE(B716," ","-")&amp;"_"&amp;D716&amp;"_"&amp;SUBSTITUTE(SUBSTITUTE(E716," ",""),"€","Euro")&amp;"_"&amp;IF(F716="","Unknown",F716)&amp;IF(F716="Commemorative",IF(G716="","","_"&amp;SUBSTITUTE(SUBSTITUTE(SUBSTITUTE(G716," ","-"),"/","-"),CHAR(39),"")),"")&amp;IF(I716="Duplicate","_Dub"&amp;IF(SUMPRODUCT(($B$2:B716=B716)*($D$2:D716=D716)*($E$2:E716=E716)*($F$2:F716=F716)*($G$2:G716=G716)*($I$2:I716="Duplicate"))&lt;=1,"",SUMPRODUCT(($B$2:B716=B716)*($D$2:D716=D716)*($E$2:E716=E716)*($F$2:F716=F716)*($G$2:G716=G716)*($I$2:I716="Duplicate"))-1),"")&amp;".jpeg")</f>
        <v/>
      </c>
      <c r="L716" s="6"/>
      <c r="M716" s="5" t="str">
        <f>IFERROR(VLOOKUP(E716,Specifications!$A$2:$D$9,2,FALSE),"")</f>
        <v/>
      </c>
      <c r="N716" s="5" t="str">
        <f>IFERROR(VLOOKUP(E716,Specifications!$A$2:$D$9,3,FALSE),"")</f>
        <v/>
      </c>
      <c r="O716" s="5" t="str">
        <f>IFERROR(VLOOKUP(E716,Specifications!$A$2:$D$9,4,FALSE),"")</f>
        <v/>
      </c>
      <c r="P716" s="8" t="str">
        <f t="shared" si="36"/>
        <v/>
      </c>
      <c r="Q716" s="9"/>
    </row>
    <row r="717" spans="1:17" ht="15">
      <c r="A717" s="5" t="str">
        <f t="shared" si="34"/>
        <v/>
      </c>
      <c r="B717" s="6"/>
      <c r="C717" s="5" t="str">
        <f>IFERROR(VLOOKUP(B717,Lists!$A$2:$B$25,2,FALSE),"")</f>
        <v/>
      </c>
      <c r="D717" s="7"/>
      <c r="E717" s="6"/>
      <c r="F717" s="6" t="str">
        <f t="shared" si="35"/>
        <v/>
      </c>
      <c r="G717" s="6"/>
      <c r="H717" s="6"/>
      <c r="I717" s="6"/>
      <c r="J717" s="7"/>
      <c r="K717" s="5" t="str" cm="1">
        <f t="array" ref="K717">IF(OR(A717="",B717="",D717="",E717=""),"",A717&amp;"_"&amp;SUBSTITUTE(B717," ","-")&amp;"_"&amp;D717&amp;"_"&amp;SUBSTITUTE(SUBSTITUTE(E717," ",""),"€","Euro")&amp;"_"&amp;IF(F717="","Unknown",F717)&amp;IF(F717="Commemorative",IF(G717="","","_"&amp;SUBSTITUTE(SUBSTITUTE(SUBSTITUTE(G717," ","-"),"/","-"),CHAR(39),"")),"")&amp;IF(I717="Duplicate","_Dub"&amp;IF(SUMPRODUCT(($B$2:B717=B717)*($D$2:D717=D717)*($E$2:E717=E717)*($F$2:F717=F717)*($G$2:G717=G717)*($I$2:I717="Duplicate"))&lt;=1,"",SUMPRODUCT(($B$2:B717=B717)*($D$2:D717=D717)*($E$2:E717=E717)*($F$2:F717=F717)*($G$2:G717=G717)*($I$2:I717="Duplicate"))-1),"")&amp;".jpeg")</f>
        <v/>
      </c>
      <c r="L717" s="6"/>
      <c r="M717" s="5" t="str">
        <f>IFERROR(VLOOKUP(E717,Specifications!$A$2:$D$9,2,FALSE),"")</f>
        <v/>
      </c>
      <c r="N717" s="5" t="str">
        <f>IFERROR(VLOOKUP(E717,Specifications!$A$2:$D$9,3,FALSE),"")</f>
        <v/>
      </c>
      <c r="O717" s="5" t="str">
        <f>IFERROR(VLOOKUP(E717,Specifications!$A$2:$D$9,4,FALSE),"")</f>
        <v/>
      </c>
      <c r="P717" s="8" t="str">
        <f t="shared" si="36"/>
        <v/>
      </c>
      <c r="Q717" s="9"/>
    </row>
    <row r="718" spans="1:17" ht="15">
      <c r="A718" s="5" t="str">
        <f t="shared" si="34"/>
        <v/>
      </c>
      <c r="B718" s="6"/>
      <c r="C718" s="5" t="str">
        <f>IFERROR(VLOOKUP(B718,Lists!$A$2:$B$25,2,FALSE),"")</f>
        <v/>
      </c>
      <c r="D718" s="7"/>
      <c r="E718" s="6"/>
      <c r="F718" s="6" t="str">
        <f t="shared" si="35"/>
        <v/>
      </c>
      <c r="G718" s="6"/>
      <c r="H718" s="6"/>
      <c r="I718" s="6"/>
      <c r="J718" s="7"/>
      <c r="K718" s="5" t="str" cm="1">
        <f t="array" ref="K718">IF(OR(A718="",B718="",D718="",E718=""),"",A718&amp;"_"&amp;SUBSTITUTE(B718," ","-")&amp;"_"&amp;D718&amp;"_"&amp;SUBSTITUTE(SUBSTITUTE(E718," ",""),"€","Euro")&amp;"_"&amp;IF(F718="","Unknown",F718)&amp;IF(F718="Commemorative",IF(G718="","","_"&amp;SUBSTITUTE(SUBSTITUTE(SUBSTITUTE(G718," ","-"),"/","-"),CHAR(39),"")),"")&amp;IF(I718="Duplicate","_Dub"&amp;IF(SUMPRODUCT(($B$2:B718=B718)*($D$2:D718=D718)*($E$2:E718=E718)*($F$2:F718=F718)*($G$2:G718=G718)*($I$2:I718="Duplicate"))&lt;=1,"",SUMPRODUCT(($B$2:B718=B718)*($D$2:D718=D718)*($E$2:E718=E718)*($F$2:F718=F718)*($G$2:G718=G718)*($I$2:I718="Duplicate"))-1),"")&amp;".jpeg")</f>
        <v/>
      </c>
      <c r="L718" s="6"/>
      <c r="M718" s="5" t="str">
        <f>IFERROR(VLOOKUP(E718,Specifications!$A$2:$D$9,2,FALSE),"")</f>
        <v/>
      </c>
      <c r="N718" s="5" t="str">
        <f>IFERROR(VLOOKUP(E718,Specifications!$A$2:$D$9,3,FALSE),"")</f>
        <v/>
      </c>
      <c r="O718" s="5" t="str">
        <f>IFERROR(VLOOKUP(E718,Specifications!$A$2:$D$9,4,FALSE),"")</f>
        <v/>
      </c>
      <c r="P718" s="8" t="str">
        <f t="shared" si="36"/>
        <v/>
      </c>
      <c r="Q718" s="9"/>
    </row>
    <row r="719" spans="1:17" ht="15">
      <c r="A719" s="5" t="str">
        <f t="shared" si="34"/>
        <v/>
      </c>
      <c r="B719" s="6"/>
      <c r="C719" s="5" t="str">
        <f>IFERROR(VLOOKUP(B719,Lists!$A$2:$B$25,2,FALSE),"")</f>
        <v/>
      </c>
      <c r="D719" s="7"/>
      <c r="E719" s="6"/>
      <c r="F719" s="6" t="str">
        <f t="shared" si="35"/>
        <v/>
      </c>
      <c r="G719" s="6"/>
      <c r="H719" s="6"/>
      <c r="I719" s="6"/>
      <c r="J719" s="7"/>
      <c r="K719" s="5" t="str" cm="1">
        <f t="array" ref="K719">IF(OR(A719="",B719="",D719="",E719=""),"",A719&amp;"_"&amp;SUBSTITUTE(B719," ","-")&amp;"_"&amp;D719&amp;"_"&amp;SUBSTITUTE(SUBSTITUTE(E719," ",""),"€","Euro")&amp;"_"&amp;IF(F719="","Unknown",F719)&amp;IF(F719="Commemorative",IF(G719="","","_"&amp;SUBSTITUTE(SUBSTITUTE(SUBSTITUTE(G719," ","-"),"/","-"),CHAR(39),"")),"")&amp;IF(I719="Duplicate","_Dub"&amp;IF(SUMPRODUCT(($B$2:B719=B719)*($D$2:D719=D719)*($E$2:E719=E719)*($F$2:F719=F719)*($G$2:G719=G719)*($I$2:I719="Duplicate"))&lt;=1,"",SUMPRODUCT(($B$2:B719=B719)*($D$2:D719=D719)*($E$2:E719=E719)*($F$2:F719=F719)*($G$2:G719=G719)*($I$2:I719="Duplicate"))-1),"")&amp;".jpeg")</f>
        <v/>
      </c>
      <c r="L719" s="6"/>
      <c r="M719" s="5" t="str">
        <f>IFERROR(VLOOKUP(E719,Specifications!$A$2:$D$9,2,FALSE),"")</f>
        <v/>
      </c>
      <c r="N719" s="5" t="str">
        <f>IFERROR(VLOOKUP(E719,Specifications!$A$2:$D$9,3,FALSE),"")</f>
        <v/>
      </c>
      <c r="O719" s="5" t="str">
        <f>IFERROR(VLOOKUP(E719,Specifications!$A$2:$D$9,4,FALSE),"")</f>
        <v/>
      </c>
      <c r="P719" s="8" t="str">
        <f t="shared" si="36"/>
        <v/>
      </c>
      <c r="Q719" s="9"/>
    </row>
    <row r="720" spans="1:17" ht="15">
      <c r="A720" s="5" t="str">
        <f t="shared" si="34"/>
        <v/>
      </c>
      <c r="B720" s="6"/>
      <c r="C720" s="5" t="str">
        <f>IFERROR(VLOOKUP(B720,Lists!$A$2:$B$25,2,FALSE),"")</f>
        <v/>
      </c>
      <c r="D720" s="7"/>
      <c r="E720" s="6"/>
      <c r="F720" s="6" t="str">
        <f t="shared" si="35"/>
        <v/>
      </c>
      <c r="G720" s="6"/>
      <c r="H720" s="6"/>
      <c r="I720" s="6"/>
      <c r="J720" s="7"/>
      <c r="K720" s="5" t="str" cm="1">
        <f t="array" ref="K720">IF(OR(A720="",B720="",D720="",E720=""),"",A720&amp;"_"&amp;SUBSTITUTE(B720," ","-")&amp;"_"&amp;D720&amp;"_"&amp;SUBSTITUTE(SUBSTITUTE(E720," ",""),"€","Euro")&amp;"_"&amp;IF(F720="","Unknown",F720)&amp;IF(F720="Commemorative",IF(G720="","","_"&amp;SUBSTITUTE(SUBSTITUTE(SUBSTITUTE(G720," ","-"),"/","-"),CHAR(39),"")),"")&amp;IF(I720="Duplicate","_Dub"&amp;IF(SUMPRODUCT(($B$2:B720=B720)*($D$2:D720=D720)*($E$2:E720=E720)*($F$2:F720=F720)*($G$2:G720=G720)*($I$2:I720="Duplicate"))&lt;=1,"",SUMPRODUCT(($B$2:B720=B720)*($D$2:D720=D720)*($E$2:E720=E720)*($F$2:F720=F720)*($G$2:G720=G720)*($I$2:I720="Duplicate"))-1),"")&amp;".jpeg")</f>
        <v/>
      </c>
      <c r="L720" s="6"/>
      <c r="M720" s="5" t="str">
        <f>IFERROR(VLOOKUP(E720,Specifications!$A$2:$D$9,2,FALSE),"")</f>
        <v/>
      </c>
      <c r="N720" s="5" t="str">
        <f>IFERROR(VLOOKUP(E720,Specifications!$A$2:$D$9,3,FALSE),"")</f>
        <v/>
      </c>
      <c r="O720" s="5" t="str">
        <f>IFERROR(VLOOKUP(E720,Specifications!$A$2:$D$9,4,FALSE),"")</f>
        <v/>
      </c>
      <c r="P720" s="8" t="str">
        <f t="shared" si="36"/>
        <v/>
      </c>
      <c r="Q720" s="9"/>
    </row>
    <row r="721" spans="1:17" ht="15">
      <c r="A721" s="5" t="str">
        <f t="shared" si="34"/>
        <v/>
      </c>
      <c r="B721" s="6"/>
      <c r="C721" s="5" t="str">
        <f>IFERROR(VLOOKUP(B721,Lists!$A$2:$B$25,2,FALSE),"")</f>
        <v/>
      </c>
      <c r="D721" s="7"/>
      <c r="E721" s="6"/>
      <c r="F721" s="6" t="str">
        <f t="shared" si="35"/>
        <v/>
      </c>
      <c r="G721" s="6"/>
      <c r="H721" s="6"/>
      <c r="I721" s="6"/>
      <c r="J721" s="7"/>
      <c r="K721" s="5" t="str" cm="1">
        <f t="array" ref="K721">IF(OR(A721="",B721="",D721="",E721=""),"",A721&amp;"_"&amp;SUBSTITUTE(B721," ","-")&amp;"_"&amp;D721&amp;"_"&amp;SUBSTITUTE(SUBSTITUTE(E721," ",""),"€","Euro")&amp;"_"&amp;IF(F721="","Unknown",F721)&amp;IF(F721="Commemorative",IF(G721="","","_"&amp;SUBSTITUTE(SUBSTITUTE(SUBSTITUTE(G721," ","-"),"/","-"),CHAR(39),"")),"")&amp;IF(I721="Duplicate","_Dub"&amp;IF(SUMPRODUCT(($B$2:B721=B721)*($D$2:D721=D721)*($E$2:E721=E721)*($F$2:F721=F721)*($G$2:G721=G721)*($I$2:I721="Duplicate"))&lt;=1,"",SUMPRODUCT(($B$2:B721=B721)*($D$2:D721=D721)*($E$2:E721=E721)*($F$2:F721=F721)*($G$2:G721=G721)*($I$2:I721="Duplicate"))-1),"")&amp;".jpeg")</f>
        <v/>
      </c>
      <c r="L721" s="6"/>
      <c r="M721" s="5" t="str">
        <f>IFERROR(VLOOKUP(E721,Specifications!$A$2:$D$9,2,FALSE),"")</f>
        <v/>
      </c>
      <c r="N721" s="5" t="str">
        <f>IFERROR(VLOOKUP(E721,Specifications!$A$2:$D$9,3,FALSE),"")</f>
        <v/>
      </c>
      <c r="O721" s="5" t="str">
        <f>IFERROR(VLOOKUP(E721,Specifications!$A$2:$D$9,4,FALSE),"")</f>
        <v/>
      </c>
      <c r="P721" s="8" t="str">
        <f t="shared" si="36"/>
        <v/>
      </c>
      <c r="Q721" s="9"/>
    </row>
    <row r="722" spans="1:17" ht="15">
      <c r="A722" s="5" t="str">
        <f t="shared" si="34"/>
        <v/>
      </c>
      <c r="B722" s="6"/>
      <c r="C722" s="5" t="str">
        <f>IFERROR(VLOOKUP(B722,Lists!$A$2:$B$25,2,FALSE),"")</f>
        <v/>
      </c>
      <c r="D722" s="7"/>
      <c r="E722" s="6"/>
      <c r="F722" s="6" t="str">
        <f t="shared" si="35"/>
        <v/>
      </c>
      <c r="G722" s="6"/>
      <c r="H722" s="6"/>
      <c r="I722" s="6"/>
      <c r="J722" s="7"/>
      <c r="K722" s="5" t="str" cm="1">
        <f t="array" ref="K722">IF(OR(A722="",B722="",D722="",E722=""),"",A722&amp;"_"&amp;SUBSTITUTE(B722," ","-")&amp;"_"&amp;D722&amp;"_"&amp;SUBSTITUTE(SUBSTITUTE(E722," ",""),"€","Euro")&amp;"_"&amp;IF(F722="","Unknown",F722)&amp;IF(F722="Commemorative",IF(G722="","","_"&amp;SUBSTITUTE(SUBSTITUTE(SUBSTITUTE(G722," ","-"),"/","-"),CHAR(39),"")),"")&amp;IF(I722="Duplicate","_Dub"&amp;IF(SUMPRODUCT(($B$2:B722=B722)*($D$2:D722=D722)*($E$2:E722=E722)*($F$2:F722=F722)*($G$2:G722=G722)*($I$2:I722="Duplicate"))&lt;=1,"",SUMPRODUCT(($B$2:B722=B722)*($D$2:D722=D722)*($E$2:E722=E722)*($F$2:F722=F722)*($G$2:G722=G722)*($I$2:I722="Duplicate"))-1),"")&amp;".jpeg")</f>
        <v/>
      </c>
      <c r="L722" s="6"/>
      <c r="M722" s="5" t="str">
        <f>IFERROR(VLOOKUP(E722,Specifications!$A$2:$D$9,2,FALSE),"")</f>
        <v/>
      </c>
      <c r="N722" s="5" t="str">
        <f>IFERROR(VLOOKUP(E722,Specifications!$A$2:$D$9,3,FALSE),"")</f>
        <v/>
      </c>
      <c r="O722" s="5" t="str">
        <f>IFERROR(VLOOKUP(E722,Specifications!$A$2:$D$9,4,FALSE),"")</f>
        <v/>
      </c>
      <c r="P722" s="8" t="str">
        <f t="shared" si="36"/>
        <v/>
      </c>
      <c r="Q722" s="9"/>
    </row>
    <row r="723" spans="1:17" ht="15">
      <c r="A723" s="5" t="str">
        <f t="shared" si="34"/>
        <v/>
      </c>
      <c r="B723" s="6"/>
      <c r="C723" s="5" t="str">
        <f>IFERROR(VLOOKUP(B723,Lists!$A$2:$B$25,2,FALSE),"")</f>
        <v/>
      </c>
      <c r="D723" s="7"/>
      <c r="E723" s="6"/>
      <c r="F723" s="6" t="str">
        <f t="shared" si="35"/>
        <v/>
      </c>
      <c r="G723" s="6"/>
      <c r="H723" s="6"/>
      <c r="I723" s="6"/>
      <c r="J723" s="7"/>
      <c r="K723" s="5" t="str" cm="1">
        <f t="array" ref="K723">IF(OR(A723="",B723="",D723="",E723=""),"",A723&amp;"_"&amp;SUBSTITUTE(B723," ","-")&amp;"_"&amp;D723&amp;"_"&amp;SUBSTITUTE(SUBSTITUTE(E723," ",""),"€","Euro")&amp;"_"&amp;IF(F723="","Unknown",F723)&amp;IF(F723="Commemorative",IF(G723="","","_"&amp;SUBSTITUTE(SUBSTITUTE(SUBSTITUTE(G723," ","-"),"/","-"),CHAR(39),"")),"")&amp;IF(I723="Duplicate","_Dub"&amp;IF(SUMPRODUCT(($B$2:B723=B723)*($D$2:D723=D723)*($E$2:E723=E723)*($F$2:F723=F723)*($G$2:G723=G723)*($I$2:I723="Duplicate"))&lt;=1,"",SUMPRODUCT(($B$2:B723=B723)*($D$2:D723=D723)*($E$2:E723=E723)*($F$2:F723=F723)*($G$2:G723=G723)*($I$2:I723="Duplicate"))-1),"")&amp;".jpeg")</f>
        <v/>
      </c>
      <c r="L723" s="6"/>
      <c r="M723" s="5" t="str">
        <f>IFERROR(VLOOKUP(E723,Specifications!$A$2:$D$9,2,FALSE),"")</f>
        <v/>
      </c>
      <c r="N723" s="5" t="str">
        <f>IFERROR(VLOOKUP(E723,Specifications!$A$2:$D$9,3,FALSE),"")</f>
        <v/>
      </c>
      <c r="O723" s="5" t="str">
        <f>IFERROR(VLOOKUP(E723,Specifications!$A$2:$D$9,4,FALSE),"")</f>
        <v/>
      </c>
      <c r="P723" s="8" t="str">
        <f t="shared" si="36"/>
        <v/>
      </c>
      <c r="Q723" s="9"/>
    </row>
    <row r="724" spans="1:17" ht="15">
      <c r="A724" s="5" t="str">
        <f t="shared" si="34"/>
        <v/>
      </c>
      <c r="B724" s="6"/>
      <c r="C724" s="5" t="str">
        <f>IFERROR(VLOOKUP(B724,Lists!$A$2:$B$25,2,FALSE),"")</f>
        <v/>
      </c>
      <c r="D724" s="7"/>
      <c r="E724" s="6"/>
      <c r="F724" s="6" t="str">
        <f t="shared" si="35"/>
        <v/>
      </c>
      <c r="G724" s="6"/>
      <c r="H724" s="6"/>
      <c r="I724" s="6"/>
      <c r="J724" s="7"/>
      <c r="K724" s="5" t="str" cm="1">
        <f t="array" ref="K724">IF(OR(A724="",B724="",D724="",E724=""),"",A724&amp;"_"&amp;SUBSTITUTE(B724," ","-")&amp;"_"&amp;D724&amp;"_"&amp;SUBSTITUTE(SUBSTITUTE(E724," ",""),"€","Euro")&amp;"_"&amp;IF(F724="","Unknown",F724)&amp;IF(F724="Commemorative",IF(G724="","","_"&amp;SUBSTITUTE(SUBSTITUTE(SUBSTITUTE(G724," ","-"),"/","-"),CHAR(39),"")),"")&amp;IF(I724="Duplicate","_Dub"&amp;IF(SUMPRODUCT(($B$2:B724=B724)*($D$2:D724=D724)*($E$2:E724=E724)*($F$2:F724=F724)*($G$2:G724=G724)*($I$2:I724="Duplicate"))&lt;=1,"",SUMPRODUCT(($B$2:B724=B724)*($D$2:D724=D724)*($E$2:E724=E724)*($F$2:F724=F724)*($G$2:G724=G724)*($I$2:I724="Duplicate"))-1),"")&amp;".jpeg")</f>
        <v/>
      </c>
      <c r="L724" s="6"/>
      <c r="M724" s="5" t="str">
        <f>IFERROR(VLOOKUP(E724,Specifications!$A$2:$D$9,2,FALSE),"")</f>
        <v/>
      </c>
      <c r="N724" s="5" t="str">
        <f>IFERROR(VLOOKUP(E724,Specifications!$A$2:$D$9,3,FALSE),"")</f>
        <v/>
      </c>
      <c r="O724" s="5" t="str">
        <f>IFERROR(VLOOKUP(E724,Specifications!$A$2:$D$9,4,FALSE),"")</f>
        <v/>
      </c>
      <c r="P724" s="8" t="str">
        <f t="shared" si="36"/>
        <v/>
      </c>
      <c r="Q724" s="9"/>
    </row>
    <row r="725" spans="1:17" ht="15">
      <c r="A725" s="5" t="str">
        <f t="shared" si="34"/>
        <v/>
      </c>
      <c r="B725" s="6"/>
      <c r="C725" s="5" t="str">
        <f>IFERROR(VLOOKUP(B725,Lists!$A$2:$B$25,2,FALSE),"")</f>
        <v/>
      </c>
      <c r="D725" s="7"/>
      <c r="E725" s="6"/>
      <c r="F725" s="6" t="str">
        <f t="shared" si="35"/>
        <v/>
      </c>
      <c r="G725" s="6"/>
      <c r="H725" s="6"/>
      <c r="I725" s="6"/>
      <c r="J725" s="7"/>
      <c r="K725" s="5" t="str" cm="1">
        <f t="array" ref="K725">IF(OR(A725="",B725="",D725="",E725=""),"",A725&amp;"_"&amp;SUBSTITUTE(B725," ","-")&amp;"_"&amp;D725&amp;"_"&amp;SUBSTITUTE(SUBSTITUTE(E725," ",""),"€","Euro")&amp;"_"&amp;IF(F725="","Unknown",F725)&amp;IF(F725="Commemorative",IF(G725="","","_"&amp;SUBSTITUTE(SUBSTITUTE(SUBSTITUTE(G725," ","-"),"/","-"),CHAR(39),"")),"")&amp;IF(I725="Duplicate","_Dub"&amp;IF(SUMPRODUCT(($B$2:B725=B725)*($D$2:D725=D725)*($E$2:E725=E725)*($F$2:F725=F725)*($G$2:G725=G725)*($I$2:I725="Duplicate"))&lt;=1,"",SUMPRODUCT(($B$2:B725=B725)*($D$2:D725=D725)*($E$2:E725=E725)*($F$2:F725=F725)*($G$2:G725=G725)*($I$2:I725="Duplicate"))-1),"")&amp;".jpeg")</f>
        <v/>
      </c>
      <c r="L725" s="6"/>
      <c r="M725" s="5" t="str">
        <f>IFERROR(VLOOKUP(E725,Specifications!$A$2:$D$9,2,FALSE),"")</f>
        <v/>
      </c>
      <c r="N725" s="5" t="str">
        <f>IFERROR(VLOOKUP(E725,Specifications!$A$2:$D$9,3,FALSE),"")</f>
        <v/>
      </c>
      <c r="O725" s="5" t="str">
        <f>IFERROR(VLOOKUP(E725,Specifications!$A$2:$D$9,4,FALSE),"")</f>
        <v/>
      </c>
      <c r="P725" s="8" t="str">
        <f t="shared" si="36"/>
        <v/>
      </c>
      <c r="Q725" s="9"/>
    </row>
    <row r="726" spans="1:17" ht="15">
      <c r="A726" s="5" t="str">
        <f t="shared" si="34"/>
        <v/>
      </c>
      <c r="B726" s="6"/>
      <c r="C726" s="5" t="str">
        <f>IFERROR(VLOOKUP(B726,Lists!$A$2:$B$25,2,FALSE),"")</f>
        <v/>
      </c>
      <c r="D726" s="7"/>
      <c r="E726" s="6"/>
      <c r="F726" s="6" t="str">
        <f t="shared" si="35"/>
        <v/>
      </c>
      <c r="G726" s="6"/>
      <c r="H726" s="6"/>
      <c r="I726" s="6"/>
      <c r="J726" s="7"/>
      <c r="K726" s="5" t="str" cm="1">
        <f t="array" ref="K726">IF(OR(A726="",B726="",D726="",E726=""),"",A726&amp;"_"&amp;SUBSTITUTE(B726," ","-")&amp;"_"&amp;D726&amp;"_"&amp;SUBSTITUTE(SUBSTITUTE(E726," ",""),"€","Euro")&amp;"_"&amp;IF(F726="","Unknown",F726)&amp;IF(F726="Commemorative",IF(G726="","","_"&amp;SUBSTITUTE(SUBSTITUTE(SUBSTITUTE(G726," ","-"),"/","-"),CHAR(39),"")),"")&amp;IF(I726="Duplicate","_Dub"&amp;IF(SUMPRODUCT(($B$2:B726=B726)*($D$2:D726=D726)*($E$2:E726=E726)*($F$2:F726=F726)*($G$2:G726=G726)*($I$2:I726="Duplicate"))&lt;=1,"",SUMPRODUCT(($B$2:B726=B726)*($D$2:D726=D726)*($E$2:E726=E726)*($F$2:F726=F726)*($G$2:G726=G726)*($I$2:I726="Duplicate"))-1),"")&amp;".jpeg")</f>
        <v/>
      </c>
      <c r="L726" s="6"/>
      <c r="M726" s="5" t="str">
        <f>IFERROR(VLOOKUP(E726,Specifications!$A$2:$D$9,2,FALSE),"")</f>
        <v/>
      </c>
      <c r="N726" s="5" t="str">
        <f>IFERROR(VLOOKUP(E726,Specifications!$A$2:$D$9,3,FALSE),"")</f>
        <v/>
      </c>
      <c r="O726" s="5" t="str">
        <f>IFERROR(VLOOKUP(E726,Specifications!$A$2:$D$9,4,FALSE),"")</f>
        <v/>
      </c>
      <c r="P726" s="8" t="str">
        <f t="shared" si="36"/>
        <v/>
      </c>
      <c r="Q726" s="9"/>
    </row>
    <row r="727" spans="1:17" ht="15">
      <c r="A727" s="5" t="str">
        <f t="shared" si="34"/>
        <v/>
      </c>
      <c r="B727" s="6"/>
      <c r="C727" s="5" t="str">
        <f>IFERROR(VLOOKUP(B727,Lists!$A$2:$B$25,2,FALSE),"")</f>
        <v/>
      </c>
      <c r="D727" s="7"/>
      <c r="E727" s="6"/>
      <c r="F727" s="6" t="str">
        <f t="shared" si="35"/>
        <v/>
      </c>
      <c r="G727" s="6"/>
      <c r="H727" s="6"/>
      <c r="I727" s="6"/>
      <c r="J727" s="7"/>
      <c r="K727" s="5" t="str" cm="1">
        <f t="array" ref="K727">IF(OR(A727="",B727="",D727="",E727=""),"",A727&amp;"_"&amp;SUBSTITUTE(B727," ","-")&amp;"_"&amp;D727&amp;"_"&amp;SUBSTITUTE(SUBSTITUTE(E727," ",""),"€","Euro")&amp;"_"&amp;IF(F727="","Unknown",F727)&amp;IF(F727="Commemorative",IF(G727="","","_"&amp;SUBSTITUTE(SUBSTITUTE(SUBSTITUTE(G727," ","-"),"/","-"),CHAR(39),"")),"")&amp;IF(I727="Duplicate","_Dub"&amp;IF(SUMPRODUCT(($B$2:B727=B727)*($D$2:D727=D727)*($E$2:E727=E727)*($F$2:F727=F727)*($G$2:G727=G727)*($I$2:I727="Duplicate"))&lt;=1,"",SUMPRODUCT(($B$2:B727=B727)*($D$2:D727=D727)*($E$2:E727=E727)*($F$2:F727=F727)*($G$2:G727=G727)*($I$2:I727="Duplicate"))-1),"")&amp;".jpeg")</f>
        <v/>
      </c>
      <c r="L727" s="6"/>
      <c r="M727" s="5" t="str">
        <f>IFERROR(VLOOKUP(E727,Specifications!$A$2:$D$9,2,FALSE),"")</f>
        <v/>
      </c>
      <c r="N727" s="5" t="str">
        <f>IFERROR(VLOOKUP(E727,Specifications!$A$2:$D$9,3,FALSE),"")</f>
        <v/>
      </c>
      <c r="O727" s="5" t="str">
        <f>IFERROR(VLOOKUP(E727,Specifications!$A$2:$D$9,4,FALSE),"")</f>
        <v/>
      </c>
      <c r="P727" s="8" t="str">
        <f t="shared" si="36"/>
        <v/>
      </c>
      <c r="Q727" s="9"/>
    </row>
    <row r="728" spans="1:17" ht="15">
      <c r="A728" s="5" t="str">
        <f t="shared" si="34"/>
        <v/>
      </c>
      <c r="B728" s="6"/>
      <c r="C728" s="5" t="str">
        <f>IFERROR(VLOOKUP(B728,Lists!$A$2:$B$25,2,FALSE),"")</f>
        <v/>
      </c>
      <c r="D728" s="7"/>
      <c r="E728" s="6"/>
      <c r="F728" s="6" t="str">
        <f t="shared" si="35"/>
        <v/>
      </c>
      <c r="G728" s="6"/>
      <c r="H728" s="6"/>
      <c r="I728" s="6"/>
      <c r="J728" s="7"/>
      <c r="K728" s="5" t="str" cm="1">
        <f t="array" ref="K728">IF(OR(A728="",B728="",D728="",E728=""),"",A728&amp;"_"&amp;SUBSTITUTE(B728," ","-")&amp;"_"&amp;D728&amp;"_"&amp;SUBSTITUTE(SUBSTITUTE(E728," ",""),"€","Euro")&amp;"_"&amp;IF(F728="","Unknown",F728)&amp;IF(F728="Commemorative",IF(G728="","","_"&amp;SUBSTITUTE(SUBSTITUTE(SUBSTITUTE(G728," ","-"),"/","-"),CHAR(39),"")),"")&amp;IF(I728="Duplicate","_Dub"&amp;IF(SUMPRODUCT(($B$2:B728=B728)*($D$2:D728=D728)*($E$2:E728=E728)*($F$2:F728=F728)*($G$2:G728=G728)*($I$2:I728="Duplicate"))&lt;=1,"",SUMPRODUCT(($B$2:B728=B728)*($D$2:D728=D728)*($E$2:E728=E728)*($F$2:F728=F728)*($G$2:G728=G728)*($I$2:I728="Duplicate"))-1),"")&amp;".jpeg")</f>
        <v/>
      </c>
      <c r="L728" s="6"/>
      <c r="M728" s="5" t="str">
        <f>IFERROR(VLOOKUP(E728,Specifications!$A$2:$D$9,2,FALSE),"")</f>
        <v/>
      </c>
      <c r="N728" s="5" t="str">
        <f>IFERROR(VLOOKUP(E728,Specifications!$A$2:$D$9,3,FALSE),"")</f>
        <v/>
      </c>
      <c r="O728" s="5" t="str">
        <f>IFERROR(VLOOKUP(E728,Specifications!$A$2:$D$9,4,FALSE),"")</f>
        <v/>
      </c>
      <c r="P728" s="8" t="str">
        <f t="shared" si="36"/>
        <v/>
      </c>
      <c r="Q728" s="9"/>
    </row>
    <row r="729" spans="1:17" ht="15">
      <c r="A729" s="5" t="str">
        <f t="shared" si="34"/>
        <v/>
      </c>
      <c r="B729" s="6"/>
      <c r="C729" s="5" t="str">
        <f>IFERROR(VLOOKUP(B729,Lists!$A$2:$B$25,2,FALSE),"")</f>
        <v/>
      </c>
      <c r="D729" s="7"/>
      <c r="E729" s="6"/>
      <c r="F729" s="6" t="str">
        <f t="shared" si="35"/>
        <v/>
      </c>
      <c r="G729" s="6"/>
      <c r="H729" s="6"/>
      <c r="I729" s="6"/>
      <c r="J729" s="7"/>
      <c r="K729" s="5" t="str" cm="1">
        <f t="array" ref="K729">IF(OR(A729="",B729="",D729="",E729=""),"",A729&amp;"_"&amp;SUBSTITUTE(B729," ","-")&amp;"_"&amp;D729&amp;"_"&amp;SUBSTITUTE(SUBSTITUTE(E729," ",""),"€","Euro")&amp;"_"&amp;IF(F729="","Unknown",F729)&amp;IF(F729="Commemorative",IF(G729="","","_"&amp;SUBSTITUTE(SUBSTITUTE(SUBSTITUTE(G729," ","-"),"/","-"),CHAR(39),"")),"")&amp;IF(I729="Duplicate","_Dub"&amp;IF(SUMPRODUCT(($B$2:B729=B729)*($D$2:D729=D729)*($E$2:E729=E729)*($F$2:F729=F729)*($G$2:G729=G729)*($I$2:I729="Duplicate"))&lt;=1,"",SUMPRODUCT(($B$2:B729=B729)*($D$2:D729=D729)*($E$2:E729=E729)*($F$2:F729=F729)*($G$2:G729=G729)*($I$2:I729="Duplicate"))-1),"")&amp;".jpeg")</f>
        <v/>
      </c>
      <c r="L729" s="6"/>
      <c r="M729" s="5" t="str">
        <f>IFERROR(VLOOKUP(E729,Specifications!$A$2:$D$9,2,FALSE),"")</f>
        <v/>
      </c>
      <c r="N729" s="5" t="str">
        <f>IFERROR(VLOOKUP(E729,Specifications!$A$2:$D$9,3,FALSE),"")</f>
        <v/>
      </c>
      <c r="O729" s="5" t="str">
        <f>IFERROR(VLOOKUP(E729,Specifications!$A$2:$D$9,4,FALSE),"")</f>
        <v/>
      </c>
      <c r="P729" s="8" t="str">
        <f t="shared" si="36"/>
        <v/>
      </c>
      <c r="Q729" s="9"/>
    </row>
    <row r="730" spans="1:17" ht="15">
      <c r="A730" s="5" t="str">
        <f t="shared" si="34"/>
        <v/>
      </c>
      <c r="B730" s="6"/>
      <c r="C730" s="5" t="str">
        <f>IFERROR(VLOOKUP(B730,Lists!$A$2:$B$25,2,FALSE),"")</f>
        <v/>
      </c>
      <c r="D730" s="7"/>
      <c r="E730" s="6"/>
      <c r="F730" s="6" t="str">
        <f t="shared" si="35"/>
        <v/>
      </c>
      <c r="G730" s="6"/>
      <c r="H730" s="6"/>
      <c r="I730" s="6"/>
      <c r="J730" s="7"/>
      <c r="K730" s="5" t="str" cm="1">
        <f t="array" ref="K730">IF(OR(A730="",B730="",D730="",E730=""),"",A730&amp;"_"&amp;SUBSTITUTE(B730," ","-")&amp;"_"&amp;D730&amp;"_"&amp;SUBSTITUTE(SUBSTITUTE(E730," ",""),"€","Euro")&amp;"_"&amp;IF(F730="","Unknown",F730)&amp;IF(F730="Commemorative",IF(G730="","","_"&amp;SUBSTITUTE(SUBSTITUTE(SUBSTITUTE(G730," ","-"),"/","-"),CHAR(39),"")),"")&amp;IF(I730="Duplicate","_Dub"&amp;IF(SUMPRODUCT(($B$2:B730=B730)*($D$2:D730=D730)*($E$2:E730=E730)*($F$2:F730=F730)*($G$2:G730=G730)*($I$2:I730="Duplicate"))&lt;=1,"",SUMPRODUCT(($B$2:B730=B730)*($D$2:D730=D730)*($E$2:E730=E730)*($F$2:F730=F730)*($G$2:G730=G730)*($I$2:I730="Duplicate"))-1),"")&amp;".jpeg")</f>
        <v/>
      </c>
      <c r="L730" s="6"/>
      <c r="M730" s="5" t="str">
        <f>IFERROR(VLOOKUP(E730,Specifications!$A$2:$D$9,2,FALSE),"")</f>
        <v/>
      </c>
      <c r="N730" s="5" t="str">
        <f>IFERROR(VLOOKUP(E730,Specifications!$A$2:$D$9,3,FALSE),"")</f>
        <v/>
      </c>
      <c r="O730" s="5" t="str">
        <f>IFERROR(VLOOKUP(E730,Specifications!$A$2:$D$9,4,FALSE),"")</f>
        <v/>
      </c>
      <c r="P730" s="8" t="str">
        <f t="shared" si="36"/>
        <v/>
      </c>
      <c r="Q730" s="9"/>
    </row>
    <row r="731" spans="1:17" ht="15">
      <c r="A731" s="5" t="str">
        <f t="shared" si="34"/>
        <v/>
      </c>
      <c r="B731" s="6"/>
      <c r="C731" s="5" t="str">
        <f>IFERROR(VLOOKUP(B731,Lists!$A$2:$B$25,2,FALSE),"")</f>
        <v/>
      </c>
      <c r="D731" s="7"/>
      <c r="E731" s="6"/>
      <c r="F731" s="6" t="str">
        <f t="shared" si="35"/>
        <v/>
      </c>
      <c r="G731" s="6"/>
      <c r="H731" s="6"/>
      <c r="I731" s="6"/>
      <c r="J731" s="7"/>
      <c r="K731" s="5" t="str" cm="1">
        <f t="array" ref="K731">IF(OR(A731="",B731="",D731="",E731=""),"",A731&amp;"_"&amp;SUBSTITUTE(B731," ","-")&amp;"_"&amp;D731&amp;"_"&amp;SUBSTITUTE(SUBSTITUTE(E731," ",""),"€","Euro")&amp;"_"&amp;IF(F731="","Unknown",F731)&amp;IF(F731="Commemorative",IF(G731="","","_"&amp;SUBSTITUTE(SUBSTITUTE(SUBSTITUTE(G731," ","-"),"/","-"),CHAR(39),"")),"")&amp;IF(I731="Duplicate","_Dub"&amp;IF(SUMPRODUCT(($B$2:B731=B731)*($D$2:D731=D731)*($E$2:E731=E731)*($F$2:F731=F731)*($G$2:G731=G731)*($I$2:I731="Duplicate"))&lt;=1,"",SUMPRODUCT(($B$2:B731=B731)*($D$2:D731=D731)*($E$2:E731=E731)*($F$2:F731=F731)*($G$2:G731=G731)*($I$2:I731="Duplicate"))-1),"")&amp;".jpeg")</f>
        <v/>
      </c>
      <c r="L731" s="6"/>
      <c r="M731" s="5" t="str">
        <f>IFERROR(VLOOKUP(E731,Specifications!$A$2:$D$9,2,FALSE),"")</f>
        <v/>
      </c>
      <c r="N731" s="5" t="str">
        <f>IFERROR(VLOOKUP(E731,Specifications!$A$2:$D$9,3,FALSE),"")</f>
        <v/>
      </c>
      <c r="O731" s="5" t="str">
        <f>IFERROR(VLOOKUP(E731,Specifications!$A$2:$D$9,4,FALSE),"")</f>
        <v/>
      </c>
      <c r="P731" s="8" t="str">
        <f t="shared" si="36"/>
        <v/>
      </c>
      <c r="Q731" s="9"/>
    </row>
    <row r="732" spans="1:17" ht="15">
      <c r="A732" s="5" t="str">
        <f t="shared" si="34"/>
        <v/>
      </c>
      <c r="B732" s="6"/>
      <c r="C732" s="5" t="str">
        <f>IFERROR(VLOOKUP(B732,Lists!$A$2:$B$25,2,FALSE),"")</f>
        <v/>
      </c>
      <c r="D732" s="7"/>
      <c r="E732" s="6"/>
      <c r="F732" s="6" t="str">
        <f t="shared" si="35"/>
        <v/>
      </c>
      <c r="G732" s="6"/>
      <c r="H732" s="6"/>
      <c r="I732" s="6"/>
      <c r="J732" s="7"/>
      <c r="K732" s="5" t="str" cm="1">
        <f t="array" ref="K732">IF(OR(A732="",B732="",D732="",E732=""),"",A732&amp;"_"&amp;SUBSTITUTE(B732," ","-")&amp;"_"&amp;D732&amp;"_"&amp;SUBSTITUTE(SUBSTITUTE(E732," ",""),"€","Euro")&amp;"_"&amp;IF(F732="","Unknown",F732)&amp;IF(F732="Commemorative",IF(G732="","","_"&amp;SUBSTITUTE(SUBSTITUTE(SUBSTITUTE(G732," ","-"),"/","-"),CHAR(39),"")),"")&amp;IF(I732="Duplicate","_Dub"&amp;IF(SUMPRODUCT(($B$2:B732=B732)*($D$2:D732=D732)*($E$2:E732=E732)*($F$2:F732=F732)*($G$2:G732=G732)*($I$2:I732="Duplicate"))&lt;=1,"",SUMPRODUCT(($B$2:B732=B732)*($D$2:D732=D732)*($E$2:E732=E732)*($F$2:F732=F732)*($G$2:G732=G732)*($I$2:I732="Duplicate"))-1),"")&amp;".jpeg")</f>
        <v/>
      </c>
      <c r="L732" s="6"/>
      <c r="M732" s="5" t="str">
        <f>IFERROR(VLOOKUP(E732,Specifications!$A$2:$D$9,2,FALSE),"")</f>
        <v/>
      </c>
      <c r="N732" s="5" t="str">
        <f>IFERROR(VLOOKUP(E732,Specifications!$A$2:$D$9,3,FALSE),"")</f>
        <v/>
      </c>
      <c r="O732" s="5" t="str">
        <f>IFERROR(VLOOKUP(E732,Specifications!$A$2:$D$9,4,FALSE),"")</f>
        <v/>
      </c>
      <c r="P732" s="8" t="str">
        <f t="shared" si="36"/>
        <v/>
      </c>
      <c r="Q732" s="9"/>
    </row>
    <row r="733" spans="1:17" ht="15">
      <c r="A733" s="5" t="str">
        <f t="shared" si="34"/>
        <v/>
      </c>
      <c r="B733" s="6"/>
      <c r="C733" s="5" t="str">
        <f>IFERROR(VLOOKUP(B733,Lists!$A$2:$B$25,2,FALSE),"")</f>
        <v/>
      </c>
      <c r="D733" s="7"/>
      <c r="E733" s="6"/>
      <c r="F733" s="6" t="str">
        <f t="shared" si="35"/>
        <v/>
      </c>
      <c r="G733" s="6"/>
      <c r="H733" s="6"/>
      <c r="I733" s="6"/>
      <c r="J733" s="7"/>
      <c r="K733" s="5" t="str" cm="1">
        <f t="array" ref="K733">IF(OR(A733="",B733="",D733="",E733=""),"",A733&amp;"_"&amp;SUBSTITUTE(B733," ","-")&amp;"_"&amp;D733&amp;"_"&amp;SUBSTITUTE(SUBSTITUTE(E733," ",""),"€","Euro")&amp;"_"&amp;IF(F733="","Unknown",F733)&amp;IF(F733="Commemorative",IF(G733="","","_"&amp;SUBSTITUTE(SUBSTITUTE(SUBSTITUTE(G733," ","-"),"/","-"),CHAR(39),"")),"")&amp;IF(I733="Duplicate","_Dub"&amp;IF(SUMPRODUCT(($B$2:B733=B733)*($D$2:D733=D733)*($E$2:E733=E733)*($F$2:F733=F733)*($G$2:G733=G733)*($I$2:I733="Duplicate"))&lt;=1,"",SUMPRODUCT(($B$2:B733=B733)*($D$2:D733=D733)*($E$2:E733=E733)*($F$2:F733=F733)*($G$2:G733=G733)*($I$2:I733="Duplicate"))-1),"")&amp;".jpeg")</f>
        <v/>
      </c>
      <c r="L733" s="6"/>
      <c r="M733" s="5" t="str">
        <f>IFERROR(VLOOKUP(E733,Specifications!$A$2:$D$9,2,FALSE),"")</f>
        <v/>
      </c>
      <c r="N733" s="5" t="str">
        <f>IFERROR(VLOOKUP(E733,Specifications!$A$2:$D$9,3,FALSE),"")</f>
        <v/>
      </c>
      <c r="O733" s="5" t="str">
        <f>IFERROR(VLOOKUP(E733,Specifications!$A$2:$D$9,4,FALSE),"")</f>
        <v/>
      </c>
      <c r="P733" s="8" t="str">
        <f t="shared" si="36"/>
        <v/>
      </c>
      <c r="Q733" s="9"/>
    </row>
    <row r="734" spans="1:17" ht="15">
      <c r="A734" s="5" t="str">
        <f t="shared" si="34"/>
        <v/>
      </c>
      <c r="B734" s="6"/>
      <c r="C734" s="5" t="str">
        <f>IFERROR(VLOOKUP(B734,Lists!$A$2:$B$25,2,FALSE),"")</f>
        <v/>
      </c>
      <c r="D734" s="7"/>
      <c r="E734" s="6"/>
      <c r="F734" s="6" t="str">
        <f t="shared" si="35"/>
        <v/>
      </c>
      <c r="G734" s="6"/>
      <c r="H734" s="6"/>
      <c r="I734" s="6"/>
      <c r="J734" s="7"/>
      <c r="K734" s="5" t="str" cm="1">
        <f t="array" ref="K734">IF(OR(A734="",B734="",D734="",E734=""),"",A734&amp;"_"&amp;SUBSTITUTE(B734," ","-")&amp;"_"&amp;D734&amp;"_"&amp;SUBSTITUTE(SUBSTITUTE(E734," ",""),"€","Euro")&amp;"_"&amp;IF(F734="","Unknown",F734)&amp;IF(F734="Commemorative",IF(G734="","","_"&amp;SUBSTITUTE(SUBSTITUTE(SUBSTITUTE(G734," ","-"),"/","-"),CHAR(39),"")),"")&amp;IF(I734="Duplicate","_Dub"&amp;IF(SUMPRODUCT(($B$2:B734=B734)*($D$2:D734=D734)*($E$2:E734=E734)*($F$2:F734=F734)*($G$2:G734=G734)*($I$2:I734="Duplicate"))&lt;=1,"",SUMPRODUCT(($B$2:B734=B734)*($D$2:D734=D734)*($E$2:E734=E734)*($F$2:F734=F734)*($G$2:G734=G734)*($I$2:I734="Duplicate"))-1),"")&amp;".jpeg")</f>
        <v/>
      </c>
      <c r="L734" s="6"/>
      <c r="M734" s="5" t="str">
        <f>IFERROR(VLOOKUP(E734,Specifications!$A$2:$D$9,2,FALSE),"")</f>
        <v/>
      </c>
      <c r="N734" s="5" t="str">
        <f>IFERROR(VLOOKUP(E734,Specifications!$A$2:$D$9,3,FALSE),"")</f>
        <v/>
      </c>
      <c r="O734" s="5" t="str">
        <f>IFERROR(VLOOKUP(E734,Specifications!$A$2:$D$9,4,FALSE),"")</f>
        <v/>
      </c>
      <c r="P734" s="8" t="str">
        <f t="shared" si="36"/>
        <v/>
      </c>
      <c r="Q734" s="9"/>
    </row>
    <row r="735" spans="1:17" ht="15">
      <c r="A735" s="5" t="str">
        <f t="shared" si="34"/>
        <v/>
      </c>
      <c r="B735" s="6"/>
      <c r="C735" s="5" t="str">
        <f>IFERROR(VLOOKUP(B735,Lists!$A$2:$B$25,2,FALSE),"")</f>
        <v/>
      </c>
      <c r="D735" s="7"/>
      <c r="E735" s="6"/>
      <c r="F735" s="6" t="str">
        <f t="shared" si="35"/>
        <v/>
      </c>
      <c r="G735" s="6"/>
      <c r="H735" s="6"/>
      <c r="I735" s="6"/>
      <c r="J735" s="7"/>
      <c r="K735" s="5" t="str" cm="1">
        <f t="array" ref="K735">IF(OR(A735="",B735="",D735="",E735=""),"",A735&amp;"_"&amp;SUBSTITUTE(B735," ","-")&amp;"_"&amp;D735&amp;"_"&amp;SUBSTITUTE(SUBSTITUTE(E735," ",""),"€","Euro")&amp;"_"&amp;IF(F735="","Unknown",F735)&amp;IF(F735="Commemorative",IF(G735="","","_"&amp;SUBSTITUTE(SUBSTITUTE(SUBSTITUTE(G735," ","-"),"/","-"),CHAR(39),"")),"")&amp;IF(I735="Duplicate","_Dub"&amp;IF(SUMPRODUCT(($B$2:B735=B735)*($D$2:D735=D735)*($E$2:E735=E735)*($F$2:F735=F735)*($G$2:G735=G735)*($I$2:I735="Duplicate"))&lt;=1,"",SUMPRODUCT(($B$2:B735=B735)*($D$2:D735=D735)*($E$2:E735=E735)*($F$2:F735=F735)*($G$2:G735=G735)*($I$2:I735="Duplicate"))-1),"")&amp;".jpeg")</f>
        <v/>
      </c>
      <c r="L735" s="6"/>
      <c r="M735" s="5" t="str">
        <f>IFERROR(VLOOKUP(E735,Specifications!$A$2:$D$9,2,FALSE),"")</f>
        <v/>
      </c>
      <c r="N735" s="5" t="str">
        <f>IFERROR(VLOOKUP(E735,Specifications!$A$2:$D$9,3,FALSE),"")</f>
        <v/>
      </c>
      <c r="O735" s="5" t="str">
        <f>IFERROR(VLOOKUP(E735,Specifications!$A$2:$D$9,4,FALSE),"")</f>
        <v/>
      </c>
      <c r="P735" s="8" t="str">
        <f t="shared" si="36"/>
        <v/>
      </c>
      <c r="Q735" s="9"/>
    </row>
    <row r="736" spans="1:17" ht="15">
      <c r="A736" s="5" t="str">
        <f t="shared" si="34"/>
        <v/>
      </c>
      <c r="B736" s="6"/>
      <c r="C736" s="5" t="str">
        <f>IFERROR(VLOOKUP(B736,Lists!$A$2:$B$25,2,FALSE),"")</f>
        <v/>
      </c>
      <c r="D736" s="7"/>
      <c r="E736" s="6"/>
      <c r="F736" s="6" t="str">
        <f t="shared" si="35"/>
        <v/>
      </c>
      <c r="G736" s="6"/>
      <c r="H736" s="6"/>
      <c r="I736" s="6"/>
      <c r="J736" s="7"/>
      <c r="K736" s="5" t="str" cm="1">
        <f t="array" ref="K736">IF(OR(A736="",B736="",D736="",E736=""),"",A736&amp;"_"&amp;SUBSTITUTE(B736," ","-")&amp;"_"&amp;D736&amp;"_"&amp;SUBSTITUTE(SUBSTITUTE(E736," ",""),"€","Euro")&amp;"_"&amp;IF(F736="","Unknown",F736)&amp;IF(F736="Commemorative",IF(G736="","","_"&amp;SUBSTITUTE(SUBSTITUTE(SUBSTITUTE(G736," ","-"),"/","-"),CHAR(39),"")),"")&amp;IF(I736="Duplicate","_Dub"&amp;IF(SUMPRODUCT(($B$2:B736=B736)*($D$2:D736=D736)*($E$2:E736=E736)*($F$2:F736=F736)*($G$2:G736=G736)*($I$2:I736="Duplicate"))&lt;=1,"",SUMPRODUCT(($B$2:B736=B736)*($D$2:D736=D736)*($E$2:E736=E736)*($F$2:F736=F736)*($G$2:G736=G736)*($I$2:I736="Duplicate"))-1),"")&amp;".jpeg")</f>
        <v/>
      </c>
      <c r="L736" s="6"/>
      <c r="M736" s="5" t="str">
        <f>IFERROR(VLOOKUP(E736,Specifications!$A$2:$D$9,2,FALSE),"")</f>
        <v/>
      </c>
      <c r="N736" s="5" t="str">
        <f>IFERROR(VLOOKUP(E736,Specifications!$A$2:$D$9,3,FALSE),"")</f>
        <v/>
      </c>
      <c r="O736" s="5" t="str">
        <f>IFERROR(VLOOKUP(E736,Specifications!$A$2:$D$9,4,FALSE),"")</f>
        <v/>
      </c>
      <c r="P736" s="8" t="str">
        <f t="shared" si="36"/>
        <v/>
      </c>
      <c r="Q736" s="9"/>
    </row>
    <row r="737" spans="1:17" ht="15">
      <c r="A737" s="5" t="str">
        <f t="shared" si="34"/>
        <v/>
      </c>
      <c r="B737" s="6"/>
      <c r="C737" s="5" t="str">
        <f>IFERROR(VLOOKUP(B737,Lists!$A$2:$B$25,2,FALSE),"")</f>
        <v/>
      </c>
      <c r="D737" s="7"/>
      <c r="E737" s="6"/>
      <c r="F737" s="6" t="str">
        <f t="shared" si="35"/>
        <v/>
      </c>
      <c r="G737" s="6"/>
      <c r="H737" s="6"/>
      <c r="I737" s="6"/>
      <c r="J737" s="7"/>
      <c r="K737" s="5" t="str" cm="1">
        <f t="array" ref="K737">IF(OR(A737="",B737="",D737="",E737=""),"",A737&amp;"_"&amp;SUBSTITUTE(B737," ","-")&amp;"_"&amp;D737&amp;"_"&amp;SUBSTITUTE(SUBSTITUTE(E737," ",""),"€","Euro")&amp;"_"&amp;IF(F737="","Unknown",F737)&amp;IF(F737="Commemorative",IF(G737="","","_"&amp;SUBSTITUTE(SUBSTITUTE(SUBSTITUTE(G737," ","-"),"/","-"),CHAR(39),"")),"")&amp;IF(I737="Duplicate","_Dub"&amp;IF(SUMPRODUCT(($B$2:B737=B737)*($D$2:D737=D737)*($E$2:E737=E737)*($F$2:F737=F737)*($G$2:G737=G737)*($I$2:I737="Duplicate"))&lt;=1,"",SUMPRODUCT(($B$2:B737=B737)*($D$2:D737=D737)*($E$2:E737=E737)*($F$2:F737=F737)*($G$2:G737=G737)*($I$2:I737="Duplicate"))-1),"")&amp;".jpeg")</f>
        <v/>
      </c>
      <c r="L737" s="6"/>
      <c r="M737" s="5" t="str">
        <f>IFERROR(VLOOKUP(E737,Specifications!$A$2:$D$9,2,FALSE),"")</f>
        <v/>
      </c>
      <c r="N737" s="5" t="str">
        <f>IFERROR(VLOOKUP(E737,Specifications!$A$2:$D$9,3,FALSE),"")</f>
        <v/>
      </c>
      <c r="O737" s="5" t="str">
        <f>IFERROR(VLOOKUP(E737,Specifications!$A$2:$D$9,4,FALSE),"")</f>
        <v/>
      </c>
      <c r="P737" s="8" t="str">
        <f t="shared" si="36"/>
        <v/>
      </c>
      <c r="Q737" s="9"/>
    </row>
    <row r="738" spans="1:17" ht="15">
      <c r="A738" s="5" t="str">
        <f t="shared" si="34"/>
        <v/>
      </c>
      <c r="B738" s="6"/>
      <c r="C738" s="5" t="str">
        <f>IFERROR(VLOOKUP(B738,Lists!$A$2:$B$25,2,FALSE),"")</f>
        <v/>
      </c>
      <c r="D738" s="7"/>
      <c r="E738" s="6"/>
      <c r="F738" s="6" t="str">
        <f t="shared" si="35"/>
        <v/>
      </c>
      <c r="G738" s="6"/>
      <c r="H738" s="6"/>
      <c r="I738" s="6"/>
      <c r="J738" s="7"/>
      <c r="K738" s="5" t="str" cm="1">
        <f t="array" ref="K738">IF(OR(A738="",B738="",D738="",E738=""),"",A738&amp;"_"&amp;SUBSTITUTE(B738," ","-")&amp;"_"&amp;D738&amp;"_"&amp;SUBSTITUTE(SUBSTITUTE(E738," ",""),"€","Euro")&amp;"_"&amp;IF(F738="","Unknown",F738)&amp;IF(F738="Commemorative",IF(G738="","","_"&amp;SUBSTITUTE(SUBSTITUTE(SUBSTITUTE(G738," ","-"),"/","-"),CHAR(39),"")),"")&amp;IF(I738="Duplicate","_Dub"&amp;IF(SUMPRODUCT(($B$2:B738=B738)*($D$2:D738=D738)*($E$2:E738=E738)*($F$2:F738=F738)*($G$2:G738=G738)*($I$2:I738="Duplicate"))&lt;=1,"",SUMPRODUCT(($B$2:B738=B738)*($D$2:D738=D738)*($E$2:E738=E738)*($F$2:F738=F738)*($G$2:G738=G738)*($I$2:I738="Duplicate"))-1),"")&amp;".jpeg")</f>
        <v/>
      </c>
      <c r="L738" s="6"/>
      <c r="M738" s="5" t="str">
        <f>IFERROR(VLOOKUP(E738,Specifications!$A$2:$D$9,2,FALSE),"")</f>
        <v/>
      </c>
      <c r="N738" s="5" t="str">
        <f>IFERROR(VLOOKUP(E738,Specifications!$A$2:$D$9,3,FALSE),"")</f>
        <v/>
      </c>
      <c r="O738" s="5" t="str">
        <f>IFERROR(VLOOKUP(E738,Specifications!$A$2:$D$9,4,FALSE),"")</f>
        <v/>
      </c>
      <c r="P738" s="8" t="str">
        <f t="shared" si="36"/>
        <v/>
      </c>
      <c r="Q738" s="9"/>
    </row>
    <row r="739" spans="1:17" ht="15">
      <c r="A739" s="5" t="str">
        <f t="shared" si="34"/>
        <v/>
      </c>
      <c r="B739" s="6"/>
      <c r="C739" s="5" t="str">
        <f>IFERROR(VLOOKUP(B739,Lists!$A$2:$B$25,2,FALSE),"")</f>
        <v/>
      </c>
      <c r="D739" s="7"/>
      <c r="E739" s="6"/>
      <c r="F739" s="6" t="str">
        <f t="shared" si="35"/>
        <v/>
      </c>
      <c r="G739" s="6"/>
      <c r="H739" s="6"/>
      <c r="I739" s="6"/>
      <c r="J739" s="7"/>
      <c r="K739" s="5" t="str" cm="1">
        <f t="array" ref="K739">IF(OR(A739="",B739="",D739="",E739=""),"",A739&amp;"_"&amp;SUBSTITUTE(B739," ","-")&amp;"_"&amp;D739&amp;"_"&amp;SUBSTITUTE(SUBSTITUTE(E739," ",""),"€","Euro")&amp;"_"&amp;IF(F739="","Unknown",F739)&amp;IF(F739="Commemorative",IF(G739="","","_"&amp;SUBSTITUTE(SUBSTITUTE(SUBSTITUTE(G739," ","-"),"/","-"),CHAR(39),"")),"")&amp;IF(I739="Duplicate","_Dub"&amp;IF(SUMPRODUCT(($B$2:B739=B739)*($D$2:D739=D739)*($E$2:E739=E739)*($F$2:F739=F739)*($G$2:G739=G739)*($I$2:I739="Duplicate"))&lt;=1,"",SUMPRODUCT(($B$2:B739=B739)*($D$2:D739=D739)*($E$2:E739=E739)*($F$2:F739=F739)*($G$2:G739=G739)*($I$2:I739="Duplicate"))-1),"")&amp;".jpeg")</f>
        <v/>
      </c>
      <c r="L739" s="6"/>
      <c r="M739" s="5" t="str">
        <f>IFERROR(VLOOKUP(E739,Specifications!$A$2:$D$9,2,FALSE),"")</f>
        <v/>
      </c>
      <c r="N739" s="5" t="str">
        <f>IFERROR(VLOOKUP(E739,Specifications!$A$2:$D$9,3,FALSE),"")</f>
        <v/>
      </c>
      <c r="O739" s="5" t="str">
        <f>IFERROR(VLOOKUP(E739,Specifications!$A$2:$D$9,4,FALSE),"")</f>
        <v/>
      </c>
      <c r="P739" s="8" t="str">
        <f t="shared" si="36"/>
        <v/>
      </c>
      <c r="Q739" s="9"/>
    </row>
    <row r="740" spans="1:17" ht="15">
      <c r="A740" s="5" t="str">
        <f t="shared" si="34"/>
        <v/>
      </c>
      <c r="B740" s="6"/>
      <c r="C740" s="5" t="str">
        <f>IFERROR(VLOOKUP(B740,Lists!$A$2:$B$25,2,FALSE),"")</f>
        <v/>
      </c>
      <c r="D740" s="7"/>
      <c r="E740" s="6"/>
      <c r="F740" s="6" t="str">
        <f t="shared" si="35"/>
        <v/>
      </c>
      <c r="G740" s="6"/>
      <c r="H740" s="6"/>
      <c r="I740" s="6"/>
      <c r="J740" s="7"/>
      <c r="K740" s="5" t="str" cm="1">
        <f t="array" ref="K740">IF(OR(A740="",B740="",D740="",E740=""),"",A740&amp;"_"&amp;SUBSTITUTE(B740," ","-")&amp;"_"&amp;D740&amp;"_"&amp;SUBSTITUTE(SUBSTITUTE(E740," ",""),"€","Euro")&amp;"_"&amp;IF(F740="","Unknown",F740)&amp;IF(F740="Commemorative",IF(G740="","","_"&amp;SUBSTITUTE(SUBSTITUTE(SUBSTITUTE(G740," ","-"),"/","-"),CHAR(39),"")),"")&amp;IF(I740="Duplicate","_Dub"&amp;IF(SUMPRODUCT(($B$2:B740=B740)*($D$2:D740=D740)*($E$2:E740=E740)*($F$2:F740=F740)*($G$2:G740=G740)*($I$2:I740="Duplicate"))&lt;=1,"",SUMPRODUCT(($B$2:B740=B740)*($D$2:D740=D740)*($E$2:E740=E740)*($F$2:F740=F740)*($G$2:G740=G740)*($I$2:I740="Duplicate"))-1),"")&amp;".jpeg")</f>
        <v/>
      </c>
      <c r="L740" s="6"/>
      <c r="M740" s="5" t="str">
        <f>IFERROR(VLOOKUP(E740,Specifications!$A$2:$D$9,2,FALSE),"")</f>
        <v/>
      </c>
      <c r="N740" s="5" t="str">
        <f>IFERROR(VLOOKUP(E740,Specifications!$A$2:$D$9,3,FALSE),"")</f>
        <v/>
      </c>
      <c r="O740" s="5" t="str">
        <f>IFERROR(VLOOKUP(E740,Specifications!$A$2:$D$9,4,FALSE),"")</f>
        <v/>
      </c>
      <c r="P740" s="8" t="str">
        <f t="shared" si="36"/>
        <v/>
      </c>
      <c r="Q740" s="9"/>
    </row>
    <row r="741" spans="1:17" ht="15">
      <c r="A741" s="5" t="str">
        <f t="shared" si="34"/>
        <v/>
      </c>
      <c r="B741" s="6"/>
      <c r="C741" s="5" t="str">
        <f>IFERROR(VLOOKUP(B741,Lists!$A$2:$B$25,2,FALSE),"")</f>
        <v/>
      </c>
      <c r="D741" s="7"/>
      <c r="E741" s="6"/>
      <c r="F741" s="6" t="str">
        <f t="shared" si="35"/>
        <v/>
      </c>
      <c r="G741" s="6"/>
      <c r="H741" s="6"/>
      <c r="I741" s="6"/>
      <c r="J741" s="7"/>
      <c r="K741" s="5" t="str" cm="1">
        <f t="array" ref="K741">IF(OR(A741="",B741="",D741="",E741=""),"",A741&amp;"_"&amp;SUBSTITUTE(B741," ","-")&amp;"_"&amp;D741&amp;"_"&amp;SUBSTITUTE(SUBSTITUTE(E741," ",""),"€","Euro")&amp;"_"&amp;IF(F741="","Unknown",F741)&amp;IF(F741="Commemorative",IF(G741="","","_"&amp;SUBSTITUTE(SUBSTITUTE(SUBSTITUTE(G741," ","-"),"/","-"),CHAR(39),"")),"")&amp;IF(I741="Duplicate","_Dub"&amp;IF(SUMPRODUCT(($B$2:B741=B741)*($D$2:D741=D741)*($E$2:E741=E741)*($F$2:F741=F741)*($G$2:G741=G741)*($I$2:I741="Duplicate"))&lt;=1,"",SUMPRODUCT(($B$2:B741=B741)*($D$2:D741=D741)*($E$2:E741=E741)*($F$2:F741=F741)*($G$2:G741=G741)*($I$2:I741="Duplicate"))-1),"")&amp;".jpeg")</f>
        <v/>
      </c>
      <c r="L741" s="6"/>
      <c r="M741" s="5" t="str">
        <f>IFERROR(VLOOKUP(E741,Specifications!$A$2:$D$9,2,FALSE),"")</f>
        <v/>
      </c>
      <c r="N741" s="5" t="str">
        <f>IFERROR(VLOOKUP(E741,Specifications!$A$2:$D$9,3,FALSE),"")</f>
        <v/>
      </c>
      <c r="O741" s="5" t="str">
        <f>IFERROR(VLOOKUP(E741,Specifications!$A$2:$D$9,4,FALSE),"")</f>
        <v/>
      </c>
      <c r="P741" s="8" t="str">
        <f t="shared" si="36"/>
        <v/>
      </c>
      <c r="Q741" s="9"/>
    </row>
    <row r="742" spans="1:17" ht="15">
      <c r="A742" s="5" t="str">
        <f t="shared" si="34"/>
        <v/>
      </c>
      <c r="B742" s="6"/>
      <c r="C742" s="5" t="str">
        <f>IFERROR(VLOOKUP(B742,Lists!$A$2:$B$25,2,FALSE),"")</f>
        <v/>
      </c>
      <c r="D742" s="7"/>
      <c r="E742" s="6"/>
      <c r="F742" s="6" t="str">
        <f t="shared" si="35"/>
        <v/>
      </c>
      <c r="G742" s="6"/>
      <c r="H742" s="6"/>
      <c r="I742" s="6"/>
      <c r="J742" s="7"/>
      <c r="K742" s="5" t="str" cm="1">
        <f t="array" ref="K742">IF(OR(A742="",B742="",D742="",E742=""),"",A742&amp;"_"&amp;SUBSTITUTE(B742," ","-")&amp;"_"&amp;D742&amp;"_"&amp;SUBSTITUTE(SUBSTITUTE(E742," ",""),"€","Euro")&amp;"_"&amp;IF(F742="","Unknown",F742)&amp;IF(F742="Commemorative",IF(G742="","","_"&amp;SUBSTITUTE(SUBSTITUTE(SUBSTITUTE(G742," ","-"),"/","-"),CHAR(39),"")),"")&amp;IF(I742="Duplicate","_Dub"&amp;IF(SUMPRODUCT(($B$2:B742=B742)*($D$2:D742=D742)*($E$2:E742=E742)*($F$2:F742=F742)*($G$2:G742=G742)*($I$2:I742="Duplicate"))&lt;=1,"",SUMPRODUCT(($B$2:B742=B742)*($D$2:D742=D742)*($E$2:E742=E742)*($F$2:F742=F742)*($G$2:G742=G742)*($I$2:I742="Duplicate"))-1),"")&amp;".jpeg")</f>
        <v/>
      </c>
      <c r="L742" s="6"/>
      <c r="M742" s="5" t="str">
        <f>IFERROR(VLOOKUP(E742,Specifications!$A$2:$D$9,2,FALSE),"")</f>
        <v/>
      </c>
      <c r="N742" s="5" t="str">
        <f>IFERROR(VLOOKUP(E742,Specifications!$A$2:$D$9,3,FALSE),"")</f>
        <v/>
      </c>
      <c r="O742" s="5" t="str">
        <f>IFERROR(VLOOKUP(E742,Specifications!$A$2:$D$9,4,FALSE),"")</f>
        <v/>
      </c>
      <c r="P742" s="8" t="str">
        <f t="shared" si="36"/>
        <v/>
      </c>
      <c r="Q742" s="9"/>
    </row>
    <row r="743" spans="1:17" ht="15">
      <c r="A743" s="5" t="str">
        <f t="shared" si="34"/>
        <v/>
      </c>
      <c r="B743" s="6"/>
      <c r="C743" s="5" t="str">
        <f>IFERROR(VLOOKUP(B743,Lists!$A$2:$B$25,2,FALSE),"")</f>
        <v/>
      </c>
      <c r="D743" s="7"/>
      <c r="E743" s="6"/>
      <c r="F743" s="6" t="str">
        <f t="shared" si="35"/>
        <v/>
      </c>
      <c r="G743" s="6"/>
      <c r="H743" s="6"/>
      <c r="I743" s="6"/>
      <c r="J743" s="7"/>
      <c r="K743" s="5" t="str" cm="1">
        <f t="array" ref="K743">IF(OR(A743="",B743="",D743="",E743=""),"",A743&amp;"_"&amp;SUBSTITUTE(B743," ","-")&amp;"_"&amp;D743&amp;"_"&amp;SUBSTITUTE(SUBSTITUTE(E743," ",""),"€","Euro")&amp;"_"&amp;IF(F743="","Unknown",F743)&amp;IF(F743="Commemorative",IF(G743="","","_"&amp;SUBSTITUTE(SUBSTITUTE(SUBSTITUTE(G743," ","-"),"/","-"),CHAR(39),"")),"")&amp;IF(I743="Duplicate","_Dub"&amp;IF(SUMPRODUCT(($B$2:B743=B743)*($D$2:D743=D743)*($E$2:E743=E743)*($F$2:F743=F743)*($G$2:G743=G743)*($I$2:I743="Duplicate"))&lt;=1,"",SUMPRODUCT(($B$2:B743=B743)*($D$2:D743=D743)*($E$2:E743=E743)*($F$2:F743=F743)*($G$2:G743=G743)*($I$2:I743="Duplicate"))-1),"")&amp;".jpeg")</f>
        <v/>
      </c>
      <c r="L743" s="6"/>
      <c r="M743" s="5" t="str">
        <f>IFERROR(VLOOKUP(E743,Specifications!$A$2:$D$9,2,FALSE),"")</f>
        <v/>
      </c>
      <c r="N743" s="5" t="str">
        <f>IFERROR(VLOOKUP(E743,Specifications!$A$2:$D$9,3,FALSE),"")</f>
        <v/>
      </c>
      <c r="O743" s="5" t="str">
        <f>IFERROR(VLOOKUP(E743,Specifications!$A$2:$D$9,4,FALSE),"")</f>
        <v/>
      </c>
      <c r="P743" s="8" t="str">
        <f t="shared" si="36"/>
        <v/>
      </c>
      <c r="Q743" s="9"/>
    </row>
    <row r="744" spans="1:17" ht="15">
      <c r="A744" s="5" t="str">
        <f t="shared" si="34"/>
        <v/>
      </c>
      <c r="B744" s="6"/>
      <c r="C744" s="5" t="str">
        <f>IFERROR(VLOOKUP(B744,Lists!$A$2:$B$25,2,FALSE),"")</f>
        <v/>
      </c>
      <c r="D744" s="7"/>
      <c r="E744" s="6"/>
      <c r="F744" s="6" t="str">
        <f t="shared" si="35"/>
        <v/>
      </c>
      <c r="G744" s="6"/>
      <c r="H744" s="6"/>
      <c r="I744" s="6"/>
      <c r="J744" s="7"/>
      <c r="K744" s="5" t="str" cm="1">
        <f t="array" ref="K744">IF(OR(A744="",B744="",D744="",E744=""),"",A744&amp;"_"&amp;SUBSTITUTE(B744," ","-")&amp;"_"&amp;D744&amp;"_"&amp;SUBSTITUTE(SUBSTITUTE(E744," ",""),"€","Euro")&amp;"_"&amp;IF(F744="","Unknown",F744)&amp;IF(F744="Commemorative",IF(G744="","","_"&amp;SUBSTITUTE(SUBSTITUTE(SUBSTITUTE(G744," ","-"),"/","-"),CHAR(39),"")),"")&amp;IF(I744="Duplicate","_Dub"&amp;IF(SUMPRODUCT(($B$2:B744=B744)*($D$2:D744=D744)*($E$2:E744=E744)*($F$2:F744=F744)*($G$2:G744=G744)*($I$2:I744="Duplicate"))&lt;=1,"",SUMPRODUCT(($B$2:B744=B744)*($D$2:D744=D744)*($E$2:E744=E744)*($F$2:F744=F744)*($G$2:G744=G744)*($I$2:I744="Duplicate"))-1),"")&amp;".jpeg")</f>
        <v/>
      </c>
      <c r="L744" s="6"/>
      <c r="M744" s="5" t="str">
        <f>IFERROR(VLOOKUP(E744,Specifications!$A$2:$D$9,2,FALSE),"")</f>
        <v/>
      </c>
      <c r="N744" s="5" t="str">
        <f>IFERROR(VLOOKUP(E744,Specifications!$A$2:$D$9,3,FALSE),"")</f>
        <v/>
      </c>
      <c r="O744" s="5" t="str">
        <f>IFERROR(VLOOKUP(E744,Specifications!$A$2:$D$9,4,FALSE),"")</f>
        <v/>
      </c>
      <c r="P744" s="8" t="str">
        <f t="shared" si="36"/>
        <v/>
      </c>
      <c r="Q744" s="9"/>
    </row>
    <row r="745" spans="1:17" ht="15">
      <c r="A745" s="5" t="str">
        <f t="shared" si="34"/>
        <v/>
      </c>
      <c r="B745" s="6"/>
      <c r="C745" s="5" t="str">
        <f>IFERROR(VLOOKUP(B745,Lists!$A$2:$B$25,2,FALSE),"")</f>
        <v/>
      </c>
      <c r="D745" s="7"/>
      <c r="E745" s="6"/>
      <c r="F745" s="6" t="str">
        <f t="shared" si="35"/>
        <v/>
      </c>
      <c r="G745" s="6"/>
      <c r="H745" s="6"/>
      <c r="I745" s="6"/>
      <c r="J745" s="7"/>
      <c r="K745" s="5" t="str" cm="1">
        <f t="array" ref="K745">IF(OR(A745="",B745="",D745="",E745=""),"",A745&amp;"_"&amp;SUBSTITUTE(B745," ","-")&amp;"_"&amp;D745&amp;"_"&amp;SUBSTITUTE(SUBSTITUTE(E745," ",""),"€","Euro")&amp;"_"&amp;IF(F745="","Unknown",F745)&amp;IF(F745="Commemorative",IF(G745="","","_"&amp;SUBSTITUTE(SUBSTITUTE(SUBSTITUTE(G745," ","-"),"/","-"),CHAR(39),"")),"")&amp;IF(I745="Duplicate","_Dub"&amp;IF(SUMPRODUCT(($B$2:B745=B745)*($D$2:D745=D745)*($E$2:E745=E745)*($F$2:F745=F745)*($G$2:G745=G745)*($I$2:I745="Duplicate"))&lt;=1,"",SUMPRODUCT(($B$2:B745=B745)*($D$2:D745=D745)*($E$2:E745=E745)*($F$2:F745=F745)*($G$2:G745=G745)*($I$2:I745="Duplicate"))-1),"")&amp;".jpeg")</f>
        <v/>
      </c>
      <c r="L745" s="6"/>
      <c r="M745" s="5" t="str">
        <f>IFERROR(VLOOKUP(E745,Specifications!$A$2:$D$9,2,FALSE),"")</f>
        <v/>
      </c>
      <c r="N745" s="5" t="str">
        <f>IFERROR(VLOOKUP(E745,Specifications!$A$2:$D$9,3,FALSE),"")</f>
        <v/>
      </c>
      <c r="O745" s="5" t="str">
        <f>IFERROR(VLOOKUP(E745,Specifications!$A$2:$D$9,4,FALSE),"")</f>
        <v/>
      </c>
      <c r="P745" s="8" t="str">
        <f t="shared" si="36"/>
        <v/>
      </c>
      <c r="Q745" s="9"/>
    </row>
    <row r="746" spans="1:17" ht="15">
      <c r="A746" s="5" t="str">
        <f t="shared" si="34"/>
        <v/>
      </c>
      <c r="B746" s="6"/>
      <c r="C746" s="5" t="str">
        <f>IFERROR(VLOOKUP(B746,Lists!$A$2:$B$25,2,FALSE),"")</f>
        <v/>
      </c>
      <c r="D746" s="7"/>
      <c r="E746" s="6"/>
      <c r="F746" s="6" t="str">
        <f t="shared" si="35"/>
        <v/>
      </c>
      <c r="G746" s="6"/>
      <c r="H746" s="6"/>
      <c r="I746" s="6"/>
      <c r="J746" s="7"/>
      <c r="K746" s="5" t="str" cm="1">
        <f t="array" ref="K746">IF(OR(A746="",B746="",D746="",E746=""),"",A746&amp;"_"&amp;SUBSTITUTE(B746," ","-")&amp;"_"&amp;D746&amp;"_"&amp;SUBSTITUTE(SUBSTITUTE(E746," ",""),"€","Euro")&amp;"_"&amp;IF(F746="","Unknown",F746)&amp;IF(F746="Commemorative",IF(G746="","","_"&amp;SUBSTITUTE(SUBSTITUTE(SUBSTITUTE(G746," ","-"),"/","-"),CHAR(39),"")),"")&amp;IF(I746="Duplicate","_Dub"&amp;IF(SUMPRODUCT(($B$2:B746=B746)*($D$2:D746=D746)*($E$2:E746=E746)*($F$2:F746=F746)*($G$2:G746=G746)*($I$2:I746="Duplicate"))&lt;=1,"",SUMPRODUCT(($B$2:B746=B746)*($D$2:D746=D746)*($E$2:E746=E746)*($F$2:F746=F746)*($G$2:G746=G746)*($I$2:I746="Duplicate"))-1),"")&amp;".jpeg")</f>
        <v/>
      </c>
      <c r="L746" s="6"/>
      <c r="M746" s="5" t="str">
        <f>IFERROR(VLOOKUP(E746,Specifications!$A$2:$D$9,2,FALSE),"")</f>
        <v/>
      </c>
      <c r="N746" s="5" t="str">
        <f>IFERROR(VLOOKUP(E746,Specifications!$A$2:$D$9,3,FALSE),"")</f>
        <v/>
      </c>
      <c r="O746" s="5" t="str">
        <f>IFERROR(VLOOKUP(E746,Specifications!$A$2:$D$9,4,FALSE),"")</f>
        <v/>
      </c>
      <c r="P746" s="8" t="str">
        <f t="shared" si="36"/>
        <v/>
      </c>
      <c r="Q746" s="9"/>
    </row>
    <row r="747" spans="1:17" ht="15">
      <c r="A747" s="5" t="str">
        <f t="shared" si="34"/>
        <v/>
      </c>
      <c r="B747" s="6"/>
      <c r="C747" s="5" t="str">
        <f>IFERROR(VLOOKUP(B747,Lists!$A$2:$B$25,2,FALSE),"")</f>
        <v/>
      </c>
      <c r="D747" s="7"/>
      <c r="E747" s="6"/>
      <c r="F747" s="6" t="str">
        <f t="shared" si="35"/>
        <v/>
      </c>
      <c r="G747" s="6"/>
      <c r="H747" s="6"/>
      <c r="I747" s="6"/>
      <c r="J747" s="7"/>
      <c r="K747" s="5" t="str" cm="1">
        <f t="array" ref="K747">IF(OR(A747="",B747="",D747="",E747=""),"",A747&amp;"_"&amp;SUBSTITUTE(B747," ","-")&amp;"_"&amp;D747&amp;"_"&amp;SUBSTITUTE(SUBSTITUTE(E747," ",""),"€","Euro")&amp;"_"&amp;IF(F747="","Unknown",F747)&amp;IF(F747="Commemorative",IF(G747="","","_"&amp;SUBSTITUTE(SUBSTITUTE(SUBSTITUTE(G747," ","-"),"/","-"),CHAR(39),"")),"")&amp;IF(I747="Duplicate","_Dub"&amp;IF(SUMPRODUCT(($B$2:B747=B747)*($D$2:D747=D747)*($E$2:E747=E747)*($F$2:F747=F747)*($G$2:G747=G747)*($I$2:I747="Duplicate"))&lt;=1,"",SUMPRODUCT(($B$2:B747=B747)*($D$2:D747=D747)*($E$2:E747=E747)*($F$2:F747=F747)*($G$2:G747=G747)*($I$2:I747="Duplicate"))-1),"")&amp;".jpeg")</f>
        <v/>
      </c>
      <c r="L747" s="6"/>
      <c r="M747" s="5" t="str">
        <f>IFERROR(VLOOKUP(E747,Specifications!$A$2:$D$9,2,FALSE),"")</f>
        <v/>
      </c>
      <c r="N747" s="5" t="str">
        <f>IFERROR(VLOOKUP(E747,Specifications!$A$2:$D$9,3,FALSE),"")</f>
        <v/>
      </c>
      <c r="O747" s="5" t="str">
        <f>IFERROR(VLOOKUP(E747,Specifications!$A$2:$D$9,4,FALSE),"")</f>
        <v/>
      </c>
      <c r="P747" s="8" t="str">
        <f t="shared" si="36"/>
        <v/>
      </c>
      <c r="Q747" s="9"/>
    </row>
    <row r="748" spans="1:17" ht="15">
      <c r="A748" s="5" t="str">
        <f t="shared" si="34"/>
        <v/>
      </c>
      <c r="B748" s="6"/>
      <c r="C748" s="5" t="str">
        <f>IFERROR(VLOOKUP(B748,Lists!$A$2:$B$25,2,FALSE),"")</f>
        <v/>
      </c>
      <c r="D748" s="7"/>
      <c r="E748" s="6"/>
      <c r="F748" s="6" t="str">
        <f t="shared" si="35"/>
        <v/>
      </c>
      <c r="G748" s="6"/>
      <c r="H748" s="6"/>
      <c r="I748" s="6"/>
      <c r="J748" s="7"/>
      <c r="K748" s="5" t="str" cm="1">
        <f t="array" ref="K748">IF(OR(A748="",B748="",D748="",E748=""),"",A748&amp;"_"&amp;SUBSTITUTE(B748," ","-")&amp;"_"&amp;D748&amp;"_"&amp;SUBSTITUTE(SUBSTITUTE(E748," ",""),"€","Euro")&amp;"_"&amp;IF(F748="","Unknown",F748)&amp;IF(F748="Commemorative",IF(G748="","","_"&amp;SUBSTITUTE(SUBSTITUTE(SUBSTITUTE(G748," ","-"),"/","-"),CHAR(39),"")),"")&amp;IF(I748="Duplicate","_Dub"&amp;IF(SUMPRODUCT(($B$2:B748=B748)*($D$2:D748=D748)*($E$2:E748=E748)*($F$2:F748=F748)*($G$2:G748=G748)*($I$2:I748="Duplicate"))&lt;=1,"",SUMPRODUCT(($B$2:B748=B748)*($D$2:D748=D748)*($E$2:E748=E748)*($F$2:F748=F748)*($G$2:G748=G748)*($I$2:I748="Duplicate"))-1),"")&amp;".jpeg")</f>
        <v/>
      </c>
      <c r="L748" s="6"/>
      <c r="M748" s="5" t="str">
        <f>IFERROR(VLOOKUP(E748,Specifications!$A$2:$D$9,2,FALSE),"")</f>
        <v/>
      </c>
      <c r="N748" s="5" t="str">
        <f>IFERROR(VLOOKUP(E748,Specifications!$A$2:$D$9,3,FALSE),"")</f>
        <v/>
      </c>
      <c r="O748" s="5" t="str">
        <f>IFERROR(VLOOKUP(E748,Specifications!$A$2:$D$9,4,FALSE),"")</f>
        <v/>
      </c>
      <c r="P748" s="8" t="str">
        <f t="shared" si="36"/>
        <v/>
      </c>
      <c r="Q748" s="9"/>
    </row>
    <row r="749" spans="1:17" ht="15">
      <c r="A749" s="5" t="str">
        <f t="shared" si="34"/>
        <v/>
      </c>
      <c r="B749" s="6"/>
      <c r="C749" s="5" t="str">
        <f>IFERROR(VLOOKUP(B749,Lists!$A$2:$B$25,2,FALSE),"")</f>
        <v/>
      </c>
      <c r="D749" s="7"/>
      <c r="E749" s="6"/>
      <c r="F749" s="6" t="str">
        <f t="shared" si="35"/>
        <v/>
      </c>
      <c r="G749" s="6"/>
      <c r="H749" s="6"/>
      <c r="I749" s="6"/>
      <c r="J749" s="7"/>
      <c r="K749" s="5" t="str" cm="1">
        <f t="array" ref="K749">IF(OR(A749="",B749="",D749="",E749=""),"",A749&amp;"_"&amp;SUBSTITUTE(B749," ","-")&amp;"_"&amp;D749&amp;"_"&amp;SUBSTITUTE(SUBSTITUTE(E749," ",""),"€","Euro")&amp;"_"&amp;IF(F749="","Unknown",F749)&amp;IF(F749="Commemorative",IF(G749="","","_"&amp;SUBSTITUTE(SUBSTITUTE(SUBSTITUTE(G749," ","-"),"/","-"),CHAR(39),"")),"")&amp;IF(I749="Duplicate","_Dub"&amp;IF(SUMPRODUCT(($B$2:B749=B749)*($D$2:D749=D749)*($E$2:E749=E749)*($F$2:F749=F749)*($G$2:G749=G749)*($I$2:I749="Duplicate"))&lt;=1,"",SUMPRODUCT(($B$2:B749=B749)*($D$2:D749=D749)*($E$2:E749=E749)*($F$2:F749=F749)*($G$2:G749=G749)*($I$2:I749="Duplicate"))-1),"")&amp;".jpeg")</f>
        <v/>
      </c>
      <c r="L749" s="6"/>
      <c r="M749" s="5" t="str">
        <f>IFERROR(VLOOKUP(E749,Specifications!$A$2:$D$9,2,FALSE),"")</f>
        <v/>
      </c>
      <c r="N749" s="5" t="str">
        <f>IFERROR(VLOOKUP(E749,Specifications!$A$2:$D$9,3,FALSE),"")</f>
        <v/>
      </c>
      <c r="O749" s="5" t="str">
        <f>IFERROR(VLOOKUP(E749,Specifications!$A$2:$D$9,4,FALSE),"")</f>
        <v/>
      </c>
      <c r="P749" s="8" t="str">
        <f t="shared" si="36"/>
        <v/>
      </c>
      <c r="Q749" s="9"/>
    </row>
    <row r="750" spans="1:17" ht="15">
      <c r="A750" s="5" t="str">
        <f t="shared" si="34"/>
        <v/>
      </c>
      <c r="B750" s="6"/>
      <c r="C750" s="5" t="str">
        <f>IFERROR(VLOOKUP(B750,Lists!$A$2:$B$25,2,FALSE),"")</f>
        <v/>
      </c>
      <c r="D750" s="7"/>
      <c r="E750" s="6"/>
      <c r="F750" s="6" t="str">
        <f t="shared" si="35"/>
        <v/>
      </c>
      <c r="G750" s="6"/>
      <c r="H750" s="6"/>
      <c r="I750" s="6"/>
      <c r="J750" s="7"/>
      <c r="K750" s="5" t="str" cm="1">
        <f t="array" ref="K750">IF(OR(A750="",B750="",D750="",E750=""),"",A750&amp;"_"&amp;SUBSTITUTE(B750," ","-")&amp;"_"&amp;D750&amp;"_"&amp;SUBSTITUTE(SUBSTITUTE(E750," ",""),"€","Euro")&amp;"_"&amp;IF(F750="","Unknown",F750)&amp;IF(F750="Commemorative",IF(G750="","","_"&amp;SUBSTITUTE(SUBSTITUTE(SUBSTITUTE(G750," ","-"),"/","-"),CHAR(39),"")),"")&amp;IF(I750="Duplicate","_Dub"&amp;IF(SUMPRODUCT(($B$2:B750=B750)*($D$2:D750=D750)*($E$2:E750=E750)*($F$2:F750=F750)*($G$2:G750=G750)*($I$2:I750="Duplicate"))&lt;=1,"",SUMPRODUCT(($B$2:B750=B750)*($D$2:D750=D750)*($E$2:E750=E750)*($F$2:F750=F750)*($G$2:G750=G750)*($I$2:I750="Duplicate"))-1),"")&amp;".jpeg")</f>
        <v/>
      </c>
      <c r="L750" s="6"/>
      <c r="M750" s="5" t="str">
        <f>IFERROR(VLOOKUP(E750,Specifications!$A$2:$D$9,2,FALSE),"")</f>
        <v/>
      </c>
      <c r="N750" s="5" t="str">
        <f>IFERROR(VLOOKUP(E750,Specifications!$A$2:$D$9,3,FALSE),"")</f>
        <v/>
      </c>
      <c r="O750" s="5" t="str">
        <f>IFERROR(VLOOKUP(E750,Specifications!$A$2:$D$9,4,FALSE),"")</f>
        <v/>
      </c>
      <c r="P750" s="8" t="str">
        <f t="shared" si="36"/>
        <v/>
      </c>
      <c r="Q750" s="9"/>
    </row>
    <row r="751" spans="1:17" ht="15">
      <c r="A751" s="5" t="str">
        <f t="shared" si="34"/>
        <v/>
      </c>
      <c r="B751" s="6"/>
      <c r="C751" s="5" t="str">
        <f>IFERROR(VLOOKUP(B751,Lists!$A$2:$B$25,2,FALSE),"")</f>
        <v/>
      </c>
      <c r="D751" s="7"/>
      <c r="E751" s="6"/>
      <c r="F751" s="6" t="str">
        <f t="shared" si="35"/>
        <v/>
      </c>
      <c r="G751" s="6"/>
      <c r="H751" s="6"/>
      <c r="I751" s="6"/>
      <c r="J751" s="7"/>
      <c r="K751" s="5" t="str" cm="1">
        <f t="array" ref="K751">IF(OR(A751="",B751="",D751="",E751=""),"",A751&amp;"_"&amp;SUBSTITUTE(B751," ","-")&amp;"_"&amp;D751&amp;"_"&amp;SUBSTITUTE(SUBSTITUTE(E751," ",""),"€","Euro")&amp;"_"&amp;IF(F751="","Unknown",F751)&amp;IF(F751="Commemorative",IF(G751="","","_"&amp;SUBSTITUTE(SUBSTITUTE(SUBSTITUTE(G751," ","-"),"/","-"),CHAR(39),"")),"")&amp;IF(I751="Duplicate","_Dub"&amp;IF(SUMPRODUCT(($B$2:B751=B751)*($D$2:D751=D751)*($E$2:E751=E751)*($F$2:F751=F751)*($G$2:G751=G751)*($I$2:I751="Duplicate"))&lt;=1,"",SUMPRODUCT(($B$2:B751=B751)*($D$2:D751=D751)*($E$2:E751=E751)*($F$2:F751=F751)*($G$2:G751=G751)*($I$2:I751="Duplicate"))-1),"")&amp;".jpeg")</f>
        <v/>
      </c>
      <c r="L751" s="6"/>
      <c r="M751" s="5" t="str">
        <f>IFERROR(VLOOKUP(E751,Specifications!$A$2:$D$9,2,FALSE),"")</f>
        <v/>
      </c>
      <c r="N751" s="5" t="str">
        <f>IFERROR(VLOOKUP(E751,Specifications!$A$2:$D$9,3,FALSE),"")</f>
        <v/>
      </c>
      <c r="O751" s="5" t="str">
        <f>IFERROR(VLOOKUP(E751,Specifications!$A$2:$D$9,4,FALSE),"")</f>
        <v/>
      </c>
      <c r="P751" s="8" t="str">
        <f t="shared" si="36"/>
        <v/>
      </c>
      <c r="Q751" s="9"/>
    </row>
    <row r="752" spans="1:17" ht="15">
      <c r="A752" s="5" t="str">
        <f t="shared" si="34"/>
        <v/>
      </c>
      <c r="B752" s="6"/>
      <c r="C752" s="5" t="str">
        <f>IFERROR(VLOOKUP(B752,Lists!$A$2:$B$25,2,FALSE),"")</f>
        <v/>
      </c>
      <c r="D752" s="7"/>
      <c r="E752" s="6"/>
      <c r="F752" s="6" t="str">
        <f t="shared" si="35"/>
        <v/>
      </c>
      <c r="G752" s="6"/>
      <c r="H752" s="6"/>
      <c r="I752" s="6"/>
      <c r="J752" s="7"/>
      <c r="K752" s="5" t="str" cm="1">
        <f t="array" ref="K752">IF(OR(A752="",B752="",D752="",E752=""),"",A752&amp;"_"&amp;SUBSTITUTE(B752," ","-")&amp;"_"&amp;D752&amp;"_"&amp;SUBSTITUTE(SUBSTITUTE(E752," ",""),"€","Euro")&amp;"_"&amp;IF(F752="","Unknown",F752)&amp;IF(F752="Commemorative",IF(G752="","","_"&amp;SUBSTITUTE(SUBSTITUTE(SUBSTITUTE(G752," ","-"),"/","-"),CHAR(39),"")),"")&amp;IF(I752="Duplicate","_Dub"&amp;IF(SUMPRODUCT(($B$2:B752=B752)*($D$2:D752=D752)*($E$2:E752=E752)*($F$2:F752=F752)*($G$2:G752=G752)*($I$2:I752="Duplicate"))&lt;=1,"",SUMPRODUCT(($B$2:B752=B752)*($D$2:D752=D752)*($E$2:E752=E752)*($F$2:F752=F752)*($G$2:G752=G752)*($I$2:I752="Duplicate"))-1),"")&amp;".jpeg")</f>
        <v/>
      </c>
      <c r="L752" s="6"/>
      <c r="M752" s="5" t="str">
        <f>IFERROR(VLOOKUP(E752,Specifications!$A$2:$D$9,2,FALSE),"")</f>
        <v/>
      </c>
      <c r="N752" s="5" t="str">
        <f>IFERROR(VLOOKUP(E752,Specifications!$A$2:$D$9,3,FALSE),"")</f>
        <v/>
      </c>
      <c r="O752" s="5" t="str">
        <f>IFERROR(VLOOKUP(E752,Specifications!$A$2:$D$9,4,FALSE),"")</f>
        <v/>
      </c>
      <c r="P752" s="8" t="str">
        <f t="shared" si="36"/>
        <v/>
      </c>
      <c r="Q752" s="9"/>
    </row>
    <row r="753" spans="1:17" ht="15">
      <c r="A753" s="5" t="str">
        <f t="shared" si="34"/>
        <v/>
      </c>
      <c r="B753" s="6"/>
      <c r="C753" s="5" t="str">
        <f>IFERROR(VLOOKUP(B753,Lists!$A$2:$B$25,2,FALSE),"")</f>
        <v/>
      </c>
      <c r="D753" s="7"/>
      <c r="E753" s="6"/>
      <c r="F753" s="6" t="str">
        <f t="shared" si="35"/>
        <v/>
      </c>
      <c r="G753" s="6"/>
      <c r="H753" s="6"/>
      <c r="I753" s="6"/>
      <c r="J753" s="7"/>
      <c r="K753" s="5" t="str" cm="1">
        <f t="array" ref="K753">IF(OR(A753="",B753="",D753="",E753=""),"",A753&amp;"_"&amp;SUBSTITUTE(B753," ","-")&amp;"_"&amp;D753&amp;"_"&amp;SUBSTITUTE(SUBSTITUTE(E753," ",""),"€","Euro")&amp;"_"&amp;IF(F753="","Unknown",F753)&amp;IF(F753="Commemorative",IF(G753="","","_"&amp;SUBSTITUTE(SUBSTITUTE(SUBSTITUTE(G753," ","-"),"/","-"),CHAR(39),"")),"")&amp;IF(I753="Duplicate","_Dub"&amp;IF(SUMPRODUCT(($B$2:B753=B753)*($D$2:D753=D753)*($E$2:E753=E753)*($F$2:F753=F753)*($G$2:G753=G753)*($I$2:I753="Duplicate"))&lt;=1,"",SUMPRODUCT(($B$2:B753=B753)*($D$2:D753=D753)*($E$2:E753=E753)*($F$2:F753=F753)*($G$2:G753=G753)*($I$2:I753="Duplicate"))-1),"")&amp;".jpeg")</f>
        <v/>
      </c>
      <c r="L753" s="6"/>
      <c r="M753" s="5" t="str">
        <f>IFERROR(VLOOKUP(E753,Specifications!$A$2:$D$9,2,FALSE),"")</f>
        <v/>
      </c>
      <c r="N753" s="5" t="str">
        <f>IFERROR(VLOOKUP(E753,Specifications!$A$2:$D$9,3,FALSE),"")</f>
        <v/>
      </c>
      <c r="O753" s="5" t="str">
        <f>IFERROR(VLOOKUP(E753,Specifications!$A$2:$D$9,4,FALSE),"")</f>
        <v/>
      </c>
      <c r="P753" s="8" t="str">
        <f t="shared" si="36"/>
        <v/>
      </c>
      <c r="Q753" s="9"/>
    </row>
    <row r="754" spans="1:17" ht="15">
      <c r="A754" s="5" t="str">
        <f t="shared" si="34"/>
        <v/>
      </c>
      <c r="B754" s="6"/>
      <c r="C754" s="5" t="str">
        <f>IFERROR(VLOOKUP(B754,Lists!$A$2:$B$25,2,FALSE),"")</f>
        <v/>
      </c>
      <c r="D754" s="7"/>
      <c r="E754" s="6"/>
      <c r="F754" s="6" t="str">
        <f t="shared" si="35"/>
        <v/>
      </c>
      <c r="G754" s="6"/>
      <c r="H754" s="6"/>
      <c r="I754" s="6"/>
      <c r="J754" s="7"/>
      <c r="K754" s="5" t="str" cm="1">
        <f t="array" ref="K754">IF(OR(A754="",B754="",D754="",E754=""),"",A754&amp;"_"&amp;SUBSTITUTE(B754," ","-")&amp;"_"&amp;D754&amp;"_"&amp;SUBSTITUTE(SUBSTITUTE(E754," ",""),"€","Euro")&amp;"_"&amp;IF(F754="","Unknown",F754)&amp;IF(F754="Commemorative",IF(G754="","","_"&amp;SUBSTITUTE(SUBSTITUTE(SUBSTITUTE(G754," ","-"),"/","-"),CHAR(39),"")),"")&amp;IF(I754="Duplicate","_Dub"&amp;IF(SUMPRODUCT(($B$2:B754=B754)*($D$2:D754=D754)*($E$2:E754=E754)*($F$2:F754=F754)*($G$2:G754=G754)*($I$2:I754="Duplicate"))&lt;=1,"",SUMPRODUCT(($B$2:B754=B754)*($D$2:D754=D754)*($E$2:E754=E754)*($F$2:F754=F754)*($G$2:G754=G754)*($I$2:I754="Duplicate"))-1),"")&amp;".jpeg")</f>
        <v/>
      </c>
      <c r="L754" s="6"/>
      <c r="M754" s="5" t="str">
        <f>IFERROR(VLOOKUP(E754,Specifications!$A$2:$D$9,2,FALSE),"")</f>
        <v/>
      </c>
      <c r="N754" s="5" t="str">
        <f>IFERROR(VLOOKUP(E754,Specifications!$A$2:$D$9,3,FALSE),"")</f>
        <v/>
      </c>
      <c r="O754" s="5" t="str">
        <f>IFERROR(VLOOKUP(E754,Specifications!$A$2:$D$9,4,FALSE),"")</f>
        <v/>
      </c>
      <c r="P754" s="8" t="str">
        <f t="shared" si="36"/>
        <v/>
      </c>
      <c r="Q754" s="9"/>
    </row>
    <row r="755" spans="1:17" ht="15">
      <c r="A755" s="5" t="str">
        <f t="shared" si="34"/>
        <v/>
      </c>
      <c r="B755" s="6"/>
      <c r="C755" s="5" t="str">
        <f>IFERROR(VLOOKUP(B755,Lists!$A$2:$B$25,2,FALSE),"")</f>
        <v/>
      </c>
      <c r="D755" s="7"/>
      <c r="E755" s="6"/>
      <c r="F755" s="6" t="str">
        <f t="shared" si="35"/>
        <v/>
      </c>
      <c r="G755" s="6"/>
      <c r="H755" s="6"/>
      <c r="I755" s="6"/>
      <c r="J755" s="7"/>
      <c r="K755" s="5" t="str" cm="1">
        <f t="array" ref="K755">IF(OR(A755="",B755="",D755="",E755=""),"",A755&amp;"_"&amp;SUBSTITUTE(B755," ","-")&amp;"_"&amp;D755&amp;"_"&amp;SUBSTITUTE(SUBSTITUTE(E755," ",""),"€","Euro")&amp;"_"&amp;IF(F755="","Unknown",F755)&amp;IF(F755="Commemorative",IF(G755="","","_"&amp;SUBSTITUTE(SUBSTITUTE(SUBSTITUTE(G755," ","-"),"/","-"),CHAR(39),"")),"")&amp;IF(I755="Duplicate","_Dub"&amp;IF(SUMPRODUCT(($B$2:B755=B755)*($D$2:D755=D755)*($E$2:E755=E755)*($F$2:F755=F755)*($G$2:G755=G755)*($I$2:I755="Duplicate"))&lt;=1,"",SUMPRODUCT(($B$2:B755=B755)*($D$2:D755=D755)*($E$2:E755=E755)*($F$2:F755=F755)*($G$2:G755=G755)*($I$2:I755="Duplicate"))-1),"")&amp;".jpeg")</f>
        <v/>
      </c>
      <c r="L755" s="6"/>
      <c r="M755" s="5" t="str">
        <f>IFERROR(VLOOKUP(E755,Specifications!$A$2:$D$9,2,FALSE),"")</f>
        <v/>
      </c>
      <c r="N755" s="5" t="str">
        <f>IFERROR(VLOOKUP(E755,Specifications!$A$2:$D$9,3,FALSE),"")</f>
        <v/>
      </c>
      <c r="O755" s="5" t="str">
        <f>IFERROR(VLOOKUP(E755,Specifications!$A$2:$D$9,4,FALSE),"")</f>
        <v/>
      </c>
      <c r="P755" s="8" t="str">
        <f t="shared" si="36"/>
        <v/>
      </c>
      <c r="Q755" s="9"/>
    </row>
    <row r="756" spans="1:17" ht="15">
      <c r="A756" s="5" t="str">
        <f t="shared" si="34"/>
        <v/>
      </c>
      <c r="B756" s="6"/>
      <c r="C756" s="5" t="str">
        <f>IFERROR(VLOOKUP(B756,Lists!$A$2:$B$25,2,FALSE),"")</f>
        <v/>
      </c>
      <c r="D756" s="7"/>
      <c r="E756" s="6"/>
      <c r="F756" s="6" t="str">
        <f t="shared" si="35"/>
        <v/>
      </c>
      <c r="G756" s="6"/>
      <c r="H756" s="6"/>
      <c r="I756" s="6"/>
      <c r="J756" s="7"/>
      <c r="K756" s="5" t="str" cm="1">
        <f t="array" ref="K756">IF(OR(A756="",B756="",D756="",E756=""),"",A756&amp;"_"&amp;SUBSTITUTE(B756," ","-")&amp;"_"&amp;D756&amp;"_"&amp;SUBSTITUTE(SUBSTITUTE(E756," ",""),"€","Euro")&amp;"_"&amp;IF(F756="","Unknown",F756)&amp;IF(F756="Commemorative",IF(G756="","","_"&amp;SUBSTITUTE(SUBSTITUTE(SUBSTITUTE(G756," ","-"),"/","-"),CHAR(39),"")),"")&amp;IF(I756="Duplicate","_Dub"&amp;IF(SUMPRODUCT(($B$2:B756=B756)*($D$2:D756=D756)*($E$2:E756=E756)*($F$2:F756=F756)*($G$2:G756=G756)*($I$2:I756="Duplicate"))&lt;=1,"",SUMPRODUCT(($B$2:B756=B756)*($D$2:D756=D756)*($E$2:E756=E756)*($F$2:F756=F756)*($G$2:G756=G756)*($I$2:I756="Duplicate"))-1),"")&amp;".jpeg")</f>
        <v/>
      </c>
      <c r="L756" s="6"/>
      <c r="M756" s="5" t="str">
        <f>IFERROR(VLOOKUP(E756,Specifications!$A$2:$D$9,2,FALSE),"")</f>
        <v/>
      </c>
      <c r="N756" s="5" t="str">
        <f>IFERROR(VLOOKUP(E756,Specifications!$A$2:$D$9,3,FALSE),"")</f>
        <v/>
      </c>
      <c r="O756" s="5" t="str">
        <f>IFERROR(VLOOKUP(E756,Specifications!$A$2:$D$9,4,FALSE),"")</f>
        <v/>
      </c>
      <c r="P756" s="8" t="str">
        <f t="shared" si="36"/>
        <v/>
      </c>
      <c r="Q756" s="9"/>
    </row>
    <row r="757" spans="1:17" ht="15">
      <c r="A757" s="5" t="str">
        <f t="shared" si="34"/>
        <v/>
      </c>
      <c r="B757" s="6"/>
      <c r="C757" s="5" t="str">
        <f>IFERROR(VLOOKUP(B757,Lists!$A$2:$B$25,2,FALSE),"")</f>
        <v/>
      </c>
      <c r="D757" s="7"/>
      <c r="E757" s="6"/>
      <c r="F757" s="6" t="str">
        <f t="shared" si="35"/>
        <v/>
      </c>
      <c r="G757" s="6"/>
      <c r="H757" s="6"/>
      <c r="I757" s="6"/>
      <c r="J757" s="7"/>
      <c r="K757" s="5" t="str" cm="1">
        <f t="array" ref="K757">IF(OR(A757="",B757="",D757="",E757=""),"",A757&amp;"_"&amp;SUBSTITUTE(B757," ","-")&amp;"_"&amp;D757&amp;"_"&amp;SUBSTITUTE(SUBSTITUTE(E757," ",""),"€","Euro")&amp;"_"&amp;IF(F757="","Unknown",F757)&amp;IF(F757="Commemorative",IF(G757="","","_"&amp;SUBSTITUTE(SUBSTITUTE(SUBSTITUTE(G757," ","-"),"/","-"),CHAR(39),"")),"")&amp;IF(I757="Duplicate","_Dub"&amp;IF(SUMPRODUCT(($B$2:B757=B757)*($D$2:D757=D757)*($E$2:E757=E757)*($F$2:F757=F757)*($G$2:G757=G757)*($I$2:I757="Duplicate"))&lt;=1,"",SUMPRODUCT(($B$2:B757=B757)*($D$2:D757=D757)*($E$2:E757=E757)*($F$2:F757=F757)*($G$2:G757=G757)*($I$2:I757="Duplicate"))-1),"")&amp;".jpeg")</f>
        <v/>
      </c>
      <c r="L757" s="6"/>
      <c r="M757" s="5" t="str">
        <f>IFERROR(VLOOKUP(E757,Specifications!$A$2:$D$9,2,FALSE),"")</f>
        <v/>
      </c>
      <c r="N757" s="5" t="str">
        <f>IFERROR(VLOOKUP(E757,Specifications!$A$2:$D$9,3,FALSE),"")</f>
        <v/>
      </c>
      <c r="O757" s="5" t="str">
        <f>IFERROR(VLOOKUP(E757,Specifications!$A$2:$D$9,4,FALSE),"")</f>
        <v/>
      </c>
      <c r="P757" s="8" t="str">
        <f t="shared" si="36"/>
        <v/>
      </c>
      <c r="Q757" s="9"/>
    </row>
    <row r="758" spans="1:17" ht="15">
      <c r="A758" s="5" t="str">
        <f t="shared" si="34"/>
        <v/>
      </c>
      <c r="B758" s="6"/>
      <c r="C758" s="5" t="str">
        <f>IFERROR(VLOOKUP(B758,Lists!$A$2:$B$25,2,FALSE),"")</f>
        <v/>
      </c>
      <c r="D758" s="7"/>
      <c r="E758" s="6"/>
      <c r="F758" s="6" t="str">
        <f t="shared" si="35"/>
        <v/>
      </c>
      <c r="G758" s="6"/>
      <c r="H758" s="6"/>
      <c r="I758" s="6"/>
      <c r="J758" s="7"/>
      <c r="K758" s="5" t="str" cm="1">
        <f t="array" ref="K758">IF(OR(A758="",B758="",D758="",E758=""),"",A758&amp;"_"&amp;SUBSTITUTE(B758," ","-")&amp;"_"&amp;D758&amp;"_"&amp;SUBSTITUTE(SUBSTITUTE(E758," ",""),"€","Euro")&amp;"_"&amp;IF(F758="","Unknown",F758)&amp;IF(F758="Commemorative",IF(G758="","","_"&amp;SUBSTITUTE(SUBSTITUTE(SUBSTITUTE(G758," ","-"),"/","-"),CHAR(39),"")),"")&amp;IF(I758="Duplicate","_Dub"&amp;IF(SUMPRODUCT(($B$2:B758=B758)*($D$2:D758=D758)*($E$2:E758=E758)*($F$2:F758=F758)*($G$2:G758=G758)*($I$2:I758="Duplicate"))&lt;=1,"",SUMPRODUCT(($B$2:B758=B758)*($D$2:D758=D758)*($E$2:E758=E758)*($F$2:F758=F758)*($G$2:G758=G758)*($I$2:I758="Duplicate"))-1),"")&amp;".jpeg")</f>
        <v/>
      </c>
      <c r="L758" s="6"/>
      <c r="M758" s="5" t="str">
        <f>IFERROR(VLOOKUP(E758,Specifications!$A$2:$D$9,2,FALSE),"")</f>
        <v/>
      </c>
      <c r="N758" s="5" t="str">
        <f>IFERROR(VLOOKUP(E758,Specifications!$A$2:$D$9,3,FALSE),"")</f>
        <v/>
      </c>
      <c r="O758" s="5" t="str">
        <f>IFERROR(VLOOKUP(E758,Specifications!$A$2:$D$9,4,FALSE),"")</f>
        <v/>
      </c>
      <c r="P758" s="8" t="str">
        <f t="shared" si="36"/>
        <v/>
      </c>
      <c r="Q758" s="9"/>
    </row>
    <row r="759" spans="1:17" ht="15">
      <c r="A759" s="5" t="str">
        <f t="shared" si="34"/>
        <v/>
      </c>
      <c r="B759" s="6"/>
      <c r="C759" s="5" t="str">
        <f>IFERROR(VLOOKUP(B759,Lists!$A$2:$B$25,2,FALSE),"")</f>
        <v/>
      </c>
      <c r="D759" s="7"/>
      <c r="E759" s="6"/>
      <c r="F759" s="6" t="str">
        <f t="shared" si="35"/>
        <v/>
      </c>
      <c r="G759" s="6"/>
      <c r="H759" s="6"/>
      <c r="I759" s="6"/>
      <c r="J759" s="7"/>
      <c r="K759" s="5" t="str" cm="1">
        <f t="array" ref="K759">IF(OR(A759="",B759="",D759="",E759=""),"",A759&amp;"_"&amp;SUBSTITUTE(B759," ","-")&amp;"_"&amp;D759&amp;"_"&amp;SUBSTITUTE(SUBSTITUTE(E759," ",""),"€","Euro")&amp;"_"&amp;IF(F759="","Unknown",F759)&amp;IF(F759="Commemorative",IF(G759="","","_"&amp;SUBSTITUTE(SUBSTITUTE(SUBSTITUTE(G759," ","-"),"/","-"),CHAR(39),"")),"")&amp;IF(I759="Duplicate","_Dub"&amp;IF(SUMPRODUCT(($B$2:B759=B759)*($D$2:D759=D759)*($E$2:E759=E759)*($F$2:F759=F759)*($G$2:G759=G759)*($I$2:I759="Duplicate"))&lt;=1,"",SUMPRODUCT(($B$2:B759=B759)*($D$2:D759=D759)*($E$2:E759=E759)*($F$2:F759=F759)*($G$2:G759=G759)*($I$2:I759="Duplicate"))-1),"")&amp;".jpeg")</f>
        <v/>
      </c>
      <c r="L759" s="6"/>
      <c r="M759" s="5" t="str">
        <f>IFERROR(VLOOKUP(E759,Specifications!$A$2:$D$9,2,FALSE),"")</f>
        <v/>
      </c>
      <c r="N759" s="5" t="str">
        <f>IFERROR(VLOOKUP(E759,Specifications!$A$2:$D$9,3,FALSE),"")</f>
        <v/>
      </c>
      <c r="O759" s="5" t="str">
        <f>IFERROR(VLOOKUP(E759,Specifications!$A$2:$D$9,4,FALSE),"")</f>
        <v/>
      </c>
      <c r="P759" s="8" t="str">
        <f t="shared" si="36"/>
        <v/>
      </c>
      <c r="Q759" s="9"/>
    </row>
    <row r="760" spans="1:17" ht="15">
      <c r="A760" s="5" t="str">
        <f t="shared" si="34"/>
        <v/>
      </c>
      <c r="B760" s="6"/>
      <c r="C760" s="5" t="str">
        <f>IFERROR(VLOOKUP(B760,Lists!$A$2:$B$25,2,FALSE),"")</f>
        <v/>
      </c>
      <c r="D760" s="7"/>
      <c r="E760" s="6"/>
      <c r="F760" s="6" t="str">
        <f t="shared" si="35"/>
        <v/>
      </c>
      <c r="G760" s="6"/>
      <c r="H760" s="6"/>
      <c r="I760" s="6"/>
      <c r="J760" s="7"/>
      <c r="K760" s="5" t="str" cm="1">
        <f t="array" ref="K760">IF(OR(A760="",B760="",D760="",E760=""),"",A760&amp;"_"&amp;SUBSTITUTE(B760," ","-")&amp;"_"&amp;D760&amp;"_"&amp;SUBSTITUTE(SUBSTITUTE(E760," ",""),"€","Euro")&amp;"_"&amp;IF(F760="","Unknown",F760)&amp;IF(F760="Commemorative",IF(G760="","","_"&amp;SUBSTITUTE(SUBSTITUTE(SUBSTITUTE(G760," ","-"),"/","-"),CHAR(39),"")),"")&amp;IF(I760="Duplicate","_Dub"&amp;IF(SUMPRODUCT(($B$2:B760=B760)*($D$2:D760=D760)*($E$2:E760=E760)*($F$2:F760=F760)*($G$2:G760=G760)*($I$2:I760="Duplicate"))&lt;=1,"",SUMPRODUCT(($B$2:B760=B760)*($D$2:D760=D760)*($E$2:E760=E760)*($F$2:F760=F760)*($G$2:G760=G760)*($I$2:I760="Duplicate"))-1),"")&amp;".jpeg")</f>
        <v/>
      </c>
      <c r="L760" s="6"/>
      <c r="M760" s="5" t="str">
        <f>IFERROR(VLOOKUP(E760,Specifications!$A$2:$D$9,2,FALSE),"")</f>
        <v/>
      </c>
      <c r="N760" s="5" t="str">
        <f>IFERROR(VLOOKUP(E760,Specifications!$A$2:$D$9,3,FALSE),"")</f>
        <v/>
      </c>
      <c r="O760" s="5" t="str">
        <f>IFERROR(VLOOKUP(E760,Specifications!$A$2:$D$9,4,FALSE),"")</f>
        <v/>
      </c>
      <c r="P760" s="8" t="str">
        <f t="shared" si="36"/>
        <v/>
      </c>
      <c r="Q760" s="9"/>
    </row>
    <row r="761" spans="1:17" ht="15">
      <c r="A761" s="5" t="str">
        <f t="shared" si="34"/>
        <v/>
      </c>
      <c r="B761" s="6"/>
      <c r="C761" s="5" t="str">
        <f>IFERROR(VLOOKUP(B761,Lists!$A$2:$B$25,2,FALSE),"")</f>
        <v/>
      </c>
      <c r="D761" s="7"/>
      <c r="E761" s="6"/>
      <c r="F761" s="6" t="str">
        <f t="shared" si="35"/>
        <v/>
      </c>
      <c r="G761" s="6"/>
      <c r="H761" s="6"/>
      <c r="I761" s="6"/>
      <c r="J761" s="7"/>
      <c r="K761" s="5" t="str" cm="1">
        <f t="array" ref="K761">IF(OR(A761="",B761="",D761="",E761=""),"",A761&amp;"_"&amp;SUBSTITUTE(B761," ","-")&amp;"_"&amp;D761&amp;"_"&amp;SUBSTITUTE(SUBSTITUTE(E761," ",""),"€","Euro")&amp;"_"&amp;IF(F761="","Unknown",F761)&amp;IF(F761="Commemorative",IF(G761="","","_"&amp;SUBSTITUTE(SUBSTITUTE(SUBSTITUTE(G761," ","-"),"/","-"),CHAR(39),"")),"")&amp;IF(I761="Duplicate","_Dub"&amp;IF(SUMPRODUCT(($B$2:B761=B761)*($D$2:D761=D761)*($E$2:E761=E761)*($F$2:F761=F761)*($G$2:G761=G761)*($I$2:I761="Duplicate"))&lt;=1,"",SUMPRODUCT(($B$2:B761=B761)*($D$2:D761=D761)*($E$2:E761=E761)*($F$2:F761=F761)*($G$2:G761=G761)*($I$2:I761="Duplicate"))-1),"")&amp;".jpeg")</f>
        <v/>
      </c>
      <c r="L761" s="6"/>
      <c r="M761" s="5" t="str">
        <f>IFERROR(VLOOKUP(E761,Specifications!$A$2:$D$9,2,FALSE),"")</f>
        <v/>
      </c>
      <c r="N761" s="5" t="str">
        <f>IFERROR(VLOOKUP(E761,Specifications!$A$2:$D$9,3,FALSE),"")</f>
        <v/>
      </c>
      <c r="O761" s="5" t="str">
        <f>IFERROR(VLOOKUP(E761,Specifications!$A$2:$D$9,4,FALSE),"")</f>
        <v/>
      </c>
      <c r="P761" s="8" t="str">
        <f t="shared" si="36"/>
        <v/>
      </c>
      <c r="Q761" s="9"/>
    </row>
    <row r="762" spans="1:17" ht="15">
      <c r="A762" s="5" t="str">
        <f t="shared" si="34"/>
        <v/>
      </c>
      <c r="B762" s="6"/>
      <c r="C762" s="5" t="str">
        <f>IFERROR(VLOOKUP(B762,Lists!$A$2:$B$25,2,FALSE),"")</f>
        <v/>
      </c>
      <c r="D762" s="7"/>
      <c r="E762" s="6"/>
      <c r="F762" s="6" t="str">
        <f t="shared" si="35"/>
        <v/>
      </c>
      <c r="G762" s="6"/>
      <c r="H762" s="6"/>
      <c r="I762" s="6"/>
      <c r="J762" s="7"/>
      <c r="K762" s="5" t="str" cm="1">
        <f t="array" ref="K762">IF(OR(A762="",B762="",D762="",E762=""),"",A762&amp;"_"&amp;SUBSTITUTE(B762," ","-")&amp;"_"&amp;D762&amp;"_"&amp;SUBSTITUTE(SUBSTITUTE(E762," ",""),"€","Euro")&amp;"_"&amp;IF(F762="","Unknown",F762)&amp;IF(F762="Commemorative",IF(G762="","","_"&amp;SUBSTITUTE(SUBSTITUTE(SUBSTITUTE(G762," ","-"),"/","-"),CHAR(39),"")),"")&amp;IF(I762="Duplicate","_Dub"&amp;IF(SUMPRODUCT(($B$2:B762=B762)*($D$2:D762=D762)*($E$2:E762=E762)*($F$2:F762=F762)*($G$2:G762=G762)*($I$2:I762="Duplicate"))&lt;=1,"",SUMPRODUCT(($B$2:B762=B762)*($D$2:D762=D762)*($E$2:E762=E762)*($F$2:F762=F762)*($G$2:G762=G762)*($I$2:I762="Duplicate"))-1),"")&amp;".jpeg")</f>
        <v/>
      </c>
      <c r="L762" s="6"/>
      <c r="M762" s="5" t="str">
        <f>IFERROR(VLOOKUP(E762,Specifications!$A$2:$D$9,2,FALSE),"")</f>
        <v/>
      </c>
      <c r="N762" s="5" t="str">
        <f>IFERROR(VLOOKUP(E762,Specifications!$A$2:$D$9,3,FALSE),"")</f>
        <v/>
      </c>
      <c r="O762" s="5" t="str">
        <f>IFERROR(VLOOKUP(E762,Specifications!$A$2:$D$9,4,FALSE),"")</f>
        <v/>
      </c>
      <c r="P762" s="8" t="str">
        <f t="shared" si="36"/>
        <v/>
      </c>
      <c r="Q762" s="9"/>
    </row>
    <row r="763" spans="1:17" ht="15">
      <c r="A763" s="5" t="str">
        <f t="shared" si="34"/>
        <v/>
      </c>
      <c r="B763" s="6"/>
      <c r="C763" s="5" t="str">
        <f>IFERROR(VLOOKUP(B763,Lists!$A$2:$B$25,2,FALSE),"")</f>
        <v/>
      </c>
      <c r="D763" s="7"/>
      <c r="E763" s="6"/>
      <c r="F763" s="6" t="str">
        <f t="shared" si="35"/>
        <v/>
      </c>
      <c r="G763" s="6"/>
      <c r="H763" s="6"/>
      <c r="I763" s="6"/>
      <c r="J763" s="7"/>
      <c r="K763" s="5" t="str" cm="1">
        <f t="array" ref="K763">IF(OR(A763="",B763="",D763="",E763=""),"",A763&amp;"_"&amp;SUBSTITUTE(B763," ","-")&amp;"_"&amp;D763&amp;"_"&amp;SUBSTITUTE(SUBSTITUTE(E763," ",""),"€","Euro")&amp;"_"&amp;IF(F763="","Unknown",F763)&amp;IF(F763="Commemorative",IF(G763="","","_"&amp;SUBSTITUTE(SUBSTITUTE(SUBSTITUTE(G763," ","-"),"/","-"),CHAR(39),"")),"")&amp;IF(I763="Duplicate","_Dub"&amp;IF(SUMPRODUCT(($B$2:B763=B763)*($D$2:D763=D763)*($E$2:E763=E763)*($F$2:F763=F763)*($G$2:G763=G763)*($I$2:I763="Duplicate"))&lt;=1,"",SUMPRODUCT(($B$2:B763=B763)*($D$2:D763=D763)*($E$2:E763=E763)*($F$2:F763=F763)*($G$2:G763=G763)*($I$2:I763="Duplicate"))-1),"")&amp;".jpeg")</f>
        <v/>
      </c>
      <c r="L763" s="6"/>
      <c r="M763" s="5" t="str">
        <f>IFERROR(VLOOKUP(E763,Specifications!$A$2:$D$9,2,FALSE),"")</f>
        <v/>
      </c>
      <c r="N763" s="5" t="str">
        <f>IFERROR(VLOOKUP(E763,Specifications!$A$2:$D$9,3,FALSE),"")</f>
        <v/>
      </c>
      <c r="O763" s="5" t="str">
        <f>IFERROR(VLOOKUP(E763,Specifications!$A$2:$D$9,4,FALSE),"")</f>
        <v/>
      </c>
      <c r="P763" s="8" t="str">
        <f t="shared" si="36"/>
        <v/>
      </c>
      <c r="Q763" s="9"/>
    </row>
    <row r="764" spans="1:17" ht="15">
      <c r="A764" s="5" t="str">
        <f t="shared" si="34"/>
        <v/>
      </c>
      <c r="B764" s="6"/>
      <c r="C764" s="5" t="str">
        <f>IFERROR(VLOOKUP(B764,Lists!$A$2:$B$25,2,FALSE),"")</f>
        <v/>
      </c>
      <c r="D764" s="7"/>
      <c r="E764" s="6"/>
      <c r="F764" s="6" t="str">
        <f t="shared" si="35"/>
        <v/>
      </c>
      <c r="G764" s="6"/>
      <c r="H764" s="6"/>
      <c r="I764" s="6"/>
      <c r="J764" s="7"/>
      <c r="K764" s="5" t="str" cm="1">
        <f t="array" ref="K764">IF(OR(A764="",B764="",D764="",E764=""),"",A764&amp;"_"&amp;SUBSTITUTE(B764," ","-")&amp;"_"&amp;D764&amp;"_"&amp;SUBSTITUTE(SUBSTITUTE(E764," ",""),"€","Euro")&amp;"_"&amp;IF(F764="","Unknown",F764)&amp;IF(F764="Commemorative",IF(G764="","","_"&amp;SUBSTITUTE(SUBSTITUTE(SUBSTITUTE(G764," ","-"),"/","-"),CHAR(39),"")),"")&amp;IF(I764="Duplicate","_Dub"&amp;IF(SUMPRODUCT(($B$2:B764=B764)*($D$2:D764=D764)*($E$2:E764=E764)*($F$2:F764=F764)*($G$2:G764=G764)*($I$2:I764="Duplicate"))&lt;=1,"",SUMPRODUCT(($B$2:B764=B764)*($D$2:D764=D764)*($E$2:E764=E764)*($F$2:F764=F764)*($G$2:G764=G764)*($I$2:I764="Duplicate"))-1),"")&amp;".jpeg")</f>
        <v/>
      </c>
      <c r="L764" s="6"/>
      <c r="M764" s="5" t="str">
        <f>IFERROR(VLOOKUP(E764,Specifications!$A$2:$D$9,2,FALSE),"")</f>
        <v/>
      </c>
      <c r="N764" s="5" t="str">
        <f>IFERROR(VLOOKUP(E764,Specifications!$A$2:$D$9,3,FALSE),"")</f>
        <v/>
      </c>
      <c r="O764" s="5" t="str">
        <f>IFERROR(VLOOKUP(E764,Specifications!$A$2:$D$9,4,FALSE),"")</f>
        <v/>
      </c>
      <c r="P764" s="8" t="str">
        <f t="shared" si="36"/>
        <v/>
      </c>
      <c r="Q764" s="9"/>
    </row>
    <row r="765" spans="1:17" ht="15">
      <c r="A765" s="5" t="str">
        <f t="shared" si="34"/>
        <v/>
      </c>
      <c r="B765" s="6"/>
      <c r="C765" s="5" t="str">
        <f>IFERROR(VLOOKUP(B765,Lists!$A$2:$B$25,2,FALSE),"")</f>
        <v/>
      </c>
      <c r="D765" s="7"/>
      <c r="E765" s="6"/>
      <c r="F765" s="6" t="str">
        <f t="shared" si="35"/>
        <v/>
      </c>
      <c r="G765" s="6"/>
      <c r="H765" s="6"/>
      <c r="I765" s="6"/>
      <c r="J765" s="7"/>
      <c r="K765" s="5" t="str" cm="1">
        <f t="array" ref="K765">IF(OR(A765="",B765="",D765="",E765=""),"",A765&amp;"_"&amp;SUBSTITUTE(B765," ","-")&amp;"_"&amp;D765&amp;"_"&amp;SUBSTITUTE(SUBSTITUTE(E765," ",""),"€","Euro")&amp;"_"&amp;IF(F765="","Unknown",F765)&amp;IF(F765="Commemorative",IF(G765="","","_"&amp;SUBSTITUTE(SUBSTITUTE(SUBSTITUTE(G765," ","-"),"/","-"),CHAR(39),"")),"")&amp;IF(I765="Duplicate","_Dub"&amp;IF(SUMPRODUCT(($B$2:B765=B765)*($D$2:D765=D765)*($E$2:E765=E765)*($F$2:F765=F765)*($G$2:G765=G765)*($I$2:I765="Duplicate"))&lt;=1,"",SUMPRODUCT(($B$2:B765=B765)*($D$2:D765=D765)*($E$2:E765=E765)*($F$2:F765=F765)*($G$2:G765=G765)*($I$2:I765="Duplicate"))-1),"")&amp;".jpeg")</f>
        <v/>
      </c>
      <c r="L765" s="6"/>
      <c r="M765" s="5" t="str">
        <f>IFERROR(VLOOKUP(E765,Specifications!$A$2:$D$9,2,FALSE),"")</f>
        <v/>
      </c>
      <c r="N765" s="5" t="str">
        <f>IFERROR(VLOOKUP(E765,Specifications!$A$2:$D$9,3,FALSE),"")</f>
        <v/>
      </c>
      <c r="O765" s="5" t="str">
        <f>IFERROR(VLOOKUP(E765,Specifications!$A$2:$D$9,4,FALSE),"")</f>
        <v/>
      </c>
      <c r="P765" s="8" t="str">
        <f t="shared" si="36"/>
        <v/>
      </c>
      <c r="Q765" s="9"/>
    </row>
    <row r="766" spans="1:17" ht="15">
      <c r="A766" s="5" t="str">
        <f t="shared" si="34"/>
        <v/>
      </c>
      <c r="B766" s="6"/>
      <c r="C766" s="5" t="str">
        <f>IFERROR(VLOOKUP(B766,Lists!$A$2:$B$25,2,FALSE),"")</f>
        <v/>
      </c>
      <c r="D766" s="7"/>
      <c r="E766" s="6"/>
      <c r="F766" s="6" t="str">
        <f t="shared" si="35"/>
        <v/>
      </c>
      <c r="G766" s="6"/>
      <c r="H766" s="6"/>
      <c r="I766" s="6"/>
      <c r="J766" s="7"/>
      <c r="K766" s="5" t="str" cm="1">
        <f t="array" ref="K766">IF(OR(A766="",B766="",D766="",E766=""),"",A766&amp;"_"&amp;SUBSTITUTE(B766," ","-")&amp;"_"&amp;D766&amp;"_"&amp;SUBSTITUTE(SUBSTITUTE(E766," ",""),"€","Euro")&amp;"_"&amp;IF(F766="","Unknown",F766)&amp;IF(F766="Commemorative",IF(G766="","","_"&amp;SUBSTITUTE(SUBSTITUTE(SUBSTITUTE(G766," ","-"),"/","-"),CHAR(39),"")),"")&amp;IF(I766="Duplicate","_Dub"&amp;IF(SUMPRODUCT(($B$2:B766=B766)*($D$2:D766=D766)*($E$2:E766=E766)*($F$2:F766=F766)*($G$2:G766=G766)*($I$2:I766="Duplicate"))&lt;=1,"",SUMPRODUCT(($B$2:B766=B766)*($D$2:D766=D766)*($E$2:E766=E766)*($F$2:F766=F766)*($G$2:G766=G766)*($I$2:I766="Duplicate"))-1),"")&amp;".jpeg")</f>
        <v/>
      </c>
      <c r="L766" s="6"/>
      <c r="M766" s="5" t="str">
        <f>IFERROR(VLOOKUP(E766,Specifications!$A$2:$D$9,2,FALSE),"")</f>
        <v/>
      </c>
      <c r="N766" s="5" t="str">
        <f>IFERROR(VLOOKUP(E766,Specifications!$A$2:$D$9,3,FALSE),"")</f>
        <v/>
      </c>
      <c r="O766" s="5" t="str">
        <f>IFERROR(VLOOKUP(E766,Specifications!$A$2:$D$9,4,FALSE),"")</f>
        <v/>
      </c>
      <c r="P766" s="8" t="str">
        <f t="shared" si="36"/>
        <v/>
      </c>
      <c r="Q766" s="9"/>
    </row>
    <row r="767" spans="1:17" ht="15">
      <c r="A767" s="5" t="str">
        <f t="shared" si="34"/>
        <v/>
      </c>
      <c r="B767" s="6"/>
      <c r="C767" s="5" t="str">
        <f>IFERROR(VLOOKUP(B767,Lists!$A$2:$B$25,2,FALSE),"")</f>
        <v/>
      </c>
      <c r="D767" s="7"/>
      <c r="E767" s="6"/>
      <c r="F767" s="6" t="str">
        <f t="shared" si="35"/>
        <v/>
      </c>
      <c r="G767" s="6"/>
      <c r="H767" s="6"/>
      <c r="I767" s="6"/>
      <c r="J767" s="7"/>
      <c r="K767" s="5" t="str" cm="1">
        <f t="array" ref="K767">IF(OR(A767="",B767="",D767="",E767=""),"",A767&amp;"_"&amp;SUBSTITUTE(B767," ","-")&amp;"_"&amp;D767&amp;"_"&amp;SUBSTITUTE(SUBSTITUTE(E767," ",""),"€","Euro")&amp;"_"&amp;IF(F767="","Unknown",F767)&amp;IF(F767="Commemorative",IF(G767="","","_"&amp;SUBSTITUTE(SUBSTITUTE(SUBSTITUTE(G767," ","-"),"/","-"),CHAR(39),"")),"")&amp;IF(I767="Duplicate","_Dub"&amp;IF(SUMPRODUCT(($B$2:B767=B767)*($D$2:D767=D767)*($E$2:E767=E767)*($F$2:F767=F767)*($G$2:G767=G767)*($I$2:I767="Duplicate"))&lt;=1,"",SUMPRODUCT(($B$2:B767=B767)*($D$2:D767=D767)*($E$2:E767=E767)*($F$2:F767=F767)*($G$2:G767=G767)*($I$2:I767="Duplicate"))-1),"")&amp;".jpeg")</f>
        <v/>
      </c>
      <c r="L767" s="6"/>
      <c r="M767" s="5" t="str">
        <f>IFERROR(VLOOKUP(E767,Specifications!$A$2:$D$9,2,FALSE),"")</f>
        <v/>
      </c>
      <c r="N767" s="5" t="str">
        <f>IFERROR(VLOOKUP(E767,Specifications!$A$2:$D$9,3,FALSE),"")</f>
        <v/>
      </c>
      <c r="O767" s="5" t="str">
        <f>IFERROR(VLOOKUP(E767,Specifications!$A$2:$D$9,4,FALSE),"")</f>
        <v/>
      </c>
      <c r="P767" s="8" t="str">
        <f t="shared" si="36"/>
        <v/>
      </c>
      <c r="Q767" s="9"/>
    </row>
    <row r="768" spans="1:17" ht="15">
      <c r="A768" s="5" t="str">
        <f t="shared" si="34"/>
        <v/>
      </c>
      <c r="B768" s="6"/>
      <c r="C768" s="5" t="str">
        <f>IFERROR(VLOOKUP(B768,Lists!$A$2:$B$25,2,FALSE),"")</f>
        <v/>
      </c>
      <c r="D768" s="7"/>
      <c r="E768" s="6"/>
      <c r="F768" s="6" t="str">
        <f t="shared" si="35"/>
        <v/>
      </c>
      <c r="G768" s="6"/>
      <c r="H768" s="6"/>
      <c r="I768" s="6"/>
      <c r="J768" s="7"/>
      <c r="K768" s="5" t="str" cm="1">
        <f t="array" ref="K768">IF(OR(A768="",B768="",D768="",E768=""),"",A768&amp;"_"&amp;SUBSTITUTE(B768," ","-")&amp;"_"&amp;D768&amp;"_"&amp;SUBSTITUTE(SUBSTITUTE(E768," ",""),"€","Euro")&amp;"_"&amp;IF(F768="","Unknown",F768)&amp;IF(F768="Commemorative",IF(G768="","","_"&amp;SUBSTITUTE(SUBSTITUTE(SUBSTITUTE(G768," ","-"),"/","-"),CHAR(39),"")),"")&amp;IF(I768="Duplicate","_Dub"&amp;IF(SUMPRODUCT(($B$2:B768=B768)*($D$2:D768=D768)*($E$2:E768=E768)*($F$2:F768=F768)*($G$2:G768=G768)*($I$2:I768="Duplicate"))&lt;=1,"",SUMPRODUCT(($B$2:B768=B768)*($D$2:D768=D768)*($E$2:E768=E768)*($F$2:F768=F768)*($G$2:G768=G768)*($I$2:I768="Duplicate"))-1),"")&amp;".jpeg")</f>
        <v/>
      </c>
      <c r="L768" s="6"/>
      <c r="M768" s="5" t="str">
        <f>IFERROR(VLOOKUP(E768,Specifications!$A$2:$D$9,2,FALSE),"")</f>
        <v/>
      </c>
      <c r="N768" s="5" t="str">
        <f>IFERROR(VLOOKUP(E768,Specifications!$A$2:$D$9,3,FALSE),"")</f>
        <v/>
      </c>
      <c r="O768" s="5" t="str">
        <f>IFERROR(VLOOKUP(E768,Specifications!$A$2:$D$9,4,FALSE),"")</f>
        <v/>
      </c>
      <c r="P768" s="8" t="str">
        <f t="shared" si="36"/>
        <v/>
      </c>
      <c r="Q768" s="9"/>
    </row>
    <row r="769" spans="1:17" ht="15">
      <c r="A769" s="5" t="str">
        <f t="shared" si="34"/>
        <v/>
      </c>
      <c r="B769" s="6"/>
      <c r="C769" s="5" t="str">
        <f>IFERROR(VLOOKUP(B769,Lists!$A$2:$B$25,2,FALSE),"")</f>
        <v/>
      </c>
      <c r="D769" s="7"/>
      <c r="E769" s="6"/>
      <c r="F769" s="6" t="str">
        <f t="shared" si="35"/>
        <v/>
      </c>
      <c r="G769" s="6"/>
      <c r="H769" s="6"/>
      <c r="I769" s="6"/>
      <c r="J769" s="7"/>
      <c r="K769" s="5" t="str" cm="1">
        <f t="array" ref="K769">IF(OR(A769="",B769="",D769="",E769=""),"",A769&amp;"_"&amp;SUBSTITUTE(B769," ","-")&amp;"_"&amp;D769&amp;"_"&amp;SUBSTITUTE(SUBSTITUTE(E769," ",""),"€","Euro")&amp;"_"&amp;IF(F769="","Unknown",F769)&amp;IF(F769="Commemorative",IF(G769="","","_"&amp;SUBSTITUTE(SUBSTITUTE(SUBSTITUTE(G769," ","-"),"/","-"),CHAR(39),"")),"")&amp;IF(I769="Duplicate","_Dub"&amp;IF(SUMPRODUCT(($B$2:B769=B769)*($D$2:D769=D769)*($E$2:E769=E769)*($F$2:F769=F769)*($G$2:G769=G769)*($I$2:I769="Duplicate"))&lt;=1,"",SUMPRODUCT(($B$2:B769=B769)*($D$2:D769=D769)*($E$2:E769=E769)*($F$2:F769=F769)*($G$2:G769=G769)*($I$2:I769="Duplicate"))-1),"")&amp;".jpeg")</f>
        <v/>
      </c>
      <c r="L769" s="6"/>
      <c r="M769" s="5" t="str">
        <f>IFERROR(VLOOKUP(E769,Specifications!$A$2:$D$9,2,FALSE),"")</f>
        <v/>
      </c>
      <c r="N769" s="5" t="str">
        <f>IFERROR(VLOOKUP(E769,Specifications!$A$2:$D$9,3,FALSE),"")</f>
        <v/>
      </c>
      <c r="O769" s="5" t="str">
        <f>IFERROR(VLOOKUP(E769,Specifications!$A$2:$D$9,4,FALSE),"")</f>
        <v/>
      </c>
      <c r="P769" s="8" t="str">
        <f t="shared" si="36"/>
        <v/>
      </c>
      <c r="Q769" s="9"/>
    </row>
    <row r="770" spans="1:17" ht="15">
      <c r="A770" s="5" t="str">
        <f t="shared" ref="A770:A833" si="37">IF(B770="","",TEXT(ROW()-1,"000"))</f>
        <v/>
      </c>
      <c r="B770" s="6"/>
      <c r="C770" s="5" t="str">
        <f>IFERROR(VLOOKUP(B770,Lists!$A$2:$B$25,2,FALSE),"")</f>
        <v/>
      </c>
      <c r="D770" s="7"/>
      <c r="E770" s="6"/>
      <c r="F770" s="6" t="str">
        <f t="shared" ref="F770:F833" si="38">IF(E770="","",IF(E770="2 €","", "Regular"))</f>
        <v/>
      </c>
      <c r="G770" s="6"/>
      <c r="H770" s="6"/>
      <c r="I770" s="6"/>
      <c r="J770" s="7"/>
      <c r="K770" s="5" t="str" cm="1">
        <f t="array" ref="K770">IF(OR(A770="",B770="",D770="",E770=""),"",A770&amp;"_"&amp;SUBSTITUTE(B770," ","-")&amp;"_"&amp;D770&amp;"_"&amp;SUBSTITUTE(SUBSTITUTE(E770," ",""),"€","Euro")&amp;"_"&amp;IF(F770="","Unknown",F770)&amp;IF(F770="Commemorative",IF(G770="","","_"&amp;SUBSTITUTE(SUBSTITUTE(SUBSTITUTE(G770," ","-"),"/","-"),CHAR(39),"")),"")&amp;IF(I770="Duplicate","_Dub"&amp;IF(SUMPRODUCT(($B$2:B770=B770)*($D$2:D770=D770)*($E$2:E770=E770)*($F$2:F770=F770)*($G$2:G770=G770)*($I$2:I770="Duplicate"))&lt;=1,"",SUMPRODUCT(($B$2:B770=B770)*($D$2:D770=D770)*($E$2:E770=E770)*($F$2:F770=F770)*($G$2:G770=G770)*($I$2:I770="Duplicate"))-1),"")&amp;".jpeg")</f>
        <v/>
      </c>
      <c r="L770" s="6"/>
      <c r="M770" s="5" t="str">
        <f>IFERROR(VLOOKUP(E770,Specifications!$A$2:$D$9,2,FALSE),"")</f>
        <v/>
      </c>
      <c r="N770" s="5" t="str">
        <f>IFERROR(VLOOKUP(E770,Specifications!$A$2:$D$9,3,FALSE),"")</f>
        <v/>
      </c>
      <c r="O770" s="5" t="str">
        <f>IFERROR(VLOOKUP(E770,Specifications!$A$2:$D$9,4,FALSE),"")</f>
        <v/>
      </c>
      <c r="P770" s="8" t="str">
        <f t="shared" ref="P770:P833" si="39">IF(OR(B770="",E770="",F770=""),"",IF(F770="Regular","Regular "&amp;E770&amp;" circulation coin of "&amp;B770&amp;".",IF(F770="Commemorative",IF(G770="","",E770&amp;" commemorative coin of "&amp;B770&amp;" – "&amp;G770&amp;"."),"")))</f>
        <v/>
      </c>
      <c r="Q770" s="9"/>
    </row>
    <row r="771" spans="1:17" ht="15">
      <c r="A771" s="5" t="str">
        <f t="shared" si="37"/>
        <v/>
      </c>
      <c r="B771" s="6"/>
      <c r="C771" s="5" t="str">
        <f>IFERROR(VLOOKUP(B771,Lists!$A$2:$B$25,2,FALSE),"")</f>
        <v/>
      </c>
      <c r="D771" s="7"/>
      <c r="E771" s="6"/>
      <c r="F771" s="6" t="str">
        <f t="shared" si="38"/>
        <v/>
      </c>
      <c r="G771" s="6"/>
      <c r="H771" s="6"/>
      <c r="I771" s="6"/>
      <c r="J771" s="7"/>
      <c r="K771" s="5" t="str" cm="1">
        <f t="array" ref="K771">IF(OR(A771="",B771="",D771="",E771=""),"",A771&amp;"_"&amp;SUBSTITUTE(B771," ","-")&amp;"_"&amp;D771&amp;"_"&amp;SUBSTITUTE(SUBSTITUTE(E771," ",""),"€","Euro")&amp;"_"&amp;IF(F771="","Unknown",F771)&amp;IF(F771="Commemorative",IF(G771="","","_"&amp;SUBSTITUTE(SUBSTITUTE(SUBSTITUTE(G771," ","-"),"/","-"),CHAR(39),"")),"")&amp;IF(I771="Duplicate","_Dub"&amp;IF(SUMPRODUCT(($B$2:B771=B771)*($D$2:D771=D771)*($E$2:E771=E771)*($F$2:F771=F771)*($G$2:G771=G771)*($I$2:I771="Duplicate"))&lt;=1,"",SUMPRODUCT(($B$2:B771=B771)*($D$2:D771=D771)*($E$2:E771=E771)*($F$2:F771=F771)*($G$2:G771=G771)*($I$2:I771="Duplicate"))-1),"")&amp;".jpeg")</f>
        <v/>
      </c>
      <c r="L771" s="6"/>
      <c r="M771" s="5" t="str">
        <f>IFERROR(VLOOKUP(E771,Specifications!$A$2:$D$9,2,FALSE),"")</f>
        <v/>
      </c>
      <c r="N771" s="5" t="str">
        <f>IFERROR(VLOOKUP(E771,Specifications!$A$2:$D$9,3,FALSE),"")</f>
        <v/>
      </c>
      <c r="O771" s="5" t="str">
        <f>IFERROR(VLOOKUP(E771,Specifications!$A$2:$D$9,4,FALSE),"")</f>
        <v/>
      </c>
      <c r="P771" s="8" t="str">
        <f t="shared" si="39"/>
        <v/>
      </c>
      <c r="Q771" s="9"/>
    </row>
    <row r="772" spans="1:17" ht="15">
      <c r="A772" s="5" t="str">
        <f t="shared" si="37"/>
        <v/>
      </c>
      <c r="B772" s="6"/>
      <c r="C772" s="5" t="str">
        <f>IFERROR(VLOOKUP(B772,Lists!$A$2:$B$25,2,FALSE),"")</f>
        <v/>
      </c>
      <c r="D772" s="7"/>
      <c r="E772" s="6"/>
      <c r="F772" s="6" t="str">
        <f t="shared" si="38"/>
        <v/>
      </c>
      <c r="G772" s="6"/>
      <c r="H772" s="6"/>
      <c r="I772" s="6"/>
      <c r="J772" s="7"/>
      <c r="K772" s="5" t="str" cm="1">
        <f t="array" ref="K772">IF(OR(A772="",B772="",D772="",E772=""),"",A772&amp;"_"&amp;SUBSTITUTE(B772," ","-")&amp;"_"&amp;D772&amp;"_"&amp;SUBSTITUTE(SUBSTITUTE(E772," ",""),"€","Euro")&amp;"_"&amp;IF(F772="","Unknown",F772)&amp;IF(F772="Commemorative",IF(G772="","","_"&amp;SUBSTITUTE(SUBSTITUTE(SUBSTITUTE(G772," ","-"),"/","-"),CHAR(39),"")),"")&amp;IF(I772="Duplicate","_Dub"&amp;IF(SUMPRODUCT(($B$2:B772=B772)*($D$2:D772=D772)*($E$2:E772=E772)*($F$2:F772=F772)*($G$2:G772=G772)*($I$2:I772="Duplicate"))&lt;=1,"",SUMPRODUCT(($B$2:B772=B772)*($D$2:D772=D772)*($E$2:E772=E772)*($F$2:F772=F772)*($G$2:G772=G772)*($I$2:I772="Duplicate"))-1),"")&amp;".jpeg")</f>
        <v/>
      </c>
      <c r="L772" s="6"/>
      <c r="M772" s="5" t="str">
        <f>IFERROR(VLOOKUP(E772,Specifications!$A$2:$D$9,2,FALSE),"")</f>
        <v/>
      </c>
      <c r="N772" s="5" t="str">
        <f>IFERROR(VLOOKUP(E772,Specifications!$A$2:$D$9,3,FALSE),"")</f>
        <v/>
      </c>
      <c r="O772" s="5" t="str">
        <f>IFERROR(VLOOKUP(E772,Specifications!$A$2:$D$9,4,FALSE),"")</f>
        <v/>
      </c>
      <c r="P772" s="8" t="str">
        <f t="shared" si="39"/>
        <v/>
      </c>
      <c r="Q772" s="9"/>
    </row>
    <row r="773" spans="1:17" ht="15">
      <c r="A773" s="5" t="str">
        <f t="shared" si="37"/>
        <v/>
      </c>
      <c r="B773" s="6"/>
      <c r="C773" s="5" t="str">
        <f>IFERROR(VLOOKUP(B773,Lists!$A$2:$B$25,2,FALSE),"")</f>
        <v/>
      </c>
      <c r="D773" s="7"/>
      <c r="E773" s="6"/>
      <c r="F773" s="6" t="str">
        <f t="shared" si="38"/>
        <v/>
      </c>
      <c r="G773" s="6"/>
      <c r="H773" s="6"/>
      <c r="I773" s="6"/>
      <c r="J773" s="7"/>
      <c r="K773" s="5" t="str" cm="1">
        <f t="array" ref="K773">IF(OR(A773="",B773="",D773="",E773=""),"",A773&amp;"_"&amp;SUBSTITUTE(B773," ","-")&amp;"_"&amp;D773&amp;"_"&amp;SUBSTITUTE(SUBSTITUTE(E773," ",""),"€","Euro")&amp;"_"&amp;IF(F773="","Unknown",F773)&amp;IF(F773="Commemorative",IF(G773="","","_"&amp;SUBSTITUTE(SUBSTITUTE(SUBSTITUTE(G773," ","-"),"/","-"),CHAR(39),"")),"")&amp;IF(I773="Duplicate","_Dub"&amp;IF(SUMPRODUCT(($B$2:B773=B773)*($D$2:D773=D773)*($E$2:E773=E773)*($F$2:F773=F773)*($G$2:G773=G773)*($I$2:I773="Duplicate"))&lt;=1,"",SUMPRODUCT(($B$2:B773=B773)*($D$2:D773=D773)*($E$2:E773=E773)*($F$2:F773=F773)*($G$2:G773=G773)*($I$2:I773="Duplicate"))-1),"")&amp;".jpeg")</f>
        <v/>
      </c>
      <c r="L773" s="6"/>
      <c r="M773" s="5" t="str">
        <f>IFERROR(VLOOKUP(E773,Specifications!$A$2:$D$9,2,FALSE),"")</f>
        <v/>
      </c>
      <c r="N773" s="5" t="str">
        <f>IFERROR(VLOOKUP(E773,Specifications!$A$2:$D$9,3,FALSE),"")</f>
        <v/>
      </c>
      <c r="O773" s="5" t="str">
        <f>IFERROR(VLOOKUP(E773,Specifications!$A$2:$D$9,4,FALSE),"")</f>
        <v/>
      </c>
      <c r="P773" s="8" t="str">
        <f t="shared" si="39"/>
        <v/>
      </c>
      <c r="Q773" s="9"/>
    </row>
    <row r="774" spans="1:17" ht="15">
      <c r="A774" s="5" t="str">
        <f t="shared" si="37"/>
        <v/>
      </c>
      <c r="B774" s="6"/>
      <c r="C774" s="5" t="str">
        <f>IFERROR(VLOOKUP(B774,Lists!$A$2:$B$25,2,FALSE),"")</f>
        <v/>
      </c>
      <c r="D774" s="7"/>
      <c r="E774" s="6"/>
      <c r="F774" s="6" t="str">
        <f t="shared" si="38"/>
        <v/>
      </c>
      <c r="G774" s="6"/>
      <c r="H774" s="6"/>
      <c r="I774" s="6"/>
      <c r="J774" s="7"/>
      <c r="K774" s="5" t="str" cm="1">
        <f t="array" ref="K774">IF(OR(A774="",B774="",D774="",E774=""),"",A774&amp;"_"&amp;SUBSTITUTE(B774," ","-")&amp;"_"&amp;D774&amp;"_"&amp;SUBSTITUTE(SUBSTITUTE(E774," ",""),"€","Euro")&amp;"_"&amp;IF(F774="","Unknown",F774)&amp;IF(F774="Commemorative",IF(G774="","","_"&amp;SUBSTITUTE(SUBSTITUTE(SUBSTITUTE(G774," ","-"),"/","-"),CHAR(39),"")),"")&amp;IF(I774="Duplicate","_Dub"&amp;IF(SUMPRODUCT(($B$2:B774=B774)*($D$2:D774=D774)*($E$2:E774=E774)*($F$2:F774=F774)*($G$2:G774=G774)*($I$2:I774="Duplicate"))&lt;=1,"",SUMPRODUCT(($B$2:B774=B774)*($D$2:D774=D774)*($E$2:E774=E774)*($F$2:F774=F774)*($G$2:G774=G774)*($I$2:I774="Duplicate"))-1),"")&amp;".jpeg")</f>
        <v/>
      </c>
      <c r="L774" s="6"/>
      <c r="M774" s="5" t="str">
        <f>IFERROR(VLOOKUP(E774,Specifications!$A$2:$D$9,2,FALSE),"")</f>
        <v/>
      </c>
      <c r="N774" s="5" t="str">
        <f>IFERROR(VLOOKUP(E774,Specifications!$A$2:$D$9,3,FALSE),"")</f>
        <v/>
      </c>
      <c r="O774" s="5" t="str">
        <f>IFERROR(VLOOKUP(E774,Specifications!$A$2:$D$9,4,FALSE),"")</f>
        <v/>
      </c>
      <c r="P774" s="8" t="str">
        <f t="shared" si="39"/>
        <v/>
      </c>
      <c r="Q774" s="9"/>
    </row>
    <row r="775" spans="1:17" ht="15">
      <c r="A775" s="5" t="str">
        <f t="shared" si="37"/>
        <v/>
      </c>
      <c r="B775" s="6"/>
      <c r="C775" s="5" t="str">
        <f>IFERROR(VLOOKUP(B775,Lists!$A$2:$B$25,2,FALSE),"")</f>
        <v/>
      </c>
      <c r="D775" s="7"/>
      <c r="E775" s="6"/>
      <c r="F775" s="6" t="str">
        <f t="shared" si="38"/>
        <v/>
      </c>
      <c r="G775" s="6"/>
      <c r="H775" s="6"/>
      <c r="I775" s="6"/>
      <c r="J775" s="7"/>
      <c r="K775" s="5" t="str" cm="1">
        <f t="array" ref="K775">IF(OR(A775="",B775="",D775="",E775=""),"",A775&amp;"_"&amp;SUBSTITUTE(B775," ","-")&amp;"_"&amp;D775&amp;"_"&amp;SUBSTITUTE(SUBSTITUTE(E775," ",""),"€","Euro")&amp;"_"&amp;IF(F775="","Unknown",F775)&amp;IF(F775="Commemorative",IF(G775="","","_"&amp;SUBSTITUTE(SUBSTITUTE(SUBSTITUTE(G775," ","-"),"/","-"),CHAR(39),"")),"")&amp;IF(I775="Duplicate","_Dub"&amp;IF(SUMPRODUCT(($B$2:B775=B775)*($D$2:D775=D775)*($E$2:E775=E775)*($F$2:F775=F775)*($G$2:G775=G775)*($I$2:I775="Duplicate"))&lt;=1,"",SUMPRODUCT(($B$2:B775=B775)*($D$2:D775=D775)*($E$2:E775=E775)*($F$2:F775=F775)*($G$2:G775=G775)*($I$2:I775="Duplicate"))-1),"")&amp;".jpeg")</f>
        <v/>
      </c>
      <c r="L775" s="6"/>
      <c r="M775" s="5" t="str">
        <f>IFERROR(VLOOKUP(E775,Specifications!$A$2:$D$9,2,FALSE),"")</f>
        <v/>
      </c>
      <c r="N775" s="5" t="str">
        <f>IFERROR(VLOOKUP(E775,Specifications!$A$2:$D$9,3,FALSE),"")</f>
        <v/>
      </c>
      <c r="O775" s="5" t="str">
        <f>IFERROR(VLOOKUP(E775,Specifications!$A$2:$D$9,4,FALSE),"")</f>
        <v/>
      </c>
      <c r="P775" s="8" t="str">
        <f t="shared" si="39"/>
        <v/>
      </c>
      <c r="Q775" s="9"/>
    </row>
    <row r="776" spans="1:17" ht="15">
      <c r="A776" s="5" t="str">
        <f t="shared" si="37"/>
        <v/>
      </c>
      <c r="B776" s="6"/>
      <c r="C776" s="5" t="str">
        <f>IFERROR(VLOOKUP(B776,Lists!$A$2:$B$25,2,FALSE),"")</f>
        <v/>
      </c>
      <c r="D776" s="7"/>
      <c r="E776" s="6"/>
      <c r="F776" s="6" t="str">
        <f t="shared" si="38"/>
        <v/>
      </c>
      <c r="G776" s="6"/>
      <c r="H776" s="6"/>
      <c r="I776" s="6"/>
      <c r="J776" s="7"/>
      <c r="K776" s="5" t="str" cm="1">
        <f t="array" ref="K776">IF(OR(A776="",B776="",D776="",E776=""),"",A776&amp;"_"&amp;SUBSTITUTE(B776," ","-")&amp;"_"&amp;D776&amp;"_"&amp;SUBSTITUTE(SUBSTITUTE(E776," ",""),"€","Euro")&amp;"_"&amp;IF(F776="","Unknown",F776)&amp;IF(F776="Commemorative",IF(G776="","","_"&amp;SUBSTITUTE(SUBSTITUTE(SUBSTITUTE(G776," ","-"),"/","-"),CHAR(39),"")),"")&amp;IF(I776="Duplicate","_Dub"&amp;IF(SUMPRODUCT(($B$2:B776=B776)*($D$2:D776=D776)*($E$2:E776=E776)*($F$2:F776=F776)*($G$2:G776=G776)*($I$2:I776="Duplicate"))&lt;=1,"",SUMPRODUCT(($B$2:B776=B776)*($D$2:D776=D776)*($E$2:E776=E776)*($F$2:F776=F776)*($G$2:G776=G776)*($I$2:I776="Duplicate"))-1),"")&amp;".jpeg")</f>
        <v/>
      </c>
      <c r="L776" s="6"/>
      <c r="M776" s="5" t="str">
        <f>IFERROR(VLOOKUP(E776,Specifications!$A$2:$D$9,2,FALSE),"")</f>
        <v/>
      </c>
      <c r="N776" s="5" t="str">
        <f>IFERROR(VLOOKUP(E776,Specifications!$A$2:$D$9,3,FALSE),"")</f>
        <v/>
      </c>
      <c r="O776" s="5" t="str">
        <f>IFERROR(VLOOKUP(E776,Specifications!$A$2:$D$9,4,FALSE),"")</f>
        <v/>
      </c>
      <c r="P776" s="8" t="str">
        <f t="shared" si="39"/>
        <v/>
      </c>
      <c r="Q776" s="9"/>
    </row>
    <row r="777" spans="1:17" ht="15">
      <c r="A777" s="5" t="str">
        <f t="shared" si="37"/>
        <v/>
      </c>
      <c r="B777" s="6"/>
      <c r="C777" s="5" t="str">
        <f>IFERROR(VLOOKUP(B777,Lists!$A$2:$B$25,2,FALSE),"")</f>
        <v/>
      </c>
      <c r="D777" s="7"/>
      <c r="E777" s="6"/>
      <c r="F777" s="6" t="str">
        <f t="shared" si="38"/>
        <v/>
      </c>
      <c r="G777" s="6"/>
      <c r="H777" s="6"/>
      <c r="I777" s="6"/>
      <c r="J777" s="7"/>
      <c r="K777" s="5" t="str" cm="1">
        <f t="array" ref="K777">IF(OR(A777="",B777="",D777="",E777=""),"",A777&amp;"_"&amp;SUBSTITUTE(B777," ","-")&amp;"_"&amp;D777&amp;"_"&amp;SUBSTITUTE(SUBSTITUTE(E777," ",""),"€","Euro")&amp;"_"&amp;IF(F777="","Unknown",F777)&amp;IF(F777="Commemorative",IF(G777="","","_"&amp;SUBSTITUTE(SUBSTITUTE(SUBSTITUTE(G777," ","-"),"/","-"),CHAR(39),"")),"")&amp;IF(I777="Duplicate","_Dub"&amp;IF(SUMPRODUCT(($B$2:B777=B777)*($D$2:D777=D777)*($E$2:E777=E777)*($F$2:F777=F777)*($G$2:G777=G777)*($I$2:I777="Duplicate"))&lt;=1,"",SUMPRODUCT(($B$2:B777=B777)*($D$2:D777=D777)*($E$2:E777=E777)*($F$2:F777=F777)*($G$2:G777=G777)*($I$2:I777="Duplicate"))-1),"")&amp;".jpeg")</f>
        <v/>
      </c>
      <c r="L777" s="6"/>
      <c r="M777" s="5" t="str">
        <f>IFERROR(VLOOKUP(E777,Specifications!$A$2:$D$9,2,FALSE),"")</f>
        <v/>
      </c>
      <c r="N777" s="5" t="str">
        <f>IFERROR(VLOOKUP(E777,Specifications!$A$2:$D$9,3,FALSE),"")</f>
        <v/>
      </c>
      <c r="O777" s="5" t="str">
        <f>IFERROR(VLOOKUP(E777,Specifications!$A$2:$D$9,4,FALSE),"")</f>
        <v/>
      </c>
      <c r="P777" s="8" t="str">
        <f t="shared" si="39"/>
        <v/>
      </c>
      <c r="Q777" s="9"/>
    </row>
    <row r="778" spans="1:17" ht="15">
      <c r="A778" s="5" t="str">
        <f t="shared" si="37"/>
        <v/>
      </c>
      <c r="B778" s="6"/>
      <c r="C778" s="5" t="str">
        <f>IFERROR(VLOOKUP(B778,Lists!$A$2:$B$25,2,FALSE),"")</f>
        <v/>
      </c>
      <c r="D778" s="7"/>
      <c r="E778" s="6"/>
      <c r="F778" s="6" t="str">
        <f t="shared" si="38"/>
        <v/>
      </c>
      <c r="G778" s="6"/>
      <c r="H778" s="6"/>
      <c r="I778" s="6"/>
      <c r="J778" s="7"/>
      <c r="K778" s="5" t="str" cm="1">
        <f t="array" ref="K778">IF(OR(A778="",B778="",D778="",E778=""),"",A778&amp;"_"&amp;SUBSTITUTE(B778," ","-")&amp;"_"&amp;D778&amp;"_"&amp;SUBSTITUTE(SUBSTITUTE(E778," ",""),"€","Euro")&amp;"_"&amp;IF(F778="","Unknown",F778)&amp;IF(F778="Commemorative",IF(G778="","","_"&amp;SUBSTITUTE(SUBSTITUTE(SUBSTITUTE(G778," ","-"),"/","-"),CHAR(39),"")),"")&amp;IF(I778="Duplicate","_Dub"&amp;IF(SUMPRODUCT(($B$2:B778=B778)*($D$2:D778=D778)*($E$2:E778=E778)*($F$2:F778=F778)*($G$2:G778=G778)*($I$2:I778="Duplicate"))&lt;=1,"",SUMPRODUCT(($B$2:B778=B778)*($D$2:D778=D778)*($E$2:E778=E778)*($F$2:F778=F778)*($G$2:G778=G778)*($I$2:I778="Duplicate"))-1),"")&amp;".jpeg")</f>
        <v/>
      </c>
      <c r="L778" s="6"/>
      <c r="M778" s="5" t="str">
        <f>IFERROR(VLOOKUP(E778,Specifications!$A$2:$D$9,2,FALSE),"")</f>
        <v/>
      </c>
      <c r="N778" s="5" t="str">
        <f>IFERROR(VLOOKUP(E778,Specifications!$A$2:$D$9,3,FALSE),"")</f>
        <v/>
      </c>
      <c r="O778" s="5" t="str">
        <f>IFERROR(VLOOKUP(E778,Specifications!$A$2:$D$9,4,FALSE),"")</f>
        <v/>
      </c>
      <c r="P778" s="8" t="str">
        <f t="shared" si="39"/>
        <v/>
      </c>
      <c r="Q778" s="9"/>
    </row>
    <row r="779" spans="1:17" ht="15">
      <c r="A779" s="5" t="str">
        <f t="shared" si="37"/>
        <v/>
      </c>
      <c r="B779" s="6"/>
      <c r="C779" s="5" t="str">
        <f>IFERROR(VLOOKUP(B779,Lists!$A$2:$B$25,2,FALSE),"")</f>
        <v/>
      </c>
      <c r="D779" s="7"/>
      <c r="E779" s="6"/>
      <c r="F779" s="6" t="str">
        <f t="shared" si="38"/>
        <v/>
      </c>
      <c r="G779" s="6"/>
      <c r="H779" s="6"/>
      <c r="I779" s="6"/>
      <c r="J779" s="7"/>
      <c r="K779" s="5" t="str" cm="1">
        <f t="array" ref="K779">IF(OR(A779="",B779="",D779="",E779=""),"",A779&amp;"_"&amp;SUBSTITUTE(B779," ","-")&amp;"_"&amp;D779&amp;"_"&amp;SUBSTITUTE(SUBSTITUTE(E779," ",""),"€","Euro")&amp;"_"&amp;IF(F779="","Unknown",F779)&amp;IF(F779="Commemorative",IF(G779="","","_"&amp;SUBSTITUTE(SUBSTITUTE(SUBSTITUTE(G779," ","-"),"/","-"),CHAR(39),"")),"")&amp;IF(I779="Duplicate","_Dub"&amp;IF(SUMPRODUCT(($B$2:B779=B779)*($D$2:D779=D779)*($E$2:E779=E779)*($F$2:F779=F779)*($G$2:G779=G779)*($I$2:I779="Duplicate"))&lt;=1,"",SUMPRODUCT(($B$2:B779=B779)*($D$2:D779=D779)*($E$2:E779=E779)*($F$2:F779=F779)*($G$2:G779=G779)*($I$2:I779="Duplicate"))-1),"")&amp;".jpeg")</f>
        <v/>
      </c>
      <c r="L779" s="6"/>
      <c r="M779" s="5" t="str">
        <f>IFERROR(VLOOKUP(E779,Specifications!$A$2:$D$9,2,FALSE),"")</f>
        <v/>
      </c>
      <c r="N779" s="5" t="str">
        <f>IFERROR(VLOOKUP(E779,Specifications!$A$2:$D$9,3,FALSE),"")</f>
        <v/>
      </c>
      <c r="O779" s="5" t="str">
        <f>IFERROR(VLOOKUP(E779,Specifications!$A$2:$D$9,4,FALSE),"")</f>
        <v/>
      </c>
      <c r="P779" s="8" t="str">
        <f t="shared" si="39"/>
        <v/>
      </c>
      <c r="Q779" s="9"/>
    </row>
    <row r="780" spans="1:17" ht="15">
      <c r="A780" s="5" t="str">
        <f t="shared" si="37"/>
        <v/>
      </c>
      <c r="B780" s="6"/>
      <c r="C780" s="5" t="str">
        <f>IFERROR(VLOOKUP(B780,Lists!$A$2:$B$25,2,FALSE),"")</f>
        <v/>
      </c>
      <c r="D780" s="7"/>
      <c r="E780" s="6"/>
      <c r="F780" s="6" t="str">
        <f t="shared" si="38"/>
        <v/>
      </c>
      <c r="G780" s="6"/>
      <c r="H780" s="6"/>
      <c r="I780" s="6"/>
      <c r="J780" s="7"/>
      <c r="K780" s="5" t="str" cm="1">
        <f t="array" ref="K780">IF(OR(A780="",B780="",D780="",E780=""),"",A780&amp;"_"&amp;SUBSTITUTE(B780," ","-")&amp;"_"&amp;D780&amp;"_"&amp;SUBSTITUTE(SUBSTITUTE(E780," ",""),"€","Euro")&amp;"_"&amp;IF(F780="","Unknown",F780)&amp;IF(F780="Commemorative",IF(G780="","","_"&amp;SUBSTITUTE(SUBSTITUTE(SUBSTITUTE(G780," ","-"),"/","-"),CHAR(39),"")),"")&amp;IF(I780="Duplicate","_Dub"&amp;IF(SUMPRODUCT(($B$2:B780=B780)*($D$2:D780=D780)*($E$2:E780=E780)*($F$2:F780=F780)*($G$2:G780=G780)*($I$2:I780="Duplicate"))&lt;=1,"",SUMPRODUCT(($B$2:B780=B780)*($D$2:D780=D780)*($E$2:E780=E780)*($F$2:F780=F780)*($G$2:G780=G780)*($I$2:I780="Duplicate"))-1),"")&amp;".jpeg")</f>
        <v/>
      </c>
      <c r="L780" s="6"/>
      <c r="M780" s="5" t="str">
        <f>IFERROR(VLOOKUP(E780,Specifications!$A$2:$D$9,2,FALSE),"")</f>
        <v/>
      </c>
      <c r="N780" s="5" t="str">
        <f>IFERROR(VLOOKUP(E780,Specifications!$A$2:$D$9,3,FALSE),"")</f>
        <v/>
      </c>
      <c r="O780" s="5" t="str">
        <f>IFERROR(VLOOKUP(E780,Specifications!$A$2:$D$9,4,FALSE),"")</f>
        <v/>
      </c>
      <c r="P780" s="8" t="str">
        <f t="shared" si="39"/>
        <v/>
      </c>
      <c r="Q780" s="9"/>
    </row>
    <row r="781" spans="1:17" ht="15">
      <c r="A781" s="5" t="str">
        <f t="shared" si="37"/>
        <v/>
      </c>
      <c r="B781" s="6"/>
      <c r="C781" s="5" t="str">
        <f>IFERROR(VLOOKUP(B781,Lists!$A$2:$B$25,2,FALSE),"")</f>
        <v/>
      </c>
      <c r="D781" s="7"/>
      <c r="E781" s="6"/>
      <c r="F781" s="6" t="str">
        <f t="shared" si="38"/>
        <v/>
      </c>
      <c r="G781" s="6"/>
      <c r="H781" s="6"/>
      <c r="I781" s="6"/>
      <c r="J781" s="7"/>
      <c r="K781" s="5" t="str" cm="1">
        <f t="array" ref="K781">IF(OR(A781="",B781="",D781="",E781=""),"",A781&amp;"_"&amp;SUBSTITUTE(B781," ","-")&amp;"_"&amp;D781&amp;"_"&amp;SUBSTITUTE(SUBSTITUTE(E781," ",""),"€","Euro")&amp;"_"&amp;IF(F781="","Unknown",F781)&amp;IF(F781="Commemorative",IF(G781="","","_"&amp;SUBSTITUTE(SUBSTITUTE(SUBSTITUTE(G781," ","-"),"/","-"),CHAR(39),"")),"")&amp;IF(I781="Duplicate","_Dub"&amp;IF(SUMPRODUCT(($B$2:B781=B781)*($D$2:D781=D781)*($E$2:E781=E781)*($F$2:F781=F781)*($G$2:G781=G781)*($I$2:I781="Duplicate"))&lt;=1,"",SUMPRODUCT(($B$2:B781=B781)*($D$2:D781=D781)*($E$2:E781=E781)*($F$2:F781=F781)*($G$2:G781=G781)*($I$2:I781="Duplicate"))-1),"")&amp;".jpeg")</f>
        <v/>
      </c>
      <c r="L781" s="6"/>
      <c r="M781" s="5" t="str">
        <f>IFERROR(VLOOKUP(E781,Specifications!$A$2:$D$9,2,FALSE),"")</f>
        <v/>
      </c>
      <c r="N781" s="5" t="str">
        <f>IFERROR(VLOOKUP(E781,Specifications!$A$2:$D$9,3,FALSE),"")</f>
        <v/>
      </c>
      <c r="O781" s="5" t="str">
        <f>IFERROR(VLOOKUP(E781,Specifications!$A$2:$D$9,4,FALSE),"")</f>
        <v/>
      </c>
      <c r="P781" s="8" t="str">
        <f t="shared" si="39"/>
        <v/>
      </c>
      <c r="Q781" s="9"/>
    </row>
    <row r="782" spans="1:17" ht="15">
      <c r="A782" s="5" t="str">
        <f t="shared" si="37"/>
        <v/>
      </c>
      <c r="B782" s="6"/>
      <c r="C782" s="5" t="str">
        <f>IFERROR(VLOOKUP(B782,Lists!$A$2:$B$25,2,FALSE),"")</f>
        <v/>
      </c>
      <c r="D782" s="7"/>
      <c r="E782" s="6"/>
      <c r="F782" s="6" t="str">
        <f t="shared" si="38"/>
        <v/>
      </c>
      <c r="G782" s="6"/>
      <c r="H782" s="6"/>
      <c r="I782" s="6"/>
      <c r="J782" s="7"/>
      <c r="K782" s="5" t="str" cm="1">
        <f t="array" ref="K782">IF(OR(A782="",B782="",D782="",E782=""),"",A782&amp;"_"&amp;SUBSTITUTE(B782," ","-")&amp;"_"&amp;D782&amp;"_"&amp;SUBSTITUTE(SUBSTITUTE(E782," ",""),"€","Euro")&amp;"_"&amp;IF(F782="","Unknown",F782)&amp;IF(F782="Commemorative",IF(G782="","","_"&amp;SUBSTITUTE(SUBSTITUTE(SUBSTITUTE(G782," ","-"),"/","-"),CHAR(39),"")),"")&amp;IF(I782="Duplicate","_Dub"&amp;IF(SUMPRODUCT(($B$2:B782=B782)*($D$2:D782=D782)*($E$2:E782=E782)*($F$2:F782=F782)*($G$2:G782=G782)*($I$2:I782="Duplicate"))&lt;=1,"",SUMPRODUCT(($B$2:B782=B782)*($D$2:D782=D782)*($E$2:E782=E782)*($F$2:F782=F782)*($G$2:G782=G782)*($I$2:I782="Duplicate"))-1),"")&amp;".jpeg")</f>
        <v/>
      </c>
      <c r="L782" s="6"/>
      <c r="M782" s="5" t="str">
        <f>IFERROR(VLOOKUP(E782,Specifications!$A$2:$D$9,2,FALSE),"")</f>
        <v/>
      </c>
      <c r="N782" s="5" t="str">
        <f>IFERROR(VLOOKUP(E782,Specifications!$A$2:$D$9,3,FALSE),"")</f>
        <v/>
      </c>
      <c r="O782" s="5" t="str">
        <f>IFERROR(VLOOKUP(E782,Specifications!$A$2:$D$9,4,FALSE),"")</f>
        <v/>
      </c>
      <c r="P782" s="8" t="str">
        <f t="shared" si="39"/>
        <v/>
      </c>
      <c r="Q782" s="9"/>
    </row>
    <row r="783" spans="1:17" ht="15">
      <c r="A783" s="5" t="str">
        <f t="shared" si="37"/>
        <v/>
      </c>
      <c r="B783" s="6"/>
      <c r="C783" s="5" t="str">
        <f>IFERROR(VLOOKUP(B783,Lists!$A$2:$B$25,2,FALSE),"")</f>
        <v/>
      </c>
      <c r="D783" s="7"/>
      <c r="E783" s="6"/>
      <c r="F783" s="6" t="str">
        <f t="shared" si="38"/>
        <v/>
      </c>
      <c r="G783" s="6"/>
      <c r="H783" s="6"/>
      <c r="I783" s="6"/>
      <c r="J783" s="7"/>
      <c r="K783" s="5" t="str" cm="1">
        <f t="array" ref="K783">IF(OR(A783="",B783="",D783="",E783=""),"",A783&amp;"_"&amp;SUBSTITUTE(B783," ","-")&amp;"_"&amp;D783&amp;"_"&amp;SUBSTITUTE(SUBSTITUTE(E783," ",""),"€","Euro")&amp;"_"&amp;IF(F783="","Unknown",F783)&amp;IF(F783="Commemorative",IF(G783="","","_"&amp;SUBSTITUTE(SUBSTITUTE(SUBSTITUTE(G783," ","-"),"/","-"),CHAR(39),"")),"")&amp;IF(I783="Duplicate","_Dub"&amp;IF(SUMPRODUCT(($B$2:B783=B783)*($D$2:D783=D783)*($E$2:E783=E783)*($F$2:F783=F783)*($G$2:G783=G783)*($I$2:I783="Duplicate"))&lt;=1,"",SUMPRODUCT(($B$2:B783=B783)*($D$2:D783=D783)*($E$2:E783=E783)*($F$2:F783=F783)*($G$2:G783=G783)*($I$2:I783="Duplicate"))-1),"")&amp;".jpeg")</f>
        <v/>
      </c>
      <c r="L783" s="6"/>
      <c r="M783" s="5" t="str">
        <f>IFERROR(VLOOKUP(E783,Specifications!$A$2:$D$9,2,FALSE),"")</f>
        <v/>
      </c>
      <c r="N783" s="5" t="str">
        <f>IFERROR(VLOOKUP(E783,Specifications!$A$2:$D$9,3,FALSE),"")</f>
        <v/>
      </c>
      <c r="O783" s="5" t="str">
        <f>IFERROR(VLOOKUP(E783,Specifications!$A$2:$D$9,4,FALSE),"")</f>
        <v/>
      </c>
      <c r="P783" s="8" t="str">
        <f t="shared" si="39"/>
        <v/>
      </c>
      <c r="Q783" s="9"/>
    </row>
    <row r="784" spans="1:17" ht="15">
      <c r="A784" s="5" t="str">
        <f t="shared" si="37"/>
        <v/>
      </c>
      <c r="B784" s="6"/>
      <c r="C784" s="5" t="str">
        <f>IFERROR(VLOOKUP(B784,Lists!$A$2:$B$25,2,FALSE),"")</f>
        <v/>
      </c>
      <c r="D784" s="7"/>
      <c r="E784" s="6"/>
      <c r="F784" s="6" t="str">
        <f t="shared" si="38"/>
        <v/>
      </c>
      <c r="G784" s="6"/>
      <c r="H784" s="6"/>
      <c r="I784" s="6"/>
      <c r="J784" s="7"/>
      <c r="K784" s="5" t="str" cm="1">
        <f t="array" ref="K784">IF(OR(A784="",B784="",D784="",E784=""),"",A784&amp;"_"&amp;SUBSTITUTE(B784," ","-")&amp;"_"&amp;D784&amp;"_"&amp;SUBSTITUTE(SUBSTITUTE(E784," ",""),"€","Euro")&amp;"_"&amp;IF(F784="","Unknown",F784)&amp;IF(F784="Commemorative",IF(G784="","","_"&amp;SUBSTITUTE(SUBSTITUTE(SUBSTITUTE(G784," ","-"),"/","-"),CHAR(39),"")),"")&amp;IF(I784="Duplicate","_Dub"&amp;IF(SUMPRODUCT(($B$2:B784=B784)*($D$2:D784=D784)*($E$2:E784=E784)*($F$2:F784=F784)*($G$2:G784=G784)*($I$2:I784="Duplicate"))&lt;=1,"",SUMPRODUCT(($B$2:B784=B784)*($D$2:D784=D784)*($E$2:E784=E784)*($F$2:F784=F784)*($G$2:G784=G784)*($I$2:I784="Duplicate"))-1),"")&amp;".jpeg")</f>
        <v/>
      </c>
      <c r="L784" s="6"/>
      <c r="M784" s="5" t="str">
        <f>IFERROR(VLOOKUP(E784,Specifications!$A$2:$D$9,2,FALSE),"")</f>
        <v/>
      </c>
      <c r="N784" s="5" t="str">
        <f>IFERROR(VLOOKUP(E784,Specifications!$A$2:$D$9,3,FALSE),"")</f>
        <v/>
      </c>
      <c r="O784" s="5" t="str">
        <f>IFERROR(VLOOKUP(E784,Specifications!$A$2:$D$9,4,FALSE),"")</f>
        <v/>
      </c>
      <c r="P784" s="8" t="str">
        <f t="shared" si="39"/>
        <v/>
      </c>
      <c r="Q784" s="9"/>
    </row>
    <row r="785" spans="1:17" ht="15">
      <c r="A785" s="5" t="str">
        <f t="shared" si="37"/>
        <v/>
      </c>
      <c r="B785" s="6"/>
      <c r="C785" s="5" t="str">
        <f>IFERROR(VLOOKUP(B785,Lists!$A$2:$B$25,2,FALSE),"")</f>
        <v/>
      </c>
      <c r="D785" s="7"/>
      <c r="E785" s="6"/>
      <c r="F785" s="6" t="str">
        <f t="shared" si="38"/>
        <v/>
      </c>
      <c r="G785" s="6"/>
      <c r="H785" s="6"/>
      <c r="I785" s="6"/>
      <c r="J785" s="7"/>
      <c r="K785" s="5" t="str" cm="1">
        <f t="array" ref="K785">IF(OR(A785="",B785="",D785="",E785=""),"",A785&amp;"_"&amp;SUBSTITUTE(B785," ","-")&amp;"_"&amp;D785&amp;"_"&amp;SUBSTITUTE(SUBSTITUTE(E785," ",""),"€","Euro")&amp;"_"&amp;IF(F785="","Unknown",F785)&amp;IF(F785="Commemorative",IF(G785="","","_"&amp;SUBSTITUTE(SUBSTITUTE(SUBSTITUTE(G785," ","-"),"/","-"),CHAR(39),"")),"")&amp;IF(I785="Duplicate","_Dub"&amp;IF(SUMPRODUCT(($B$2:B785=B785)*($D$2:D785=D785)*($E$2:E785=E785)*($F$2:F785=F785)*($G$2:G785=G785)*($I$2:I785="Duplicate"))&lt;=1,"",SUMPRODUCT(($B$2:B785=B785)*($D$2:D785=D785)*($E$2:E785=E785)*($F$2:F785=F785)*($G$2:G785=G785)*($I$2:I785="Duplicate"))-1),"")&amp;".jpeg")</f>
        <v/>
      </c>
      <c r="L785" s="6"/>
      <c r="M785" s="5" t="str">
        <f>IFERROR(VLOOKUP(E785,Specifications!$A$2:$D$9,2,FALSE),"")</f>
        <v/>
      </c>
      <c r="N785" s="5" t="str">
        <f>IFERROR(VLOOKUP(E785,Specifications!$A$2:$D$9,3,FALSE),"")</f>
        <v/>
      </c>
      <c r="O785" s="5" t="str">
        <f>IFERROR(VLOOKUP(E785,Specifications!$A$2:$D$9,4,FALSE),"")</f>
        <v/>
      </c>
      <c r="P785" s="8" t="str">
        <f t="shared" si="39"/>
        <v/>
      </c>
      <c r="Q785" s="9"/>
    </row>
    <row r="786" spans="1:17" ht="15">
      <c r="A786" s="5" t="str">
        <f t="shared" si="37"/>
        <v/>
      </c>
      <c r="B786" s="6"/>
      <c r="C786" s="5" t="str">
        <f>IFERROR(VLOOKUP(B786,Lists!$A$2:$B$25,2,FALSE),"")</f>
        <v/>
      </c>
      <c r="D786" s="7"/>
      <c r="E786" s="6"/>
      <c r="F786" s="6" t="str">
        <f t="shared" si="38"/>
        <v/>
      </c>
      <c r="G786" s="6"/>
      <c r="H786" s="6"/>
      <c r="I786" s="6"/>
      <c r="J786" s="7"/>
      <c r="K786" s="5" t="str" cm="1">
        <f t="array" ref="K786">IF(OR(A786="",B786="",D786="",E786=""),"",A786&amp;"_"&amp;SUBSTITUTE(B786," ","-")&amp;"_"&amp;D786&amp;"_"&amp;SUBSTITUTE(SUBSTITUTE(E786," ",""),"€","Euro")&amp;"_"&amp;IF(F786="","Unknown",F786)&amp;IF(F786="Commemorative",IF(G786="","","_"&amp;SUBSTITUTE(SUBSTITUTE(SUBSTITUTE(G786," ","-"),"/","-"),CHAR(39),"")),"")&amp;IF(I786="Duplicate","_Dub"&amp;IF(SUMPRODUCT(($B$2:B786=B786)*($D$2:D786=D786)*($E$2:E786=E786)*($F$2:F786=F786)*($G$2:G786=G786)*($I$2:I786="Duplicate"))&lt;=1,"",SUMPRODUCT(($B$2:B786=B786)*($D$2:D786=D786)*($E$2:E786=E786)*($F$2:F786=F786)*($G$2:G786=G786)*($I$2:I786="Duplicate"))-1),"")&amp;".jpeg")</f>
        <v/>
      </c>
      <c r="L786" s="6"/>
      <c r="M786" s="5" t="str">
        <f>IFERROR(VLOOKUP(E786,Specifications!$A$2:$D$9,2,FALSE),"")</f>
        <v/>
      </c>
      <c r="N786" s="5" t="str">
        <f>IFERROR(VLOOKUP(E786,Specifications!$A$2:$D$9,3,FALSE),"")</f>
        <v/>
      </c>
      <c r="O786" s="5" t="str">
        <f>IFERROR(VLOOKUP(E786,Specifications!$A$2:$D$9,4,FALSE),"")</f>
        <v/>
      </c>
      <c r="P786" s="8" t="str">
        <f t="shared" si="39"/>
        <v/>
      </c>
      <c r="Q786" s="9"/>
    </row>
    <row r="787" spans="1:17" ht="15">
      <c r="A787" s="5" t="str">
        <f t="shared" si="37"/>
        <v/>
      </c>
      <c r="B787" s="6"/>
      <c r="C787" s="5" t="str">
        <f>IFERROR(VLOOKUP(B787,Lists!$A$2:$B$25,2,FALSE),"")</f>
        <v/>
      </c>
      <c r="D787" s="7"/>
      <c r="E787" s="6"/>
      <c r="F787" s="6" t="str">
        <f t="shared" si="38"/>
        <v/>
      </c>
      <c r="G787" s="6"/>
      <c r="H787" s="6"/>
      <c r="I787" s="6"/>
      <c r="J787" s="7"/>
      <c r="K787" s="5" t="str" cm="1">
        <f t="array" ref="K787">IF(OR(A787="",B787="",D787="",E787=""),"",A787&amp;"_"&amp;SUBSTITUTE(B787," ","-")&amp;"_"&amp;D787&amp;"_"&amp;SUBSTITUTE(SUBSTITUTE(E787," ",""),"€","Euro")&amp;"_"&amp;IF(F787="","Unknown",F787)&amp;IF(F787="Commemorative",IF(G787="","","_"&amp;SUBSTITUTE(SUBSTITUTE(SUBSTITUTE(G787," ","-"),"/","-"),CHAR(39),"")),"")&amp;IF(I787="Duplicate","_Dub"&amp;IF(SUMPRODUCT(($B$2:B787=B787)*($D$2:D787=D787)*($E$2:E787=E787)*($F$2:F787=F787)*($G$2:G787=G787)*($I$2:I787="Duplicate"))&lt;=1,"",SUMPRODUCT(($B$2:B787=B787)*($D$2:D787=D787)*($E$2:E787=E787)*($F$2:F787=F787)*($G$2:G787=G787)*($I$2:I787="Duplicate"))-1),"")&amp;".jpeg")</f>
        <v/>
      </c>
      <c r="L787" s="6"/>
      <c r="M787" s="5" t="str">
        <f>IFERROR(VLOOKUP(E787,Specifications!$A$2:$D$9,2,FALSE),"")</f>
        <v/>
      </c>
      <c r="N787" s="5" t="str">
        <f>IFERROR(VLOOKUP(E787,Specifications!$A$2:$D$9,3,FALSE),"")</f>
        <v/>
      </c>
      <c r="O787" s="5" t="str">
        <f>IFERROR(VLOOKUP(E787,Specifications!$A$2:$D$9,4,FALSE),"")</f>
        <v/>
      </c>
      <c r="P787" s="8" t="str">
        <f t="shared" si="39"/>
        <v/>
      </c>
      <c r="Q787" s="9"/>
    </row>
    <row r="788" spans="1:17" ht="15">
      <c r="A788" s="5" t="str">
        <f t="shared" si="37"/>
        <v/>
      </c>
      <c r="B788" s="6"/>
      <c r="C788" s="5" t="str">
        <f>IFERROR(VLOOKUP(B788,Lists!$A$2:$B$25,2,FALSE),"")</f>
        <v/>
      </c>
      <c r="D788" s="7"/>
      <c r="E788" s="6"/>
      <c r="F788" s="6" t="str">
        <f t="shared" si="38"/>
        <v/>
      </c>
      <c r="G788" s="6"/>
      <c r="H788" s="6"/>
      <c r="I788" s="6"/>
      <c r="J788" s="7"/>
      <c r="K788" s="5" t="str" cm="1">
        <f t="array" ref="K788">IF(OR(A788="",B788="",D788="",E788=""),"",A788&amp;"_"&amp;SUBSTITUTE(B788," ","-")&amp;"_"&amp;D788&amp;"_"&amp;SUBSTITUTE(SUBSTITUTE(E788," ",""),"€","Euro")&amp;"_"&amp;IF(F788="","Unknown",F788)&amp;IF(F788="Commemorative",IF(G788="","","_"&amp;SUBSTITUTE(SUBSTITUTE(SUBSTITUTE(G788," ","-"),"/","-"),CHAR(39),"")),"")&amp;IF(I788="Duplicate","_Dub"&amp;IF(SUMPRODUCT(($B$2:B788=B788)*($D$2:D788=D788)*($E$2:E788=E788)*($F$2:F788=F788)*($G$2:G788=G788)*($I$2:I788="Duplicate"))&lt;=1,"",SUMPRODUCT(($B$2:B788=B788)*($D$2:D788=D788)*($E$2:E788=E788)*($F$2:F788=F788)*($G$2:G788=G788)*($I$2:I788="Duplicate"))-1),"")&amp;".jpeg")</f>
        <v/>
      </c>
      <c r="L788" s="6"/>
      <c r="M788" s="5" t="str">
        <f>IFERROR(VLOOKUP(E788,Specifications!$A$2:$D$9,2,FALSE),"")</f>
        <v/>
      </c>
      <c r="N788" s="5" t="str">
        <f>IFERROR(VLOOKUP(E788,Specifications!$A$2:$D$9,3,FALSE),"")</f>
        <v/>
      </c>
      <c r="O788" s="5" t="str">
        <f>IFERROR(VLOOKUP(E788,Specifications!$A$2:$D$9,4,FALSE),"")</f>
        <v/>
      </c>
      <c r="P788" s="8" t="str">
        <f t="shared" si="39"/>
        <v/>
      </c>
      <c r="Q788" s="9"/>
    </row>
    <row r="789" spans="1:17" ht="15">
      <c r="A789" s="5" t="str">
        <f t="shared" si="37"/>
        <v/>
      </c>
      <c r="B789" s="6"/>
      <c r="C789" s="5" t="str">
        <f>IFERROR(VLOOKUP(B789,Lists!$A$2:$B$25,2,FALSE),"")</f>
        <v/>
      </c>
      <c r="D789" s="7"/>
      <c r="E789" s="6"/>
      <c r="F789" s="6" t="str">
        <f t="shared" si="38"/>
        <v/>
      </c>
      <c r="G789" s="6"/>
      <c r="H789" s="6"/>
      <c r="I789" s="6"/>
      <c r="J789" s="7"/>
      <c r="K789" s="5" t="str" cm="1">
        <f t="array" ref="K789">IF(OR(A789="",B789="",D789="",E789=""),"",A789&amp;"_"&amp;SUBSTITUTE(B789," ","-")&amp;"_"&amp;D789&amp;"_"&amp;SUBSTITUTE(SUBSTITUTE(E789," ",""),"€","Euro")&amp;"_"&amp;IF(F789="","Unknown",F789)&amp;IF(F789="Commemorative",IF(G789="","","_"&amp;SUBSTITUTE(SUBSTITUTE(SUBSTITUTE(G789," ","-"),"/","-"),CHAR(39),"")),"")&amp;IF(I789="Duplicate","_Dub"&amp;IF(SUMPRODUCT(($B$2:B789=B789)*($D$2:D789=D789)*($E$2:E789=E789)*($F$2:F789=F789)*($G$2:G789=G789)*($I$2:I789="Duplicate"))&lt;=1,"",SUMPRODUCT(($B$2:B789=B789)*($D$2:D789=D789)*($E$2:E789=E789)*($F$2:F789=F789)*($G$2:G789=G789)*($I$2:I789="Duplicate"))-1),"")&amp;".jpeg")</f>
        <v/>
      </c>
      <c r="L789" s="6"/>
      <c r="M789" s="5" t="str">
        <f>IFERROR(VLOOKUP(E789,Specifications!$A$2:$D$9,2,FALSE),"")</f>
        <v/>
      </c>
      <c r="N789" s="5" t="str">
        <f>IFERROR(VLOOKUP(E789,Specifications!$A$2:$D$9,3,FALSE),"")</f>
        <v/>
      </c>
      <c r="O789" s="5" t="str">
        <f>IFERROR(VLOOKUP(E789,Specifications!$A$2:$D$9,4,FALSE),"")</f>
        <v/>
      </c>
      <c r="P789" s="8" t="str">
        <f t="shared" si="39"/>
        <v/>
      </c>
      <c r="Q789" s="9"/>
    </row>
    <row r="790" spans="1:17" ht="15">
      <c r="A790" s="5" t="str">
        <f t="shared" si="37"/>
        <v/>
      </c>
      <c r="B790" s="6"/>
      <c r="C790" s="5" t="str">
        <f>IFERROR(VLOOKUP(B790,Lists!$A$2:$B$25,2,FALSE),"")</f>
        <v/>
      </c>
      <c r="D790" s="7"/>
      <c r="E790" s="6"/>
      <c r="F790" s="6" t="str">
        <f t="shared" si="38"/>
        <v/>
      </c>
      <c r="G790" s="6"/>
      <c r="H790" s="6"/>
      <c r="I790" s="6"/>
      <c r="J790" s="7"/>
      <c r="K790" s="5" t="str" cm="1">
        <f t="array" ref="K790">IF(OR(A790="",B790="",D790="",E790=""),"",A790&amp;"_"&amp;SUBSTITUTE(B790," ","-")&amp;"_"&amp;D790&amp;"_"&amp;SUBSTITUTE(SUBSTITUTE(E790," ",""),"€","Euro")&amp;"_"&amp;IF(F790="","Unknown",F790)&amp;IF(F790="Commemorative",IF(G790="","","_"&amp;SUBSTITUTE(SUBSTITUTE(SUBSTITUTE(G790," ","-"),"/","-"),CHAR(39),"")),"")&amp;IF(I790="Duplicate","_Dub"&amp;IF(SUMPRODUCT(($B$2:B790=B790)*($D$2:D790=D790)*($E$2:E790=E790)*($F$2:F790=F790)*($G$2:G790=G790)*($I$2:I790="Duplicate"))&lt;=1,"",SUMPRODUCT(($B$2:B790=B790)*($D$2:D790=D790)*($E$2:E790=E790)*($F$2:F790=F790)*($G$2:G790=G790)*($I$2:I790="Duplicate"))-1),"")&amp;".jpeg")</f>
        <v/>
      </c>
      <c r="L790" s="6"/>
      <c r="M790" s="5" t="str">
        <f>IFERROR(VLOOKUP(E790,Specifications!$A$2:$D$9,2,FALSE),"")</f>
        <v/>
      </c>
      <c r="N790" s="5" t="str">
        <f>IFERROR(VLOOKUP(E790,Specifications!$A$2:$D$9,3,FALSE),"")</f>
        <v/>
      </c>
      <c r="O790" s="5" t="str">
        <f>IFERROR(VLOOKUP(E790,Specifications!$A$2:$D$9,4,FALSE),"")</f>
        <v/>
      </c>
      <c r="P790" s="8" t="str">
        <f t="shared" si="39"/>
        <v/>
      </c>
      <c r="Q790" s="9"/>
    </row>
    <row r="791" spans="1:17" ht="15">
      <c r="A791" s="5" t="str">
        <f t="shared" si="37"/>
        <v/>
      </c>
      <c r="B791" s="6"/>
      <c r="C791" s="5" t="str">
        <f>IFERROR(VLOOKUP(B791,Lists!$A$2:$B$25,2,FALSE),"")</f>
        <v/>
      </c>
      <c r="D791" s="7"/>
      <c r="E791" s="6"/>
      <c r="F791" s="6" t="str">
        <f t="shared" si="38"/>
        <v/>
      </c>
      <c r="G791" s="6"/>
      <c r="H791" s="6"/>
      <c r="I791" s="6"/>
      <c r="J791" s="7"/>
      <c r="K791" s="5" t="str" cm="1">
        <f t="array" ref="K791">IF(OR(A791="",B791="",D791="",E791=""),"",A791&amp;"_"&amp;SUBSTITUTE(B791," ","-")&amp;"_"&amp;D791&amp;"_"&amp;SUBSTITUTE(SUBSTITUTE(E791," ",""),"€","Euro")&amp;"_"&amp;IF(F791="","Unknown",F791)&amp;IF(F791="Commemorative",IF(G791="","","_"&amp;SUBSTITUTE(SUBSTITUTE(SUBSTITUTE(G791," ","-"),"/","-"),CHAR(39),"")),"")&amp;IF(I791="Duplicate","_Dub"&amp;IF(SUMPRODUCT(($B$2:B791=B791)*($D$2:D791=D791)*($E$2:E791=E791)*($F$2:F791=F791)*($G$2:G791=G791)*($I$2:I791="Duplicate"))&lt;=1,"",SUMPRODUCT(($B$2:B791=B791)*($D$2:D791=D791)*($E$2:E791=E791)*($F$2:F791=F791)*($G$2:G791=G791)*($I$2:I791="Duplicate"))-1),"")&amp;".jpeg")</f>
        <v/>
      </c>
      <c r="L791" s="6"/>
      <c r="M791" s="5" t="str">
        <f>IFERROR(VLOOKUP(E791,Specifications!$A$2:$D$9,2,FALSE),"")</f>
        <v/>
      </c>
      <c r="N791" s="5" t="str">
        <f>IFERROR(VLOOKUP(E791,Specifications!$A$2:$D$9,3,FALSE),"")</f>
        <v/>
      </c>
      <c r="O791" s="5" t="str">
        <f>IFERROR(VLOOKUP(E791,Specifications!$A$2:$D$9,4,FALSE),"")</f>
        <v/>
      </c>
      <c r="P791" s="8" t="str">
        <f t="shared" si="39"/>
        <v/>
      </c>
      <c r="Q791" s="9"/>
    </row>
    <row r="792" spans="1:17" ht="15">
      <c r="A792" s="5" t="str">
        <f t="shared" si="37"/>
        <v/>
      </c>
      <c r="B792" s="6"/>
      <c r="C792" s="5" t="str">
        <f>IFERROR(VLOOKUP(B792,Lists!$A$2:$B$25,2,FALSE),"")</f>
        <v/>
      </c>
      <c r="D792" s="7"/>
      <c r="E792" s="6"/>
      <c r="F792" s="6" t="str">
        <f t="shared" si="38"/>
        <v/>
      </c>
      <c r="G792" s="6"/>
      <c r="H792" s="6"/>
      <c r="I792" s="6"/>
      <c r="J792" s="7"/>
      <c r="K792" s="5" t="str" cm="1">
        <f t="array" ref="K792">IF(OR(A792="",B792="",D792="",E792=""),"",A792&amp;"_"&amp;SUBSTITUTE(B792," ","-")&amp;"_"&amp;D792&amp;"_"&amp;SUBSTITUTE(SUBSTITUTE(E792," ",""),"€","Euro")&amp;"_"&amp;IF(F792="","Unknown",F792)&amp;IF(F792="Commemorative",IF(G792="","","_"&amp;SUBSTITUTE(SUBSTITUTE(SUBSTITUTE(G792," ","-"),"/","-"),CHAR(39),"")),"")&amp;IF(I792="Duplicate","_Dub"&amp;IF(SUMPRODUCT(($B$2:B792=B792)*($D$2:D792=D792)*($E$2:E792=E792)*($F$2:F792=F792)*($G$2:G792=G792)*($I$2:I792="Duplicate"))&lt;=1,"",SUMPRODUCT(($B$2:B792=B792)*($D$2:D792=D792)*($E$2:E792=E792)*($F$2:F792=F792)*($G$2:G792=G792)*($I$2:I792="Duplicate"))-1),"")&amp;".jpeg")</f>
        <v/>
      </c>
      <c r="L792" s="6"/>
      <c r="M792" s="5" t="str">
        <f>IFERROR(VLOOKUP(E792,Specifications!$A$2:$D$9,2,FALSE),"")</f>
        <v/>
      </c>
      <c r="N792" s="5" t="str">
        <f>IFERROR(VLOOKUP(E792,Specifications!$A$2:$D$9,3,FALSE),"")</f>
        <v/>
      </c>
      <c r="O792" s="5" t="str">
        <f>IFERROR(VLOOKUP(E792,Specifications!$A$2:$D$9,4,FALSE),"")</f>
        <v/>
      </c>
      <c r="P792" s="8" t="str">
        <f t="shared" si="39"/>
        <v/>
      </c>
      <c r="Q792" s="9"/>
    </row>
    <row r="793" spans="1:17" ht="15">
      <c r="A793" s="5" t="str">
        <f t="shared" si="37"/>
        <v/>
      </c>
      <c r="B793" s="6"/>
      <c r="C793" s="5" t="str">
        <f>IFERROR(VLOOKUP(B793,Lists!$A$2:$B$25,2,FALSE),"")</f>
        <v/>
      </c>
      <c r="D793" s="7"/>
      <c r="E793" s="6"/>
      <c r="F793" s="6" t="str">
        <f t="shared" si="38"/>
        <v/>
      </c>
      <c r="G793" s="6"/>
      <c r="H793" s="6"/>
      <c r="I793" s="6"/>
      <c r="J793" s="7"/>
      <c r="K793" s="5" t="str" cm="1">
        <f t="array" ref="K793">IF(OR(A793="",B793="",D793="",E793=""),"",A793&amp;"_"&amp;SUBSTITUTE(B793," ","-")&amp;"_"&amp;D793&amp;"_"&amp;SUBSTITUTE(SUBSTITUTE(E793," ",""),"€","Euro")&amp;"_"&amp;IF(F793="","Unknown",F793)&amp;IF(F793="Commemorative",IF(G793="","","_"&amp;SUBSTITUTE(SUBSTITUTE(SUBSTITUTE(G793," ","-"),"/","-"),CHAR(39),"")),"")&amp;IF(I793="Duplicate","_Dub"&amp;IF(SUMPRODUCT(($B$2:B793=B793)*($D$2:D793=D793)*($E$2:E793=E793)*($F$2:F793=F793)*($G$2:G793=G793)*($I$2:I793="Duplicate"))&lt;=1,"",SUMPRODUCT(($B$2:B793=B793)*($D$2:D793=D793)*($E$2:E793=E793)*($F$2:F793=F793)*($G$2:G793=G793)*($I$2:I793="Duplicate"))-1),"")&amp;".jpeg")</f>
        <v/>
      </c>
      <c r="L793" s="6"/>
      <c r="M793" s="5" t="str">
        <f>IFERROR(VLOOKUP(E793,Specifications!$A$2:$D$9,2,FALSE),"")</f>
        <v/>
      </c>
      <c r="N793" s="5" t="str">
        <f>IFERROR(VLOOKUP(E793,Specifications!$A$2:$D$9,3,FALSE),"")</f>
        <v/>
      </c>
      <c r="O793" s="5" t="str">
        <f>IFERROR(VLOOKUP(E793,Specifications!$A$2:$D$9,4,FALSE),"")</f>
        <v/>
      </c>
      <c r="P793" s="8" t="str">
        <f t="shared" si="39"/>
        <v/>
      </c>
      <c r="Q793" s="9"/>
    </row>
    <row r="794" spans="1:17" ht="15">
      <c r="A794" s="5" t="str">
        <f t="shared" si="37"/>
        <v/>
      </c>
      <c r="B794" s="6"/>
      <c r="C794" s="5" t="str">
        <f>IFERROR(VLOOKUP(B794,Lists!$A$2:$B$25,2,FALSE),"")</f>
        <v/>
      </c>
      <c r="D794" s="7"/>
      <c r="E794" s="6"/>
      <c r="F794" s="6" t="str">
        <f t="shared" si="38"/>
        <v/>
      </c>
      <c r="G794" s="6"/>
      <c r="H794" s="6"/>
      <c r="I794" s="6"/>
      <c r="J794" s="7"/>
      <c r="K794" s="5" t="str" cm="1">
        <f t="array" ref="K794">IF(OR(A794="",B794="",D794="",E794=""),"",A794&amp;"_"&amp;SUBSTITUTE(B794," ","-")&amp;"_"&amp;D794&amp;"_"&amp;SUBSTITUTE(SUBSTITUTE(E794," ",""),"€","Euro")&amp;"_"&amp;IF(F794="","Unknown",F794)&amp;IF(F794="Commemorative",IF(G794="","","_"&amp;SUBSTITUTE(SUBSTITUTE(SUBSTITUTE(G794," ","-"),"/","-"),CHAR(39),"")),"")&amp;IF(I794="Duplicate","_Dub"&amp;IF(SUMPRODUCT(($B$2:B794=B794)*($D$2:D794=D794)*($E$2:E794=E794)*($F$2:F794=F794)*($G$2:G794=G794)*($I$2:I794="Duplicate"))&lt;=1,"",SUMPRODUCT(($B$2:B794=B794)*($D$2:D794=D794)*($E$2:E794=E794)*($F$2:F794=F794)*($G$2:G794=G794)*($I$2:I794="Duplicate"))-1),"")&amp;".jpeg")</f>
        <v/>
      </c>
      <c r="L794" s="6"/>
      <c r="M794" s="5" t="str">
        <f>IFERROR(VLOOKUP(E794,Specifications!$A$2:$D$9,2,FALSE),"")</f>
        <v/>
      </c>
      <c r="N794" s="5" t="str">
        <f>IFERROR(VLOOKUP(E794,Specifications!$A$2:$D$9,3,FALSE),"")</f>
        <v/>
      </c>
      <c r="O794" s="5" t="str">
        <f>IFERROR(VLOOKUP(E794,Specifications!$A$2:$D$9,4,FALSE),"")</f>
        <v/>
      </c>
      <c r="P794" s="8" t="str">
        <f t="shared" si="39"/>
        <v/>
      </c>
      <c r="Q794" s="9"/>
    </row>
    <row r="795" spans="1:17" ht="15">
      <c r="A795" s="5" t="str">
        <f t="shared" si="37"/>
        <v/>
      </c>
      <c r="B795" s="6"/>
      <c r="C795" s="5" t="str">
        <f>IFERROR(VLOOKUP(B795,Lists!$A$2:$B$25,2,FALSE),"")</f>
        <v/>
      </c>
      <c r="D795" s="7"/>
      <c r="E795" s="6"/>
      <c r="F795" s="6" t="str">
        <f t="shared" si="38"/>
        <v/>
      </c>
      <c r="G795" s="6"/>
      <c r="H795" s="6"/>
      <c r="I795" s="6"/>
      <c r="J795" s="7"/>
      <c r="K795" s="5" t="str" cm="1">
        <f t="array" ref="K795">IF(OR(A795="",B795="",D795="",E795=""),"",A795&amp;"_"&amp;SUBSTITUTE(B795," ","-")&amp;"_"&amp;D795&amp;"_"&amp;SUBSTITUTE(SUBSTITUTE(E795," ",""),"€","Euro")&amp;"_"&amp;IF(F795="","Unknown",F795)&amp;IF(F795="Commemorative",IF(G795="","","_"&amp;SUBSTITUTE(SUBSTITUTE(SUBSTITUTE(G795," ","-"),"/","-"),CHAR(39),"")),"")&amp;IF(I795="Duplicate","_Dub"&amp;IF(SUMPRODUCT(($B$2:B795=B795)*($D$2:D795=D795)*($E$2:E795=E795)*($F$2:F795=F795)*($G$2:G795=G795)*($I$2:I795="Duplicate"))&lt;=1,"",SUMPRODUCT(($B$2:B795=B795)*($D$2:D795=D795)*($E$2:E795=E795)*($F$2:F795=F795)*($G$2:G795=G795)*($I$2:I795="Duplicate"))-1),"")&amp;".jpeg")</f>
        <v/>
      </c>
      <c r="L795" s="6"/>
      <c r="M795" s="5" t="str">
        <f>IFERROR(VLOOKUP(E795,Specifications!$A$2:$D$9,2,FALSE),"")</f>
        <v/>
      </c>
      <c r="N795" s="5" t="str">
        <f>IFERROR(VLOOKUP(E795,Specifications!$A$2:$D$9,3,FALSE),"")</f>
        <v/>
      </c>
      <c r="O795" s="5" t="str">
        <f>IFERROR(VLOOKUP(E795,Specifications!$A$2:$D$9,4,FALSE),"")</f>
        <v/>
      </c>
      <c r="P795" s="8" t="str">
        <f t="shared" si="39"/>
        <v/>
      </c>
      <c r="Q795" s="9"/>
    </row>
    <row r="796" spans="1:17" ht="15">
      <c r="A796" s="5" t="str">
        <f t="shared" si="37"/>
        <v/>
      </c>
      <c r="B796" s="6"/>
      <c r="C796" s="5" t="str">
        <f>IFERROR(VLOOKUP(B796,Lists!$A$2:$B$25,2,FALSE),"")</f>
        <v/>
      </c>
      <c r="D796" s="7"/>
      <c r="E796" s="6"/>
      <c r="F796" s="6" t="str">
        <f t="shared" si="38"/>
        <v/>
      </c>
      <c r="G796" s="6"/>
      <c r="H796" s="6"/>
      <c r="I796" s="6"/>
      <c r="J796" s="7"/>
      <c r="K796" s="5" t="str" cm="1">
        <f t="array" ref="K796">IF(OR(A796="",B796="",D796="",E796=""),"",A796&amp;"_"&amp;SUBSTITUTE(B796," ","-")&amp;"_"&amp;D796&amp;"_"&amp;SUBSTITUTE(SUBSTITUTE(E796," ",""),"€","Euro")&amp;"_"&amp;IF(F796="","Unknown",F796)&amp;IF(F796="Commemorative",IF(G796="","","_"&amp;SUBSTITUTE(SUBSTITUTE(SUBSTITUTE(G796," ","-"),"/","-"),CHAR(39),"")),"")&amp;IF(I796="Duplicate","_Dub"&amp;IF(SUMPRODUCT(($B$2:B796=B796)*($D$2:D796=D796)*($E$2:E796=E796)*($F$2:F796=F796)*($G$2:G796=G796)*($I$2:I796="Duplicate"))&lt;=1,"",SUMPRODUCT(($B$2:B796=B796)*($D$2:D796=D796)*($E$2:E796=E796)*($F$2:F796=F796)*($G$2:G796=G796)*($I$2:I796="Duplicate"))-1),"")&amp;".jpeg")</f>
        <v/>
      </c>
      <c r="L796" s="6"/>
      <c r="M796" s="5" t="str">
        <f>IFERROR(VLOOKUP(E796,Specifications!$A$2:$D$9,2,FALSE),"")</f>
        <v/>
      </c>
      <c r="N796" s="5" t="str">
        <f>IFERROR(VLOOKUP(E796,Specifications!$A$2:$D$9,3,FALSE),"")</f>
        <v/>
      </c>
      <c r="O796" s="5" t="str">
        <f>IFERROR(VLOOKUP(E796,Specifications!$A$2:$D$9,4,FALSE),"")</f>
        <v/>
      </c>
      <c r="P796" s="8" t="str">
        <f t="shared" si="39"/>
        <v/>
      </c>
      <c r="Q796" s="9"/>
    </row>
    <row r="797" spans="1:17" ht="15">
      <c r="A797" s="5" t="str">
        <f t="shared" si="37"/>
        <v/>
      </c>
      <c r="B797" s="6"/>
      <c r="C797" s="5" t="str">
        <f>IFERROR(VLOOKUP(B797,Lists!$A$2:$B$25,2,FALSE),"")</f>
        <v/>
      </c>
      <c r="D797" s="7"/>
      <c r="E797" s="6"/>
      <c r="F797" s="6" t="str">
        <f t="shared" si="38"/>
        <v/>
      </c>
      <c r="G797" s="6"/>
      <c r="H797" s="6"/>
      <c r="I797" s="6"/>
      <c r="J797" s="7"/>
      <c r="K797" s="5" t="str" cm="1">
        <f t="array" ref="K797">IF(OR(A797="",B797="",D797="",E797=""),"",A797&amp;"_"&amp;SUBSTITUTE(B797," ","-")&amp;"_"&amp;D797&amp;"_"&amp;SUBSTITUTE(SUBSTITUTE(E797," ",""),"€","Euro")&amp;"_"&amp;IF(F797="","Unknown",F797)&amp;IF(F797="Commemorative",IF(G797="","","_"&amp;SUBSTITUTE(SUBSTITUTE(SUBSTITUTE(G797," ","-"),"/","-"),CHAR(39),"")),"")&amp;IF(I797="Duplicate","_Dub"&amp;IF(SUMPRODUCT(($B$2:B797=B797)*($D$2:D797=D797)*($E$2:E797=E797)*($F$2:F797=F797)*($G$2:G797=G797)*($I$2:I797="Duplicate"))&lt;=1,"",SUMPRODUCT(($B$2:B797=B797)*($D$2:D797=D797)*($E$2:E797=E797)*($F$2:F797=F797)*($G$2:G797=G797)*($I$2:I797="Duplicate"))-1),"")&amp;".jpeg")</f>
        <v/>
      </c>
      <c r="L797" s="6"/>
      <c r="M797" s="5" t="str">
        <f>IFERROR(VLOOKUP(E797,Specifications!$A$2:$D$9,2,FALSE),"")</f>
        <v/>
      </c>
      <c r="N797" s="5" t="str">
        <f>IFERROR(VLOOKUP(E797,Specifications!$A$2:$D$9,3,FALSE),"")</f>
        <v/>
      </c>
      <c r="O797" s="5" t="str">
        <f>IFERROR(VLOOKUP(E797,Specifications!$A$2:$D$9,4,FALSE),"")</f>
        <v/>
      </c>
      <c r="P797" s="8" t="str">
        <f t="shared" si="39"/>
        <v/>
      </c>
      <c r="Q797" s="9"/>
    </row>
    <row r="798" spans="1:17" ht="15">
      <c r="A798" s="5" t="str">
        <f t="shared" si="37"/>
        <v/>
      </c>
      <c r="B798" s="6"/>
      <c r="C798" s="5" t="str">
        <f>IFERROR(VLOOKUP(B798,Lists!$A$2:$B$25,2,FALSE),"")</f>
        <v/>
      </c>
      <c r="D798" s="7"/>
      <c r="E798" s="6"/>
      <c r="F798" s="6" t="str">
        <f t="shared" si="38"/>
        <v/>
      </c>
      <c r="G798" s="6"/>
      <c r="H798" s="6"/>
      <c r="I798" s="6"/>
      <c r="J798" s="7"/>
      <c r="K798" s="5" t="str" cm="1">
        <f t="array" ref="K798">IF(OR(A798="",B798="",D798="",E798=""),"",A798&amp;"_"&amp;SUBSTITUTE(B798," ","-")&amp;"_"&amp;D798&amp;"_"&amp;SUBSTITUTE(SUBSTITUTE(E798," ",""),"€","Euro")&amp;"_"&amp;IF(F798="","Unknown",F798)&amp;IF(F798="Commemorative",IF(G798="","","_"&amp;SUBSTITUTE(SUBSTITUTE(SUBSTITUTE(G798," ","-"),"/","-"),CHAR(39),"")),"")&amp;IF(I798="Duplicate","_Dub"&amp;IF(SUMPRODUCT(($B$2:B798=B798)*($D$2:D798=D798)*($E$2:E798=E798)*($F$2:F798=F798)*($G$2:G798=G798)*($I$2:I798="Duplicate"))&lt;=1,"",SUMPRODUCT(($B$2:B798=B798)*($D$2:D798=D798)*($E$2:E798=E798)*($F$2:F798=F798)*($G$2:G798=G798)*($I$2:I798="Duplicate"))-1),"")&amp;".jpeg")</f>
        <v/>
      </c>
      <c r="L798" s="6"/>
      <c r="M798" s="5" t="str">
        <f>IFERROR(VLOOKUP(E798,Specifications!$A$2:$D$9,2,FALSE),"")</f>
        <v/>
      </c>
      <c r="N798" s="5" t="str">
        <f>IFERROR(VLOOKUP(E798,Specifications!$A$2:$D$9,3,FALSE),"")</f>
        <v/>
      </c>
      <c r="O798" s="5" t="str">
        <f>IFERROR(VLOOKUP(E798,Specifications!$A$2:$D$9,4,FALSE),"")</f>
        <v/>
      </c>
      <c r="P798" s="8" t="str">
        <f t="shared" si="39"/>
        <v/>
      </c>
      <c r="Q798" s="9"/>
    </row>
    <row r="799" spans="1:17" ht="15">
      <c r="A799" s="5" t="str">
        <f t="shared" si="37"/>
        <v/>
      </c>
      <c r="B799" s="6"/>
      <c r="C799" s="5" t="str">
        <f>IFERROR(VLOOKUP(B799,Lists!$A$2:$B$25,2,FALSE),"")</f>
        <v/>
      </c>
      <c r="D799" s="7"/>
      <c r="E799" s="6"/>
      <c r="F799" s="6" t="str">
        <f t="shared" si="38"/>
        <v/>
      </c>
      <c r="G799" s="6"/>
      <c r="H799" s="6"/>
      <c r="I799" s="6"/>
      <c r="J799" s="7"/>
      <c r="K799" s="5" t="str" cm="1">
        <f t="array" ref="K799">IF(OR(A799="",B799="",D799="",E799=""),"",A799&amp;"_"&amp;SUBSTITUTE(B799," ","-")&amp;"_"&amp;D799&amp;"_"&amp;SUBSTITUTE(SUBSTITUTE(E799," ",""),"€","Euro")&amp;"_"&amp;IF(F799="","Unknown",F799)&amp;IF(F799="Commemorative",IF(G799="","","_"&amp;SUBSTITUTE(SUBSTITUTE(SUBSTITUTE(G799," ","-"),"/","-"),CHAR(39),"")),"")&amp;IF(I799="Duplicate","_Dub"&amp;IF(SUMPRODUCT(($B$2:B799=B799)*($D$2:D799=D799)*($E$2:E799=E799)*($F$2:F799=F799)*($G$2:G799=G799)*($I$2:I799="Duplicate"))&lt;=1,"",SUMPRODUCT(($B$2:B799=B799)*($D$2:D799=D799)*($E$2:E799=E799)*($F$2:F799=F799)*($G$2:G799=G799)*($I$2:I799="Duplicate"))-1),"")&amp;".jpeg")</f>
        <v/>
      </c>
      <c r="L799" s="6"/>
      <c r="M799" s="5" t="str">
        <f>IFERROR(VLOOKUP(E799,Specifications!$A$2:$D$9,2,FALSE),"")</f>
        <v/>
      </c>
      <c r="N799" s="5" t="str">
        <f>IFERROR(VLOOKUP(E799,Specifications!$A$2:$D$9,3,FALSE),"")</f>
        <v/>
      </c>
      <c r="O799" s="5" t="str">
        <f>IFERROR(VLOOKUP(E799,Specifications!$A$2:$D$9,4,FALSE),"")</f>
        <v/>
      </c>
      <c r="P799" s="8" t="str">
        <f t="shared" si="39"/>
        <v/>
      </c>
      <c r="Q799" s="9"/>
    </row>
    <row r="800" spans="1:17" ht="15">
      <c r="A800" s="5" t="str">
        <f t="shared" si="37"/>
        <v/>
      </c>
      <c r="B800" s="6"/>
      <c r="C800" s="5" t="str">
        <f>IFERROR(VLOOKUP(B800,Lists!$A$2:$B$25,2,FALSE),"")</f>
        <v/>
      </c>
      <c r="D800" s="7"/>
      <c r="E800" s="6"/>
      <c r="F800" s="6" t="str">
        <f t="shared" si="38"/>
        <v/>
      </c>
      <c r="G800" s="6"/>
      <c r="H800" s="6"/>
      <c r="I800" s="6"/>
      <c r="J800" s="7"/>
      <c r="K800" s="5" t="str" cm="1">
        <f t="array" ref="K800">IF(OR(A800="",B800="",D800="",E800=""),"",A800&amp;"_"&amp;SUBSTITUTE(B800," ","-")&amp;"_"&amp;D800&amp;"_"&amp;SUBSTITUTE(SUBSTITUTE(E800," ",""),"€","Euro")&amp;"_"&amp;IF(F800="","Unknown",F800)&amp;IF(F800="Commemorative",IF(G800="","","_"&amp;SUBSTITUTE(SUBSTITUTE(SUBSTITUTE(G800," ","-"),"/","-"),CHAR(39),"")),"")&amp;IF(I800="Duplicate","_Dub"&amp;IF(SUMPRODUCT(($B$2:B800=B800)*($D$2:D800=D800)*($E$2:E800=E800)*($F$2:F800=F800)*($G$2:G800=G800)*($I$2:I800="Duplicate"))&lt;=1,"",SUMPRODUCT(($B$2:B800=B800)*($D$2:D800=D800)*($E$2:E800=E800)*($F$2:F800=F800)*($G$2:G800=G800)*($I$2:I800="Duplicate"))-1),"")&amp;".jpeg")</f>
        <v/>
      </c>
      <c r="L800" s="6"/>
      <c r="M800" s="5" t="str">
        <f>IFERROR(VLOOKUP(E800,Specifications!$A$2:$D$9,2,FALSE),"")</f>
        <v/>
      </c>
      <c r="N800" s="5" t="str">
        <f>IFERROR(VLOOKUP(E800,Specifications!$A$2:$D$9,3,FALSE),"")</f>
        <v/>
      </c>
      <c r="O800" s="5" t="str">
        <f>IFERROR(VLOOKUP(E800,Specifications!$A$2:$D$9,4,FALSE),"")</f>
        <v/>
      </c>
      <c r="P800" s="8" t="str">
        <f t="shared" si="39"/>
        <v/>
      </c>
      <c r="Q800" s="9"/>
    </row>
    <row r="801" spans="1:17" ht="15">
      <c r="A801" s="5" t="str">
        <f t="shared" si="37"/>
        <v/>
      </c>
      <c r="B801" s="6"/>
      <c r="C801" s="5" t="str">
        <f>IFERROR(VLOOKUP(B801,Lists!$A$2:$B$25,2,FALSE),"")</f>
        <v/>
      </c>
      <c r="D801" s="7"/>
      <c r="E801" s="6"/>
      <c r="F801" s="6" t="str">
        <f t="shared" si="38"/>
        <v/>
      </c>
      <c r="G801" s="6"/>
      <c r="H801" s="6"/>
      <c r="I801" s="6"/>
      <c r="J801" s="7"/>
      <c r="K801" s="5" t="str" cm="1">
        <f t="array" ref="K801">IF(OR(A801="",B801="",D801="",E801=""),"",A801&amp;"_"&amp;SUBSTITUTE(B801," ","-")&amp;"_"&amp;D801&amp;"_"&amp;SUBSTITUTE(SUBSTITUTE(E801," ",""),"€","Euro")&amp;"_"&amp;IF(F801="","Unknown",F801)&amp;IF(F801="Commemorative",IF(G801="","","_"&amp;SUBSTITUTE(SUBSTITUTE(SUBSTITUTE(G801," ","-"),"/","-"),CHAR(39),"")),"")&amp;IF(I801="Duplicate","_Dub"&amp;IF(SUMPRODUCT(($B$2:B801=B801)*($D$2:D801=D801)*($E$2:E801=E801)*($F$2:F801=F801)*($G$2:G801=G801)*($I$2:I801="Duplicate"))&lt;=1,"",SUMPRODUCT(($B$2:B801=B801)*($D$2:D801=D801)*($E$2:E801=E801)*($F$2:F801=F801)*($G$2:G801=G801)*($I$2:I801="Duplicate"))-1),"")&amp;".jpeg")</f>
        <v/>
      </c>
      <c r="L801" s="6"/>
      <c r="M801" s="5" t="str">
        <f>IFERROR(VLOOKUP(E801,Specifications!$A$2:$D$9,2,FALSE),"")</f>
        <v/>
      </c>
      <c r="N801" s="5" t="str">
        <f>IFERROR(VLOOKUP(E801,Specifications!$A$2:$D$9,3,FALSE),"")</f>
        <v/>
      </c>
      <c r="O801" s="5" t="str">
        <f>IFERROR(VLOOKUP(E801,Specifications!$A$2:$D$9,4,FALSE),"")</f>
        <v/>
      </c>
      <c r="P801" s="8" t="str">
        <f t="shared" si="39"/>
        <v/>
      </c>
      <c r="Q801" s="9"/>
    </row>
    <row r="802" spans="1:17" ht="15">
      <c r="A802" s="5" t="str">
        <f t="shared" si="37"/>
        <v/>
      </c>
      <c r="B802" s="6"/>
      <c r="C802" s="5" t="str">
        <f>IFERROR(VLOOKUP(B802,Lists!$A$2:$B$25,2,FALSE),"")</f>
        <v/>
      </c>
      <c r="D802" s="7"/>
      <c r="E802" s="6"/>
      <c r="F802" s="6" t="str">
        <f t="shared" si="38"/>
        <v/>
      </c>
      <c r="G802" s="6"/>
      <c r="H802" s="6"/>
      <c r="I802" s="6"/>
      <c r="J802" s="7"/>
      <c r="K802" s="5" t="str" cm="1">
        <f t="array" ref="K802">IF(OR(A802="",B802="",D802="",E802=""),"",A802&amp;"_"&amp;SUBSTITUTE(B802," ","-")&amp;"_"&amp;D802&amp;"_"&amp;SUBSTITUTE(SUBSTITUTE(E802," ",""),"€","Euro")&amp;"_"&amp;IF(F802="","Unknown",F802)&amp;IF(F802="Commemorative",IF(G802="","","_"&amp;SUBSTITUTE(SUBSTITUTE(SUBSTITUTE(G802," ","-"),"/","-"),CHAR(39),"")),"")&amp;IF(I802="Duplicate","_Dub"&amp;IF(SUMPRODUCT(($B$2:B802=B802)*($D$2:D802=D802)*($E$2:E802=E802)*($F$2:F802=F802)*($G$2:G802=G802)*($I$2:I802="Duplicate"))&lt;=1,"",SUMPRODUCT(($B$2:B802=B802)*($D$2:D802=D802)*($E$2:E802=E802)*($F$2:F802=F802)*($G$2:G802=G802)*($I$2:I802="Duplicate"))-1),"")&amp;".jpeg")</f>
        <v/>
      </c>
      <c r="L802" s="6"/>
      <c r="M802" s="5" t="str">
        <f>IFERROR(VLOOKUP(E802,Specifications!$A$2:$D$9,2,FALSE),"")</f>
        <v/>
      </c>
      <c r="N802" s="5" t="str">
        <f>IFERROR(VLOOKUP(E802,Specifications!$A$2:$D$9,3,FALSE),"")</f>
        <v/>
      </c>
      <c r="O802" s="5" t="str">
        <f>IFERROR(VLOOKUP(E802,Specifications!$A$2:$D$9,4,FALSE),"")</f>
        <v/>
      </c>
      <c r="P802" s="8" t="str">
        <f t="shared" si="39"/>
        <v/>
      </c>
      <c r="Q802" s="9"/>
    </row>
    <row r="803" spans="1:17" ht="15">
      <c r="A803" s="5" t="str">
        <f t="shared" si="37"/>
        <v/>
      </c>
      <c r="B803" s="6"/>
      <c r="C803" s="5" t="str">
        <f>IFERROR(VLOOKUP(B803,Lists!$A$2:$B$25,2,FALSE),"")</f>
        <v/>
      </c>
      <c r="D803" s="7"/>
      <c r="E803" s="6"/>
      <c r="F803" s="6" t="str">
        <f t="shared" si="38"/>
        <v/>
      </c>
      <c r="G803" s="6"/>
      <c r="H803" s="6"/>
      <c r="I803" s="6"/>
      <c r="J803" s="7"/>
      <c r="K803" s="5" t="str" cm="1">
        <f t="array" ref="K803">IF(OR(A803="",B803="",D803="",E803=""),"",A803&amp;"_"&amp;SUBSTITUTE(B803," ","-")&amp;"_"&amp;D803&amp;"_"&amp;SUBSTITUTE(SUBSTITUTE(E803," ",""),"€","Euro")&amp;"_"&amp;IF(F803="","Unknown",F803)&amp;IF(F803="Commemorative",IF(G803="","","_"&amp;SUBSTITUTE(SUBSTITUTE(SUBSTITUTE(G803," ","-"),"/","-"),CHAR(39),"")),"")&amp;IF(I803="Duplicate","_Dub"&amp;IF(SUMPRODUCT(($B$2:B803=B803)*($D$2:D803=D803)*($E$2:E803=E803)*($F$2:F803=F803)*($G$2:G803=G803)*($I$2:I803="Duplicate"))&lt;=1,"",SUMPRODUCT(($B$2:B803=B803)*($D$2:D803=D803)*($E$2:E803=E803)*($F$2:F803=F803)*($G$2:G803=G803)*($I$2:I803="Duplicate"))-1),"")&amp;".jpeg")</f>
        <v/>
      </c>
      <c r="L803" s="6"/>
      <c r="M803" s="5" t="str">
        <f>IFERROR(VLOOKUP(E803,Specifications!$A$2:$D$9,2,FALSE),"")</f>
        <v/>
      </c>
      <c r="N803" s="5" t="str">
        <f>IFERROR(VLOOKUP(E803,Specifications!$A$2:$D$9,3,FALSE),"")</f>
        <v/>
      </c>
      <c r="O803" s="5" t="str">
        <f>IFERROR(VLOOKUP(E803,Specifications!$A$2:$D$9,4,FALSE),"")</f>
        <v/>
      </c>
      <c r="P803" s="8" t="str">
        <f t="shared" si="39"/>
        <v/>
      </c>
      <c r="Q803" s="9"/>
    </row>
    <row r="804" spans="1:17" ht="15">
      <c r="A804" s="5" t="str">
        <f t="shared" si="37"/>
        <v/>
      </c>
      <c r="B804" s="6"/>
      <c r="C804" s="5" t="str">
        <f>IFERROR(VLOOKUP(B804,Lists!$A$2:$B$25,2,FALSE),"")</f>
        <v/>
      </c>
      <c r="D804" s="7"/>
      <c r="E804" s="6"/>
      <c r="F804" s="6" t="str">
        <f t="shared" si="38"/>
        <v/>
      </c>
      <c r="G804" s="6"/>
      <c r="H804" s="6"/>
      <c r="I804" s="6"/>
      <c r="J804" s="7"/>
      <c r="K804" s="5" t="str" cm="1">
        <f t="array" ref="K804">IF(OR(A804="",B804="",D804="",E804=""),"",A804&amp;"_"&amp;SUBSTITUTE(B804," ","-")&amp;"_"&amp;D804&amp;"_"&amp;SUBSTITUTE(SUBSTITUTE(E804," ",""),"€","Euro")&amp;"_"&amp;IF(F804="","Unknown",F804)&amp;IF(F804="Commemorative",IF(G804="","","_"&amp;SUBSTITUTE(SUBSTITUTE(SUBSTITUTE(G804," ","-"),"/","-"),CHAR(39),"")),"")&amp;IF(I804="Duplicate","_Dub"&amp;IF(SUMPRODUCT(($B$2:B804=B804)*($D$2:D804=D804)*($E$2:E804=E804)*($F$2:F804=F804)*($G$2:G804=G804)*($I$2:I804="Duplicate"))&lt;=1,"",SUMPRODUCT(($B$2:B804=B804)*($D$2:D804=D804)*($E$2:E804=E804)*($F$2:F804=F804)*($G$2:G804=G804)*($I$2:I804="Duplicate"))-1),"")&amp;".jpeg")</f>
        <v/>
      </c>
      <c r="L804" s="6"/>
      <c r="M804" s="5" t="str">
        <f>IFERROR(VLOOKUP(E804,Specifications!$A$2:$D$9,2,FALSE),"")</f>
        <v/>
      </c>
      <c r="N804" s="5" t="str">
        <f>IFERROR(VLOOKUP(E804,Specifications!$A$2:$D$9,3,FALSE),"")</f>
        <v/>
      </c>
      <c r="O804" s="5" t="str">
        <f>IFERROR(VLOOKUP(E804,Specifications!$A$2:$D$9,4,FALSE),"")</f>
        <v/>
      </c>
      <c r="P804" s="8" t="str">
        <f t="shared" si="39"/>
        <v/>
      </c>
      <c r="Q804" s="9"/>
    </row>
    <row r="805" spans="1:17" ht="15">
      <c r="A805" s="5" t="str">
        <f t="shared" si="37"/>
        <v/>
      </c>
      <c r="B805" s="6"/>
      <c r="C805" s="5" t="str">
        <f>IFERROR(VLOOKUP(B805,Lists!$A$2:$B$25,2,FALSE),"")</f>
        <v/>
      </c>
      <c r="D805" s="7"/>
      <c r="E805" s="6"/>
      <c r="F805" s="6" t="str">
        <f t="shared" si="38"/>
        <v/>
      </c>
      <c r="G805" s="6"/>
      <c r="H805" s="6"/>
      <c r="I805" s="6"/>
      <c r="J805" s="7"/>
      <c r="K805" s="5" t="str" cm="1">
        <f t="array" ref="K805">IF(OR(A805="",B805="",D805="",E805=""),"",A805&amp;"_"&amp;SUBSTITUTE(B805," ","-")&amp;"_"&amp;D805&amp;"_"&amp;SUBSTITUTE(SUBSTITUTE(E805," ",""),"€","Euro")&amp;"_"&amp;IF(F805="","Unknown",F805)&amp;IF(F805="Commemorative",IF(G805="","","_"&amp;SUBSTITUTE(SUBSTITUTE(SUBSTITUTE(G805," ","-"),"/","-"),CHAR(39),"")),"")&amp;IF(I805="Duplicate","_Dub"&amp;IF(SUMPRODUCT(($B$2:B805=B805)*($D$2:D805=D805)*($E$2:E805=E805)*($F$2:F805=F805)*($G$2:G805=G805)*($I$2:I805="Duplicate"))&lt;=1,"",SUMPRODUCT(($B$2:B805=B805)*($D$2:D805=D805)*($E$2:E805=E805)*($F$2:F805=F805)*($G$2:G805=G805)*($I$2:I805="Duplicate"))-1),"")&amp;".jpeg")</f>
        <v/>
      </c>
      <c r="L805" s="6"/>
      <c r="M805" s="5" t="str">
        <f>IFERROR(VLOOKUP(E805,Specifications!$A$2:$D$9,2,FALSE),"")</f>
        <v/>
      </c>
      <c r="N805" s="5" t="str">
        <f>IFERROR(VLOOKUP(E805,Specifications!$A$2:$D$9,3,FALSE),"")</f>
        <v/>
      </c>
      <c r="O805" s="5" t="str">
        <f>IFERROR(VLOOKUP(E805,Specifications!$A$2:$D$9,4,FALSE),"")</f>
        <v/>
      </c>
      <c r="P805" s="8" t="str">
        <f t="shared" si="39"/>
        <v/>
      </c>
      <c r="Q805" s="9"/>
    </row>
    <row r="806" spans="1:17" ht="15">
      <c r="A806" s="5" t="str">
        <f t="shared" si="37"/>
        <v/>
      </c>
      <c r="B806" s="6"/>
      <c r="C806" s="5" t="str">
        <f>IFERROR(VLOOKUP(B806,Lists!$A$2:$B$25,2,FALSE),"")</f>
        <v/>
      </c>
      <c r="D806" s="7"/>
      <c r="E806" s="6"/>
      <c r="F806" s="6" t="str">
        <f t="shared" si="38"/>
        <v/>
      </c>
      <c r="G806" s="6"/>
      <c r="H806" s="6"/>
      <c r="I806" s="6"/>
      <c r="J806" s="7"/>
      <c r="K806" s="5" t="str" cm="1">
        <f t="array" ref="K806">IF(OR(A806="",B806="",D806="",E806=""),"",A806&amp;"_"&amp;SUBSTITUTE(B806," ","-")&amp;"_"&amp;D806&amp;"_"&amp;SUBSTITUTE(SUBSTITUTE(E806," ",""),"€","Euro")&amp;"_"&amp;IF(F806="","Unknown",F806)&amp;IF(F806="Commemorative",IF(G806="","","_"&amp;SUBSTITUTE(SUBSTITUTE(SUBSTITUTE(G806," ","-"),"/","-"),CHAR(39),"")),"")&amp;IF(I806="Duplicate","_Dub"&amp;IF(SUMPRODUCT(($B$2:B806=B806)*($D$2:D806=D806)*($E$2:E806=E806)*($F$2:F806=F806)*($G$2:G806=G806)*($I$2:I806="Duplicate"))&lt;=1,"",SUMPRODUCT(($B$2:B806=B806)*($D$2:D806=D806)*($E$2:E806=E806)*($F$2:F806=F806)*($G$2:G806=G806)*($I$2:I806="Duplicate"))-1),"")&amp;".jpeg")</f>
        <v/>
      </c>
      <c r="L806" s="6"/>
      <c r="M806" s="5" t="str">
        <f>IFERROR(VLOOKUP(E806,Specifications!$A$2:$D$9,2,FALSE),"")</f>
        <v/>
      </c>
      <c r="N806" s="5" t="str">
        <f>IFERROR(VLOOKUP(E806,Specifications!$A$2:$D$9,3,FALSE),"")</f>
        <v/>
      </c>
      <c r="O806" s="5" t="str">
        <f>IFERROR(VLOOKUP(E806,Specifications!$A$2:$D$9,4,FALSE),"")</f>
        <v/>
      </c>
      <c r="P806" s="8" t="str">
        <f t="shared" si="39"/>
        <v/>
      </c>
      <c r="Q806" s="9"/>
    </row>
    <row r="807" spans="1:17" ht="15">
      <c r="A807" s="5" t="str">
        <f t="shared" si="37"/>
        <v/>
      </c>
      <c r="B807" s="6"/>
      <c r="C807" s="5" t="str">
        <f>IFERROR(VLOOKUP(B807,Lists!$A$2:$B$25,2,FALSE),"")</f>
        <v/>
      </c>
      <c r="D807" s="7"/>
      <c r="E807" s="6"/>
      <c r="F807" s="6" t="str">
        <f t="shared" si="38"/>
        <v/>
      </c>
      <c r="G807" s="6"/>
      <c r="H807" s="6"/>
      <c r="I807" s="6"/>
      <c r="J807" s="7"/>
      <c r="K807" s="5" t="str" cm="1">
        <f t="array" ref="K807">IF(OR(A807="",B807="",D807="",E807=""),"",A807&amp;"_"&amp;SUBSTITUTE(B807," ","-")&amp;"_"&amp;D807&amp;"_"&amp;SUBSTITUTE(SUBSTITUTE(E807," ",""),"€","Euro")&amp;"_"&amp;IF(F807="","Unknown",F807)&amp;IF(F807="Commemorative",IF(G807="","","_"&amp;SUBSTITUTE(SUBSTITUTE(SUBSTITUTE(G807," ","-"),"/","-"),CHAR(39),"")),"")&amp;IF(I807="Duplicate","_Dub"&amp;IF(SUMPRODUCT(($B$2:B807=B807)*($D$2:D807=D807)*($E$2:E807=E807)*($F$2:F807=F807)*($G$2:G807=G807)*($I$2:I807="Duplicate"))&lt;=1,"",SUMPRODUCT(($B$2:B807=B807)*($D$2:D807=D807)*($E$2:E807=E807)*($F$2:F807=F807)*($G$2:G807=G807)*($I$2:I807="Duplicate"))-1),"")&amp;".jpeg")</f>
        <v/>
      </c>
      <c r="L807" s="6"/>
      <c r="M807" s="5" t="str">
        <f>IFERROR(VLOOKUP(E807,Specifications!$A$2:$D$9,2,FALSE),"")</f>
        <v/>
      </c>
      <c r="N807" s="5" t="str">
        <f>IFERROR(VLOOKUP(E807,Specifications!$A$2:$D$9,3,FALSE),"")</f>
        <v/>
      </c>
      <c r="O807" s="5" t="str">
        <f>IFERROR(VLOOKUP(E807,Specifications!$A$2:$D$9,4,FALSE),"")</f>
        <v/>
      </c>
      <c r="P807" s="8" t="str">
        <f t="shared" si="39"/>
        <v/>
      </c>
      <c r="Q807" s="9"/>
    </row>
    <row r="808" spans="1:17" ht="15">
      <c r="A808" s="5" t="str">
        <f t="shared" si="37"/>
        <v/>
      </c>
      <c r="B808" s="6"/>
      <c r="C808" s="5" t="str">
        <f>IFERROR(VLOOKUP(B808,Lists!$A$2:$B$25,2,FALSE),"")</f>
        <v/>
      </c>
      <c r="D808" s="7"/>
      <c r="E808" s="6"/>
      <c r="F808" s="6" t="str">
        <f t="shared" si="38"/>
        <v/>
      </c>
      <c r="G808" s="6"/>
      <c r="H808" s="6"/>
      <c r="I808" s="6"/>
      <c r="J808" s="7"/>
      <c r="K808" s="5" t="str" cm="1">
        <f t="array" ref="K808">IF(OR(A808="",B808="",D808="",E808=""),"",A808&amp;"_"&amp;SUBSTITUTE(B808," ","-")&amp;"_"&amp;D808&amp;"_"&amp;SUBSTITUTE(SUBSTITUTE(E808," ",""),"€","Euro")&amp;"_"&amp;IF(F808="","Unknown",F808)&amp;IF(F808="Commemorative",IF(G808="","","_"&amp;SUBSTITUTE(SUBSTITUTE(SUBSTITUTE(G808," ","-"),"/","-"),CHAR(39),"")),"")&amp;IF(I808="Duplicate","_Dub"&amp;IF(SUMPRODUCT(($B$2:B808=B808)*($D$2:D808=D808)*($E$2:E808=E808)*($F$2:F808=F808)*($G$2:G808=G808)*($I$2:I808="Duplicate"))&lt;=1,"",SUMPRODUCT(($B$2:B808=B808)*($D$2:D808=D808)*($E$2:E808=E808)*($F$2:F808=F808)*($G$2:G808=G808)*($I$2:I808="Duplicate"))-1),"")&amp;".jpeg")</f>
        <v/>
      </c>
      <c r="L808" s="6"/>
      <c r="M808" s="5" t="str">
        <f>IFERROR(VLOOKUP(E808,Specifications!$A$2:$D$9,2,FALSE),"")</f>
        <v/>
      </c>
      <c r="N808" s="5" t="str">
        <f>IFERROR(VLOOKUP(E808,Specifications!$A$2:$D$9,3,FALSE),"")</f>
        <v/>
      </c>
      <c r="O808" s="5" t="str">
        <f>IFERROR(VLOOKUP(E808,Specifications!$A$2:$D$9,4,FALSE),"")</f>
        <v/>
      </c>
      <c r="P808" s="8" t="str">
        <f t="shared" si="39"/>
        <v/>
      </c>
      <c r="Q808" s="9"/>
    </row>
    <row r="809" spans="1:17" ht="15">
      <c r="A809" s="5" t="str">
        <f t="shared" si="37"/>
        <v/>
      </c>
      <c r="B809" s="6"/>
      <c r="C809" s="5" t="str">
        <f>IFERROR(VLOOKUP(B809,Lists!$A$2:$B$25,2,FALSE),"")</f>
        <v/>
      </c>
      <c r="D809" s="7"/>
      <c r="E809" s="6"/>
      <c r="F809" s="6" t="str">
        <f t="shared" si="38"/>
        <v/>
      </c>
      <c r="G809" s="6"/>
      <c r="H809" s="6"/>
      <c r="I809" s="6"/>
      <c r="J809" s="7"/>
      <c r="K809" s="5" t="str" cm="1">
        <f t="array" ref="K809">IF(OR(A809="",B809="",D809="",E809=""),"",A809&amp;"_"&amp;SUBSTITUTE(B809," ","-")&amp;"_"&amp;D809&amp;"_"&amp;SUBSTITUTE(SUBSTITUTE(E809," ",""),"€","Euro")&amp;"_"&amp;IF(F809="","Unknown",F809)&amp;IF(F809="Commemorative",IF(G809="","","_"&amp;SUBSTITUTE(SUBSTITUTE(SUBSTITUTE(G809," ","-"),"/","-"),CHAR(39),"")),"")&amp;IF(I809="Duplicate","_Dub"&amp;IF(SUMPRODUCT(($B$2:B809=B809)*($D$2:D809=D809)*($E$2:E809=E809)*($F$2:F809=F809)*($G$2:G809=G809)*($I$2:I809="Duplicate"))&lt;=1,"",SUMPRODUCT(($B$2:B809=B809)*($D$2:D809=D809)*($E$2:E809=E809)*($F$2:F809=F809)*($G$2:G809=G809)*($I$2:I809="Duplicate"))-1),"")&amp;".jpeg")</f>
        <v/>
      </c>
      <c r="L809" s="6"/>
      <c r="M809" s="5" t="str">
        <f>IFERROR(VLOOKUP(E809,Specifications!$A$2:$D$9,2,FALSE),"")</f>
        <v/>
      </c>
      <c r="N809" s="5" t="str">
        <f>IFERROR(VLOOKUP(E809,Specifications!$A$2:$D$9,3,FALSE),"")</f>
        <v/>
      </c>
      <c r="O809" s="5" t="str">
        <f>IFERROR(VLOOKUP(E809,Specifications!$A$2:$D$9,4,FALSE),"")</f>
        <v/>
      </c>
      <c r="P809" s="8" t="str">
        <f t="shared" si="39"/>
        <v/>
      </c>
      <c r="Q809" s="9"/>
    </row>
    <row r="810" spans="1:17" ht="15">
      <c r="A810" s="5" t="str">
        <f t="shared" si="37"/>
        <v/>
      </c>
      <c r="B810" s="6"/>
      <c r="C810" s="5" t="str">
        <f>IFERROR(VLOOKUP(B810,Lists!$A$2:$B$25,2,FALSE),"")</f>
        <v/>
      </c>
      <c r="D810" s="7"/>
      <c r="E810" s="6"/>
      <c r="F810" s="6" t="str">
        <f t="shared" si="38"/>
        <v/>
      </c>
      <c r="G810" s="6"/>
      <c r="H810" s="6"/>
      <c r="I810" s="6"/>
      <c r="J810" s="7"/>
      <c r="K810" s="5" t="str" cm="1">
        <f t="array" ref="K810">IF(OR(A810="",B810="",D810="",E810=""),"",A810&amp;"_"&amp;SUBSTITUTE(B810," ","-")&amp;"_"&amp;D810&amp;"_"&amp;SUBSTITUTE(SUBSTITUTE(E810," ",""),"€","Euro")&amp;"_"&amp;IF(F810="","Unknown",F810)&amp;IF(F810="Commemorative",IF(G810="","","_"&amp;SUBSTITUTE(SUBSTITUTE(SUBSTITUTE(G810," ","-"),"/","-"),CHAR(39),"")),"")&amp;IF(I810="Duplicate","_Dub"&amp;IF(SUMPRODUCT(($B$2:B810=B810)*($D$2:D810=D810)*($E$2:E810=E810)*($F$2:F810=F810)*($G$2:G810=G810)*($I$2:I810="Duplicate"))&lt;=1,"",SUMPRODUCT(($B$2:B810=B810)*($D$2:D810=D810)*($E$2:E810=E810)*($F$2:F810=F810)*($G$2:G810=G810)*($I$2:I810="Duplicate"))-1),"")&amp;".jpeg")</f>
        <v/>
      </c>
      <c r="L810" s="6"/>
      <c r="M810" s="5" t="str">
        <f>IFERROR(VLOOKUP(E810,Specifications!$A$2:$D$9,2,FALSE),"")</f>
        <v/>
      </c>
      <c r="N810" s="5" t="str">
        <f>IFERROR(VLOOKUP(E810,Specifications!$A$2:$D$9,3,FALSE),"")</f>
        <v/>
      </c>
      <c r="O810" s="5" t="str">
        <f>IFERROR(VLOOKUP(E810,Specifications!$A$2:$D$9,4,FALSE),"")</f>
        <v/>
      </c>
      <c r="P810" s="8" t="str">
        <f t="shared" si="39"/>
        <v/>
      </c>
      <c r="Q810" s="9"/>
    </row>
    <row r="811" spans="1:17" ht="15">
      <c r="A811" s="5" t="str">
        <f t="shared" si="37"/>
        <v/>
      </c>
      <c r="B811" s="6"/>
      <c r="C811" s="5" t="str">
        <f>IFERROR(VLOOKUP(B811,Lists!$A$2:$B$25,2,FALSE),"")</f>
        <v/>
      </c>
      <c r="D811" s="7"/>
      <c r="E811" s="6"/>
      <c r="F811" s="6" t="str">
        <f t="shared" si="38"/>
        <v/>
      </c>
      <c r="G811" s="6"/>
      <c r="H811" s="6"/>
      <c r="I811" s="6"/>
      <c r="J811" s="7"/>
      <c r="K811" s="5" t="str" cm="1">
        <f t="array" ref="K811">IF(OR(A811="",B811="",D811="",E811=""),"",A811&amp;"_"&amp;SUBSTITUTE(B811," ","-")&amp;"_"&amp;D811&amp;"_"&amp;SUBSTITUTE(SUBSTITUTE(E811," ",""),"€","Euro")&amp;"_"&amp;IF(F811="","Unknown",F811)&amp;IF(F811="Commemorative",IF(G811="","","_"&amp;SUBSTITUTE(SUBSTITUTE(SUBSTITUTE(G811," ","-"),"/","-"),CHAR(39),"")),"")&amp;IF(I811="Duplicate","_Dub"&amp;IF(SUMPRODUCT(($B$2:B811=B811)*($D$2:D811=D811)*($E$2:E811=E811)*($F$2:F811=F811)*($G$2:G811=G811)*($I$2:I811="Duplicate"))&lt;=1,"",SUMPRODUCT(($B$2:B811=B811)*($D$2:D811=D811)*($E$2:E811=E811)*($F$2:F811=F811)*($G$2:G811=G811)*($I$2:I811="Duplicate"))-1),"")&amp;".jpeg")</f>
        <v/>
      </c>
      <c r="L811" s="6"/>
      <c r="M811" s="5" t="str">
        <f>IFERROR(VLOOKUP(E811,Specifications!$A$2:$D$9,2,FALSE),"")</f>
        <v/>
      </c>
      <c r="N811" s="5" t="str">
        <f>IFERROR(VLOOKUP(E811,Specifications!$A$2:$D$9,3,FALSE),"")</f>
        <v/>
      </c>
      <c r="O811" s="5" t="str">
        <f>IFERROR(VLOOKUP(E811,Specifications!$A$2:$D$9,4,FALSE),"")</f>
        <v/>
      </c>
      <c r="P811" s="8" t="str">
        <f t="shared" si="39"/>
        <v/>
      </c>
      <c r="Q811" s="9"/>
    </row>
    <row r="812" spans="1:17" ht="15">
      <c r="A812" s="5" t="str">
        <f t="shared" si="37"/>
        <v/>
      </c>
      <c r="B812" s="6"/>
      <c r="C812" s="5" t="str">
        <f>IFERROR(VLOOKUP(B812,Lists!$A$2:$B$25,2,FALSE),"")</f>
        <v/>
      </c>
      <c r="D812" s="7"/>
      <c r="E812" s="6"/>
      <c r="F812" s="6" t="str">
        <f t="shared" si="38"/>
        <v/>
      </c>
      <c r="G812" s="6"/>
      <c r="H812" s="6"/>
      <c r="I812" s="6"/>
      <c r="J812" s="7"/>
      <c r="K812" s="5" t="str" cm="1">
        <f t="array" ref="K812">IF(OR(A812="",B812="",D812="",E812=""),"",A812&amp;"_"&amp;SUBSTITUTE(B812," ","-")&amp;"_"&amp;D812&amp;"_"&amp;SUBSTITUTE(SUBSTITUTE(E812," ",""),"€","Euro")&amp;"_"&amp;IF(F812="","Unknown",F812)&amp;IF(F812="Commemorative",IF(G812="","","_"&amp;SUBSTITUTE(SUBSTITUTE(SUBSTITUTE(G812," ","-"),"/","-"),CHAR(39),"")),"")&amp;IF(I812="Duplicate","_Dub"&amp;IF(SUMPRODUCT(($B$2:B812=B812)*($D$2:D812=D812)*($E$2:E812=E812)*($F$2:F812=F812)*($G$2:G812=G812)*($I$2:I812="Duplicate"))&lt;=1,"",SUMPRODUCT(($B$2:B812=B812)*($D$2:D812=D812)*($E$2:E812=E812)*($F$2:F812=F812)*($G$2:G812=G812)*($I$2:I812="Duplicate"))-1),"")&amp;".jpeg")</f>
        <v/>
      </c>
      <c r="L812" s="6"/>
      <c r="M812" s="5" t="str">
        <f>IFERROR(VLOOKUP(E812,Specifications!$A$2:$D$9,2,FALSE),"")</f>
        <v/>
      </c>
      <c r="N812" s="5" t="str">
        <f>IFERROR(VLOOKUP(E812,Specifications!$A$2:$D$9,3,FALSE),"")</f>
        <v/>
      </c>
      <c r="O812" s="5" t="str">
        <f>IFERROR(VLOOKUP(E812,Specifications!$A$2:$D$9,4,FALSE),"")</f>
        <v/>
      </c>
      <c r="P812" s="8" t="str">
        <f t="shared" si="39"/>
        <v/>
      </c>
      <c r="Q812" s="9"/>
    </row>
    <row r="813" spans="1:17" ht="15">
      <c r="A813" s="5" t="str">
        <f t="shared" si="37"/>
        <v/>
      </c>
      <c r="B813" s="6"/>
      <c r="C813" s="5" t="str">
        <f>IFERROR(VLOOKUP(B813,Lists!$A$2:$B$25,2,FALSE),"")</f>
        <v/>
      </c>
      <c r="D813" s="7"/>
      <c r="E813" s="6"/>
      <c r="F813" s="6" t="str">
        <f t="shared" si="38"/>
        <v/>
      </c>
      <c r="G813" s="6"/>
      <c r="H813" s="6"/>
      <c r="I813" s="6"/>
      <c r="J813" s="7"/>
      <c r="K813" s="5" t="str" cm="1">
        <f t="array" ref="K813">IF(OR(A813="",B813="",D813="",E813=""),"",A813&amp;"_"&amp;SUBSTITUTE(B813," ","-")&amp;"_"&amp;D813&amp;"_"&amp;SUBSTITUTE(SUBSTITUTE(E813," ",""),"€","Euro")&amp;"_"&amp;IF(F813="","Unknown",F813)&amp;IF(F813="Commemorative",IF(G813="","","_"&amp;SUBSTITUTE(SUBSTITUTE(SUBSTITUTE(G813," ","-"),"/","-"),CHAR(39),"")),"")&amp;IF(I813="Duplicate","_Dub"&amp;IF(SUMPRODUCT(($B$2:B813=B813)*($D$2:D813=D813)*($E$2:E813=E813)*($F$2:F813=F813)*($G$2:G813=G813)*($I$2:I813="Duplicate"))&lt;=1,"",SUMPRODUCT(($B$2:B813=B813)*($D$2:D813=D813)*($E$2:E813=E813)*($F$2:F813=F813)*($G$2:G813=G813)*($I$2:I813="Duplicate"))-1),"")&amp;".jpeg")</f>
        <v/>
      </c>
      <c r="L813" s="6"/>
      <c r="M813" s="5" t="str">
        <f>IFERROR(VLOOKUP(E813,Specifications!$A$2:$D$9,2,FALSE),"")</f>
        <v/>
      </c>
      <c r="N813" s="5" t="str">
        <f>IFERROR(VLOOKUP(E813,Specifications!$A$2:$D$9,3,FALSE),"")</f>
        <v/>
      </c>
      <c r="O813" s="5" t="str">
        <f>IFERROR(VLOOKUP(E813,Specifications!$A$2:$D$9,4,FALSE),"")</f>
        <v/>
      </c>
      <c r="P813" s="8" t="str">
        <f t="shared" si="39"/>
        <v/>
      </c>
      <c r="Q813" s="9"/>
    </row>
    <row r="814" spans="1:17" ht="15">
      <c r="A814" s="5" t="str">
        <f t="shared" si="37"/>
        <v/>
      </c>
      <c r="B814" s="6"/>
      <c r="C814" s="5" t="str">
        <f>IFERROR(VLOOKUP(B814,Lists!$A$2:$B$25,2,FALSE),"")</f>
        <v/>
      </c>
      <c r="D814" s="7"/>
      <c r="E814" s="6"/>
      <c r="F814" s="6" t="str">
        <f t="shared" si="38"/>
        <v/>
      </c>
      <c r="G814" s="6"/>
      <c r="H814" s="6"/>
      <c r="I814" s="6"/>
      <c r="J814" s="7"/>
      <c r="K814" s="5" t="str" cm="1">
        <f t="array" ref="K814">IF(OR(A814="",B814="",D814="",E814=""),"",A814&amp;"_"&amp;SUBSTITUTE(B814," ","-")&amp;"_"&amp;D814&amp;"_"&amp;SUBSTITUTE(SUBSTITUTE(E814," ",""),"€","Euro")&amp;"_"&amp;IF(F814="","Unknown",F814)&amp;IF(F814="Commemorative",IF(G814="","","_"&amp;SUBSTITUTE(SUBSTITUTE(SUBSTITUTE(G814," ","-"),"/","-"),CHAR(39),"")),"")&amp;IF(I814="Duplicate","_Dub"&amp;IF(SUMPRODUCT(($B$2:B814=B814)*($D$2:D814=D814)*($E$2:E814=E814)*($F$2:F814=F814)*($G$2:G814=G814)*($I$2:I814="Duplicate"))&lt;=1,"",SUMPRODUCT(($B$2:B814=B814)*($D$2:D814=D814)*($E$2:E814=E814)*($F$2:F814=F814)*($G$2:G814=G814)*($I$2:I814="Duplicate"))-1),"")&amp;".jpeg")</f>
        <v/>
      </c>
      <c r="L814" s="6"/>
      <c r="M814" s="5" t="str">
        <f>IFERROR(VLOOKUP(E814,Specifications!$A$2:$D$9,2,FALSE),"")</f>
        <v/>
      </c>
      <c r="N814" s="5" t="str">
        <f>IFERROR(VLOOKUP(E814,Specifications!$A$2:$D$9,3,FALSE),"")</f>
        <v/>
      </c>
      <c r="O814" s="5" t="str">
        <f>IFERROR(VLOOKUP(E814,Specifications!$A$2:$D$9,4,FALSE),"")</f>
        <v/>
      </c>
      <c r="P814" s="8" t="str">
        <f t="shared" si="39"/>
        <v/>
      </c>
      <c r="Q814" s="9"/>
    </row>
    <row r="815" spans="1:17" ht="15">
      <c r="A815" s="5" t="str">
        <f t="shared" si="37"/>
        <v/>
      </c>
      <c r="B815" s="6"/>
      <c r="C815" s="5" t="str">
        <f>IFERROR(VLOOKUP(B815,Lists!$A$2:$B$25,2,FALSE),"")</f>
        <v/>
      </c>
      <c r="D815" s="7"/>
      <c r="E815" s="6"/>
      <c r="F815" s="6" t="str">
        <f t="shared" si="38"/>
        <v/>
      </c>
      <c r="G815" s="6"/>
      <c r="H815" s="6"/>
      <c r="I815" s="6"/>
      <c r="J815" s="7"/>
      <c r="K815" s="5" t="str" cm="1">
        <f t="array" ref="K815">IF(OR(A815="",B815="",D815="",E815=""),"",A815&amp;"_"&amp;SUBSTITUTE(B815," ","-")&amp;"_"&amp;D815&amp;"_"&amp;SUBSTITUTE(SUBSTITUTE(E815," ",""),"€","Euro")&amp;"_"&amp;IF(F815="","Unknown",F815)&amp;IF(F815="Commemorative",IF(G815="","","_"&amp;SUBSTITUTE(SUBSTITUTE(SUBSTITUTE(G815," ","-"),"/","-"),CHAR(39),"")),"")&amp;IF(I815="Duplicate","_Dub"&amp;IF(SUMPRODUCT(($B$2:B815=B815)*($D$2:D815=D815)*($E$2:E815=E815)*($F$2:F815=F815)*($G$2:G815=G815)*($I$2:I815="Duplicate"))&lt;=1,"",SUMPRODUCT(($B$2:B815=B815)*($D$2:D815=D815)*($E$2:E815=E815)*($F$2:F815=F815)*($G$2:G815=G815)*($I$2:I815="Duplicate"))-1),"")&amp;".jpeg")</f>
        <v/>
      </c>
      <c r="L815" s="6"/>
      <c r="M815" s="5" t="str">
        <f>IFERROR(VLOOKUP(E815,Specifications!$A$2:$D$9,2,FALSE),"")</f>
        <v/>
      </c>
      <c r="N815" s="5" t="str">
        <f>IFERROR(VLOOKUP(E815,Specifications!$A$2:$D$9,3,FALSE),"")</f>
        <v/>
      </c>
      <c r="O815" s="5" t="str">
        <f>IFERROR(VLOOKUP(E815,Specifications!$A$2:$D$9,4,FALSE),"")</f>
        <v/>
      </c>
      <c r="P815" s="8" t="str">
        <f t="shared" si="39"/>
        <v/>
      </c>
      <c r="Q815" s="9"/>
    </row>
    <row r="816" spans="1:17" ht="15">
      <c r="A816" s="5" t="str">
        <f t="shared" si="37"/>
        <v/>
      </c>
      <c r="B816" s="6"/>
      <c r="C816" s="5" t="str">
        <f>IFERROR(VLOOKUP(B816,Lists!$A$2:$B$25,2,FALSE),"")</f>
        <v/>
      </c>
      <c r="D816" s="7"/>
      <c r="E816" s="6"/>
      <c r="F816" s="6" t="str">
        <f t="shared" si="38"/>
        <v/>
      </c>
      <c r="G816" s="6"/>
      <c r="H816" s="6"/>
      <c r="I816" s="6"/>
      <c r="J816" s="7"/>
      <c r="K816" s="5" t="str" cm="1">
        <f t="array" ref="K816">IF(OR(A816="",B816="",D816="",E816=""),"",A816&amp;"_"&amp;SUBSTITUTE(B816," ","-")&amp;"_"&amp;D816&amp;"_"&amp;SUBSTITUTE(SUBSTITUTE(E816," ",""),"€","Euro")&amp;"_"&amp;IF(F816="","Unknown",F816)&amp;IF(F816="Commemorative",IF(G816="","","_"&amp;SUBSTITUTE(SUBSTITUTE(SUBSTITUTE(G816," ","-"),"/","-"),CHAR(39),"")),"")&amp;IF(I816="Duplicate","_Dub"&amp;IF(SUMPRODUCT(($B$2:B816=B816)*($D$2:D816=D816)*($E$2:E816=E816)*($F$2:F816=F816)*($G$2:G816=G816)*($I$2:I816="Duplicate"))&lt;=1,"",SUMPRODUCT(($B$2:B816=B816)*($D$2:D816=D816)*($E$2:E816=E816)*($F$2:F816=F816)*($G$2:G816=G816)*($I$2:I816="Duplicate"))-1),"")&amp;".jpeg")</f>
        <v/>
      </c>
      <c r="L816" s="6"/>
      <c r="M816" s="5" t="str">
        <f>IFERROR(VLOOKUP(E816,Specifications!$A$2:$D$9,2,FALSE),"")</f>
        <v/>
      </c>
      <c r="N816" s="5" t="str">
        <f>IFERROR(VLOOKUP(E816,Specifications!$A$2:$D$9,3,FALSE),"")</f>
        <v/>
      </c>
      <c r="O816" s="5" t="str">
        <f>IFERROR(VLOOKUP(E816,Specifications!$A$2:$D$9,4,FALSE),"")</f>
        <v/>
      </c>
      <c r="P816" s="8" t="str">
        <f t="shared" si="39"/>
        <v/>
      </c>
      <c r="Q816" s="9"/>
    </row>
    <row r="817" spans="1:17" ht="15">
      <c r="A817" s="5" t="str">
        <f t="shared" si="37"/>
        <v/>
      </c>
      <c r="B817" s="6"/>
      <c r="C817" s="5" t="str">
        <f>IFERROR(VLOOKUP(B817,Lists!$A$2:$B$25,2,FALSE),"")</f>
        <v/>
      </c>
      <c r="D817" s="7"/>
      <c r="E817" s="6"/>
      <c r="F817" s="6" t="str">
        <f t="shared" si="38"/>
        <v/>
      </c>
      <c r="G817" s="6"/>
      <c r="H817" s="6"/>
      <c r="I817" s="6"/>
      <c r="J817" s="7"/>
      <c r="K817" s="5" t="str" cm="1">
        <f t="array" ref="K817">IF(OR(A817="",B817="",D817="",E817=""),"",A817&amp;"_"&amp;SUBSTITUTE(B817," ","-")&amp;"_"&amp;D817&amp;"_"&amp;SUBSTITUTE(SUBSTITUTE(E817," ",""),"€","Euro")&amp;"_"&amp;IF(F817="","Unknown",F817)&amp;IF(F817="Commemorative",IF(G817="","","_"&amp;SUBSTITUTE(SUBSTITUTE(SUBSTITUTE(G817," ","-"),"/","-"),CHAR(39),"")),"")&amp;IF(I817="Duplicate","_Dub"&amp;IF(SUMPRODUCT(($B$2:B817=B817)*($D$2:D817=D817)*($E$2:E817=E817)*($F$2:F817=F817)*($G$2:G817=G817)*($I$2:I817="Duplicate"))&lt;=1,"",SUMPRODUCT(($B$2:B817=B817)*($D$2:D817=D817)*($E$2:E817=E817)*($F$2:F817=F817)*($G$2:G817=G817)*($I$2:I817="Duplicate"))-1),"")&amp;".jpeg")</f>
        <v/>
      </c>
      <c r="L817" s="6"/>
      <c r="M817" s="5" t="str">
        <f>IFERROR(VLOOKUP(E817,Specifications!$A$2:$D$9,2,FALSE),"")</f>
        <v/>
      </c>
      <c r="N817" s="5" t="str">
        <f>IFERROR(VLOOKUP(E817,Specifications!$A$2:$D$9,3,FALSE),"")</f>
        <v/>
      </c>
      <c r="O817" s="5" t="str">
        <f>IFERROR(VLOOKUP(E817,Specifications!$A$2:$D$9,4,FALSE),"")</f>
        <v/>
      </c>
      <c r="P817" s="8" t="str">
        <f t="shared" si="39"/>
        <v/>
      </c>
      <c r="Q817" s="9"/>
    </row>
    <row r="818" spans="1:17" ht="15">
      <c r="A818" s="5" t="str">
        <f t="shared" si="37"/>
        <v/>
      </c>
      <c r="B818" s="6"/>
      <c r="C818" s="5" t="str">
        <f>IFERROR(VLOOKUP(B818,Lists!$A$2:$B$25,2,FALSE),"")</f>
        <v/>
      </c>
      <c r="D818" s="7"/>
      <c r="E818" s="6"/>
      <c r="F818" s="6" t="str">
        <f t="shared" si="38"/>
        <v/>
      </c>
      <c r="G818" s="6"/>
      <c r="H818" s="6"/>
      <c r="I818" s="6"/>
      <c r="J818" s="7"/>
      <c r="K818" s="5" t="str" cm="1">
        <f t="array" ref="K818">IF(OR(A818="",B818="",D818="",E818=""),"",A818&amp;"_"&amp;SUBSTITUTE(B818," ","-")&amp;"_"&amp;D818&amp;"_"&amp;SUBSTITUTE(SUBSTITUTE(E818," ",""),"€","Euro")&amp;"_"&amp;IF(F818="","Unknown",F818)&amp;IF(F818="Commemorative",IF(G818="","","_"&amp;SUBSTITUTE(SUBSTITUTE(SUBSTITUTE(G818," ","-"),"/","-"),CHAR(39),"")),"")&amp;IF(I818="Duplicate","_Dub"&amp;IF(SUMPRODUCT(($B$2:B818=B818)*($D$2:D818=D818)*($E$2:E818=E818)*($F$2:F818=F818)*($G$2:G818=G818)*($I$2:I818="Duplicate"))&lt;=1,"",SUMPRODUCT(($B$2:B818=B818)*($D$2:D818=D818)*($E$2:E818=E818)*($F$2:F818=F818)*($G$2:G818=G818)*($I$2:I818="Duplicate"))-1),"")&amp;".jpeg")</f>
        <v/>
      </c>
      <c r="L818" s="6"/>
      <c r="M818" s="5" t="str">
        <f>IFERROR(VLOOKUP(E818,Specifications!$A$2:$D$9,2,FALSE),"")</f>
        <v/>
      </c>
      <c r="N818" s="5" t="str">
        <f>IFERROR(VLOOKUP(E818,Specifications!$A$2:$D$9,3,FALSE),"")</f>
        <v/>
      </c>
      <c r="O818" s="5" t="str">
        <f>IFERROR(VLOOKUP(E818,Specifications!$A$2:$D$9,4,FALSE),"")</f>
        <v/>
      </c>
      <c r="P818" s="8" t="str">
        <f t="shared" si="39"/>
        <v/>
      </c>
      <c r="Q818" s="9"/>
    </row>
    <row r="819" spans="1:17" ht="15">
      <c r="A819" s="5" t="str">
        <f t="shared" si="37"/>
        <v/>
      </c>
      <c r="B819" s="6"/>
      <c r="C819" s="5" t="str">
        <f>IFERROR(VLOOKUP(B819,Lists!$A$2:$B$25,2,FALSE),"")</f>
        <v/>
      </c>
      <c r="D819" s="7"/>
      <c r="E819" s="6"/>
      <c r="F819" s="6" t="str">
        <f t="shared" si="38"/>
        <v/>
      </c>
      <c r="G819" s="6"/>
      <c r="H819" s="6"/>
      <c r="I819" s="6"/>
      <c r="J819" s="7"/>
      <c r="K819" s="5" t="str" cm="1">
        <f t="array" ref="K819">IF(OR(A819="",B819="",D819="",E819=""),"",A819&amp;"_"&amp;SUBSTITUTE(B819," ","-")&amp;"_"&amp;D819&amp;"_"&amp;SUBSTITUTE(SUBSTITUTE(E819," ",""),"€","Euro")&amp;"_"&amp;IF(F819="","Unknown",F819)&amp;IF(F819="Commemorative",IF(G819="","","_"&amp;SUBSTITUTE(SUBSTITUTE(SUBSTITUTE(G819," ","-"),"/","-"),CHAR(39),"")),"")&amp;IF(I819="Duplicate","_Dub"&amp;IF(SUMPRODUCT(($B$2:B819=B819)*($D$2:D819=D819)*($E$2:E819=E819)*($F$2:F819=F819)*($G$2:G819=G819)*($I$2:I819="Duplicate"))&lt;=1,"",SUMPRODUCT(($B$2:B819=B819)*($D$2:D819=D819)*($E$2:E819=E819)*($F$2:F819=F819)*($G$2:G819=G819)*($I$2:I819="Duplicate"))-1),"")&amp;".jpeg")</f>
        <v/>
      </c>
      <c r="L819" s="6"/>
      <c r="M819" s="5" t="str">
        <f>IFERROR(VLOOKUP(E819,Specifications!$A$2:$D$9,2,FALSE),"")</f>
        <v/>
      </c>
      <c r="N819" s="5" t="str">
        <f>IFERROR(VLOOKUP(E819,Specifications!$A$2:$D$9,3,FALSE),"")</f>
        <v/>
      </c>
      <c r="O819" s="5" t="str">
        <f>IFERROR(VLOOKUP(E819,Specifications!$A$2:$D$9,4,FALSE),"")</f>
        <v/>
      </c>
      <c r="P819" s="8" t="str">
        <f t="shared" si="39"/>
        <v/>
      </c>
      <c r="Q819" s="9"/>
    </row>
    <row r="820" spans="1:17" ht="15">
      <c r="A820" s="5" t="str">
        <f t="shared" si="37"/>
        <v/>
      </c>
      <c r="B820" s="6"/>
      <c r="C820" s="5" t="str">
        <f>IFERROR(VLOOKUP(B820,Lists!$A$2:$B$25,2,FALSE),"")</f>
        <v/>
      </c>
      <c r="D820" s="7"/>
      <c r="E820" s="6"/>
      <c r="F820" s="6" t="str">
        <f t="shared" si="38"/>
        <v/>
      </c>
      <c r="G820" s="6"/>
      <c r="H820" s="6"/>
      <c r="I820" s="6"/>
      <c r="J820" s="7"/>
      <c r="K820" s="5" t="str" cm="1">
        <f t="array" ref="K820">IF(OR(A820="",B820="",D820="",E820=""),"",A820&amp;"_"&amp;SUBSTITUTE(B820," ","-")&amp;"_"&amp;D820&amp;"_"&amp;SUBSTITUTE(SUBSTITUTE(E820," ",""),"€","Euro")&amp;"_"&amp;IF(F820="","Unknown",F820)&amp;IF(F820="Commemorative",IF(G820="","","_"&amp;SUBSTITUTE(SUBSTITUTE(SUBSTITUTE(G820," ","-"),"/","-"),CHAR(39),"")),"")&amp;IF(I820="Duplicate","_Dub"&amp;IF(SUMPRODUCT(($B$2:B820=B820)*($D$2:D820=D820)*($E$2:E820=E820)*($F$2:F820=F820)*($G$2:G820=G820)*($I$2:I820="Duplicate"))&lt;=1,"",SUMPRODUCT(($B$2:B820=B820)*($D$2:D820=D820)*($E$2:E820=E820)*($F$2:F820=F820)*($G$2:G820=G820)*($I$2:I820="Duplicate"))-1),"")&amp;".jpeg")</f>
        <v/>
      </c>
      <c r="L820" s="6"/>
      <c r="M820" s="5" t="str">
        <f>IFERROR(VLOOKUP(E820,Specifications!$A$2:$D$9,2,FALSE),"")</f>
        <v/>
      </c>
      <c r="N820" s="5" t="str">
        <f>IFERROR(VLOOKUP(E820,Specifications!$A$2:$D$9,3,FALSE),"")</f>
        <v/>
      </c>
      <c r="O820" s="5" t="str">
        <f>IFERROR(VLOOKUP(E820,Specifications!$A$2:$D$9,4,FALSE),"")</f>
        <v/>
      </c>
      <c r="P820" s="8" t="str">
        <f t="shared" si="39"/>
        <v/>
      </c>
      <c r="Q820" s="9"/>
    </row>
    <row r="821" spans="1:17" ht="15">
      <c r="A821" s="5" t="str">
        <f t="shared" si="37"/>
        <v/>
      </c>
      <c r="B821" s="6"/>
      <c r="C821" s="5" t="str">
        <f>IFERROR(VLOOKUP(B821,Lists!$A$2:$B$25,2,FALSE),"")</f>
        <v/>
      </c>
      <c r="D821" s="7"/>
      <c r="E821" s="6"/>
      <c r="F821" s="6" t="str">
        <f t="shared" si="38"/>
        <v/>
      </c>
      <c r="G821" s="6"/>
      <c r="H821" s="6"/>
      <c r="I821" s="6"/>
      <c r="J821" s="7"/>
      <c r="K821" s="5" t="str" cm="1">
        <f t="array" ref="K821">IF(OR(A821="",B821="",D821="",E821=""),"",A821&amp;"_"&amp;SUBSTITUTE(B821," ","-")&amp;"_"&amp;D821&amp;"_"&amp;SUBSTITUTE(SUBSTITUTE(E821," ",""),"€","Euro")&amp;"_"&amp;IF(F821="","Unknown",F821)&amp;IF(F821="Commemorative",IF(G821="","","_"&amp;SUBSTITUTE(SUBSTITUTE(SUBSTITUTE(G821," ","-"),"/","-"),CHAR(39),"")),"")&amp;IF(I821="Duplicate","_Dub"&amp;IF(SUMPRODUCT(($B$2:B821=B821)*($D$2:D821=D821)*($E$2:E821=E821)*($F$2:F821=F821)*($G$2:G821=G821)*($I$2:I821="Duplicate"))&lt;=1,"",SUMPRODUCT(($B$2:B821=B821)*($D$2:D821=D821)*($E$2:E821=E821)*($F$2:F821=F821)*($G$2:G821=G821)*($I$2:I821="Duplicate"))-1),"")&amp;".jpeg")</f>
        <v/>
      </c>
      <c r="L821" s="6"/>
      <c r="M821" s="5" t="str">
        <f>IFERROR(VLOOKUP(E821,Specifications!$A$2:$D$9,2,FALSE),"")</f>
        <v/>
      </c>
      <c r="N821" s="5" t="str">
        <f>IFERROR(VLOOKUP(E821,Specifications!$A$2:$D$9,3,FALSE),"")</f>
        <v/>
      </c>
      <c r="O821" s="5" t="str">
        <f>IFERROR(VLOOKUP(E821,Specifications!$A$2:$D$9,4,FALSE),"")</f>
        <v/>
      </c>
      <c r="P821" s="8" t="str">
        <f t="shared" si="39"/>
        <v/>
      </c>
      <c r="Q821" s="9"/>
    </row>
    <row r="822" spans="1:17" ht="15">
      <c r="A822" s="5" t="str">
        <f t="shared" si="37"/>
        <v/>
      </c>
      <c r="B822" s="6"/>
      <c r="C822" s="5" t="str">
        <f>IFERROR(VLOOKUP(B822,Lists!$A$2:$B$25,2,FALSE),"")</f>
        <v/>
      </c>
      <c r="D822" s="7"/>
      <c r="E822" s="6"/>
      <c r="F822" s="6" t="str">
        <f t="shared" si="38"/>
        <v/>
      </c>
      <c r="G822" s="6"/>
      <c r="H822" s="6"/>
      <c r="I822" s="6"/>
      <c r="J822" s="7"/>
      <c r="K822" s="5" t="str" cm="1">
        <f t="array" ref="K822">IF(OR(A822="",B822="",D822="",E822=""),"",A822&amp;"_"&amp;SUBSTITUTE(B822," ","-")&amp;"_"&amp;D822&amp;"_"&amp;SUBSTITUTE(SUBSTITUTE(E822," ",""),"€","Euro")&amp;"_"&amp;IF(F822="","Unknown",F822)&amp;IF(F822="Commemorative",IF(G822="","","_"&amp;SUBSTITUTE(SUBSTITUTE(SUBSTITUTE(G822," ","-"),"/","-"),CHAR(39),"")),"")&amp;IF(I822="Duplicate","_Dub"&amp;IF(SUMPRODUCT(($B$2:B822=B822)*($D$2:D822=D822)*($E$2:E822=E822)*($F$2:F822=F822)*($G$2:G822=G822)*($I$2:I822="Duplicate"))&lt;=1,"",SUMPRODUCT(($B$2:B822=B822)*($D$2:D822=D822)*($E$2:E822=E822)*($F$2:F822=F822)*($G$2:G822=G822)*($I$2:I822="Duplicate"))-1),"")&amp;".jpeg")</f>
        <v/>
      </c>
      <c r="L822" s="6"/>
      <c r="M822" s="5" t="str">
        <f>IFERROR(VLOOKUP(E822,Specifications!$A$2:$D$9,2,FALSE),"")</f>
        <v/>
      </c>
      <c r="N822" s="5" t="str">
        <f>IFERROR(VLOOKUP(E822,Specifications!$A$2:$D$9,3,FALSE),"")</f>
        <v/>
      </c>
      <c r="O822" s="5" t="str">
        <f>IFERROR(VLOOKUP(E822,Specifications!$A$2:$D$9,4,FALSE),"")</f>
        <v/>
      </c>
      <c r="P822" s="8" t="str">
        <f t="shared" si="39"/>
        <v/>
      </c>
      <c r="Q822" s="9"/>
    </row>
    <row r="823" spans="1:17" ht="15">
      <c r="A823" s="5" t="str">
        <f t="shared" si="37"/>
        <v/>
      </c>
      <c r="B823" s="6"/>
      <c r="C823" s="5" t="str">
        <f>IFERROR(VLOOKUP(B823,Lists!$A$2:$B$25,2,FALSE),"")</f>
        <v/>
      </c>
      <c r="D823" s="7"/>
      <c r="E823" s="6"/>
      <c r="F823" s="6" t="str">
        <f t="shared" si="38"/>
        <v/>
      </c>
      <c r="G823" s="6"/>
      <c r="H823" s="6"/>
      <c r="I823" s="6"/>
      <c r="J823" s="7"/>
      <c r="K823" s="5" t="str" cm="1">
        <f t="array" ref="K823">IF(OR(A823="",B823="",D823="",E823=""),"",A823&amp;"_"&amp;SUBSTITUTE(B823," ","-")&amp;"_"&amp;D823&amp;"_"&amp;SUBSTITUTE(SUBSTITUTE(E823," ",""),"€","Euro")&amp;"_"&amp;IF(F823="","Unknown",F823)&amp;IF(F823="Commemorative",IF(G823="","","_"&amp;SUBSTITUTE(SUBSTITUTE(SUBSTITUTE(G823," ","-"),"/","-"),CHAR(39),"")),"")&amp;IF(I823="Duplicate","_Dub"&amp;IF(SUMPRODUCT(($B$2:B823=B823)*($D$2:D823=D823)*($E$2:E823=E823)*($F$2:F823=F823)*($G$2:G823=G823)*($I$2:I823="Duplicate"))&lt;=1,"",SUMPRODUCT(($B$2:B823=B823)*($D$2:D823=D823)*($E$2:E823=E823)*($F$2:F823=F823)*($G$2:G823=G823)*($I$2:I823="Duplicate"))-1),"")&amp;".jpeg")</f>
        <v/>
      </c>
      <c r="L823" s="6"/>
      <c r="M823" s="5" t="str">
        <f>IFERROR(VLOOKUP(E823,Specifications!$A$2:$D$9,2,FALSE),"")</f>
        <v/>
      </c>
      <c r="N823" s="5" t="str">
        <f>IFERROR(VLOOKUP(E823,Specifications!$A$2:$D$9,3,FALSE),"")</f>
        <v/>
      </c>
      <c r="O823" s="5" t="str">
        <f>IFERROR(VLOOKUP(E823,Specifications!$A$2:$D$9,4,FALSE),"")</f>
        <v/>
      </c>
      <c r="P823" s="8" t="str">
        <f t="shared" si="39"/>
        <v/>
      </c>
      <c r="Q823" s="9"/>
    </row>
    <row r="824" spans="1:17" ht="15">
      <c r="A824" s="5" t="str">
        <f t="shared" si="37"/>
        <v/>
      </c>
      <c r="B824" s="6"/>
      <c r="C824" s="5" t="str">
        <f>IFERROR(VLOOKUP(B824,Lists!$A$2:$B$25,2,FALSE),"")</f>
        <v/>
      </c>
      <c r="D824" s="7"/>
      <c r="E824" s="6"/>
      <c r="F824" s="6" t="str">
        <f t="shared" si="38"/>
        <v/>
      </c>
      <c r="G824" s="6"/>
      <c r="H824" s="6"/>
      <c r="I824" s="6"/>
      <c r="J824" s="7"/>
      <c r="K824" s="5" t="str" cm="1">
        <f t="array" ref="K824">IF(OR(A824="",B824="",D824="",E824=""),"",A824&amp;"_"&amp;SUBSTITUTE(B824," ","-")&amp;"_"&amp;D824&amp;"_"&amp;SUBSTITUTE(SUBSTITUTE(E824," ",""),"€","Euro")&amp;"_"&amp;IF(F824="","Unknown",F824)&amp;IF(F824="Commemorative",IF(G824="","","_"&amp;SUBSTITUTE(SUBSTITUTE(SUBSTITUTE(G824," ","-"),"/","-"),CHAR(39),"")),"")&amp;IF(I824="Duplicate","_Dub"&amp;IF(SUMPRODUCT(($B$2:B824=B824)*($D$2:D824=D824)*($E$2:E824=E824)*($F$2:F824=F824)*($G$2:G824=G824)*($I$2:I824="Duplicate"))&lt;=1,"",SUMPRODUCT(($B$2:B824=B824)*($D$2:D824=D824)*($E$2:E824=E824)*($F$2:F824=F824)*($G$2:G824=G824)*($I$2:I824="Duplicate"))-1),"")&amp;".jpeg")</f>
        <v/>
      </c>
      <c r="L824" s="6"/>
      <c r="M824" s="5" t="str">
        <f>IFERROR(VLOOKUP(E824,Specifications!$A$2:$D$9,2,FALSE),"")</f>
        <v/>
      </c>
      <c r="N824" s="5" t="str">
        <f>IFERROR(VLOOKUP(E824,Specifications!$A$2:$D$9,3,FALSE),"")</f>
        <v/>
      </c>
      <c r="O824" s="5" t="str">
        <f>IFERROR(VLOOKUP(E824,Specifications!$A$2:$D$9,4,FALSE),"")</f>
        <v/>
      </c>
      <c r="P824" s="8" t="str">
        <f t="shared" si="39"/>
        <v/>
      </c>
      <c r="Q824" s="9"/>
    </row>
    <row r="825" spans="1:17" ht="15">
      <c r="A825" s="5" t="str">
        <f t="shared" si="37"/>
        <v/>
      </c>
      <c r="B825" s="6"/>
      <c r="C825" s="5" t="str">
        <f>IFERROR(VLOOKUP(B825,Lists!$A$2:$B$25,2,FALSE),"")</f>
        <v/>
      </c>
      <c r="D825" s="7"/>
      <c r="E825" s="6"/>
      <c r="F825" s="6" t="str">
        <f t="shared" si="38"/>
        <v/>
      </c>
      <c r="G825" s="6"/>
      <c r="H825" s="6"/>
      <c r="I825" s="6"/>
      <c r="J825" s="7"/>
      <c r="K825" s="5" t="str" cm="1">
        <f t="array" ref="K825">IF(OR(A825="",B825="",D825="",E825=""),"",A825&amp;"_"&amp;SUBSTITUTE(B825," ","-")&amp;"_"&amp;D825&amp;"_"&amp;SUBSTITUTE(SUBSTITUTE(E825," ",""),"€","Euro")&amp;"_"&amp;IF(F825="","Unknown",F825)&amp;IF(F825="Commemorative",IF(G825="","","_"&amp;SUBSTITUTE(SUBSTITUTE(SUBSTITUTE(G825," ","-"),"/","-"),CHAR(39),"")),"")&amp;IF(I825="Duplicate","_Dub"&amp;IF(SUMPRODUCT(($B$2:B825=B825)*($D$2:D825=D825)*($E$2:E825=E825)*($F$2:F825=F825)*($G$2:G825=G825)*($I$2:I825="Duplicate"))&lt;=1,"",SUMPRODUCT(($B$2:B825=B825)*($D$2:D825=D825)*($E$2:E825=E825)*($F$2:F825=F825)*($G$2:G825=G825)*($I$2:I825="Duplicate"))-1),"")&amp;".jpeg")</f>
        <v/>
      </c>
      <c r="L825" s="6"/>
      <c r="M825" s="5" t="str">
        <f>IFERROR(VLOOKUP(E825,Specifications!$A$2:$D$9,2,FALSE),"")</f>
        <v/>
      </c>
      <c r="N825" s="5" t="str">
        <f>IFERROR(VLOOKUP(E825,Specifications!$A$2:$D$9,3,FALSE),"")</f>
        <v/>
      </c>
      <c r="O825" s="5" t="str">
        <f>IFERROR(VLOOKUP(E825,Specifications!$A$2:$D$9,4,FALSE),"")</f>
        <v/>
      </c>
      <c r="P825" s="8" t="str">
        <f t="shared" si="39"/>
        <v/>
      </c>
      <c r="Q825" s="9"/>
    </row>
    <row r="826" spans="1:17" ht="15">
      <c r="A826" s="5" t="str">
        <f t="shared" si="37"/>
        <v/>
      </c>
      <c r="B826" s="6"/>
      <c r="C826" s="5" t="str">
        <f>IFERROR(VLOOKUP(B826,Lists!$A$2:$B$25,2,FALSE),"")</f>
        <v/>
      </c>
      <c r="D826" s="7"/>
      <c r="E826" s="6"/>
      <c r="F826" s="6" t="str">
        <f t="shared" si="38"/>
        <v/>
      </c>
      <c r="G826" s="6"/>
      <c r="H826" s="6"/>
      <c r="I826" s="6"/>
      <c r="J826" s="7"/>
      <c r="K826" s="5" t="str" cm="1">
        <f t="array" ref="K826">IF(OR(A826="",B826="",D826="",E826=""),"",A826&amp;"_"&amp;SUBSTITUTE(B826," ","-")&amp;"_"&amp;D826&amp;"_"&amp;SUBSTITUTE(SUBSTITUTE(E826," ",""),"€","Euro")&amp;"_"&amp;IF(F826="","Unknown",F826)&amp;IF(F826="Commemorative",IF(G826="","","_"&amp;SUBSTITUTE(SUBSTITUTE(SUBSTITUTE(G826," ","-"),"/","-"),CHAR(39),"")),"")&amp;IF(I826="Duplicate","_Dub"&amp;IF(SUMPRODUCT(($B$2:B826=B826)*($D$2:D826=D826)*($E$2:E826=E826)*($F$2:F826=F826)*($G$2:G826=G826)*($I$2:I826="Duplicate"))&lt;=1,"",SUMPRODUCT(($B$2:B826=B826)*($D$2:D826=D826)*($E$2:E826=E826)*($F$2:F826=F826)*($G$2:G826=G826)*($I$2:I826="Duplicate"))-1),"")&amp;".jpeg")</f>
        <v/>
      </c>
      <c r="L826" s="6"/>
      <c r="M826" s="5" t="str">
        <f>IFERROR(VLOOKUP(E826,Specifications!$A$2:$D$9,2,FALSE),"")</f>
        <v/>
      </c>
      <c r="N826" s="5" t="str">
        <f>IFERROR(VLOOKUP(E826,Specifications!$A$2:$D$9,3,FALSE),"")</f>
        <v/>
      </c>
      <c r="O826" s="5" t="str">
        <f>IFERROR(VLOOKUP(E826,Specifications!$A$2:$D$9,4,FALSE),"")</f>
        <v/>
      </c>
      <c r="P826" s="8" t="str">
        <f t="shared" si="39"/>
        <v/>
      </c>
      <c r="Q826" s="9"/>
    </row>
    <row r="827" spans="1:17" ht="15">
      <c r="A827" s="5" t="str">
        <f t="shared" si="37"/>
        <v/>
      </c>
      <c r="B827" s="6"/>
      <c r="C827" s="5" t="str">
        <f>IFERROR(VLOOKUP(B827,Lists!$A$2:$B$25,2,FALSE),"")</f>
        <v/>
      </c>
      <c r="D827" s="7"/>
      <c r="E827" s="6"/>
      <c r="F827" s="6" t="str">
        <f t="shared" si="38"/>
        <v/>
      </c>
      <c r="G827" s="6"/>
      <c r="H827" s="6"/>
      <c r="I827" s="6"/>
      <c r="J827" s="7"/>
      <c r="K827" s="5" t="str" cm="1">
        <f t="array" ref="K827">IF(OR(A827="",B827="",D827="",E827=""),"",A827&amp;"_"&amp;SUBSTITUTE(B827," ","-")&amp;"_"&amp;D827&amp;"_"&amp;SUBSTITUTE(SUBSTITUTE(E827," ",""),"€","Euro")&amp;"_"&amp;IF(F827="","Unknown",F827)&amp;IF(F827="Commemorative",IF(G827="","","_"&amp;SUBSTITUTE(SUBSTITUTE(SUBSTITUTE(G827," ","-"),"/","-"),CHAR(39),"")),"")&amp;IF(I827="Duplicate","_Dub"&amp;IF(SUMPRODUCT(($B$2:B827=B827)*($D$2:D827=D827)*($E$2:E827=E827)*($F$2:F827=F827)*($G$2:G827=G827)*($I$2:I827="Duplicate"))&lt;=1,"",SUMPRODUCT(($B$2:B827=B827)*($D$2:D827=D827)*($E$2:E827=E827)*($F$2:F827=F827)*($G$2:G827=G827)*($I$2:I827="Duplicate"))-1),"")&amp;".jpeg")</f>
        <v/>
      </c>
      <c r="L827" s="6"/>
      <c r="M827" s="5" t="str">
        <f>IFERROR(VLOOKUP(E827,Specifications!$A$2:$D$9,2,FALSE),"")</f>
        <v/>
      </c>
      <c r="N827" s="5" t="str">
        <f>IFERROR(VLOOKUP(E827,Specifications!$A$2:$D$9,3,FALSE),"")</f>
        <v/>
      </c>
      <c r="O827" s="5" t="str">
        <f>IFERROR(VLOOKUP(E827,Specifications!$A$2:$D$9,4,FALSE),"")</f>
        <v/>
      </c>
      <c r="P827" s="8" t="str">
        <f t="shared" si="39"/>
        <v/>
      </c>
      <c r="Q827" s="9"/>
    </row>
    <row r="828" spans="1:17" ht="15">
      <c r="A828" s="5" t="str">
        <f t="shared" si="37"/>
        <v/>
      </c>
      <c r="B828" s="6"/>
      <c r="C828" s="5" t="str">
        <f>IFERROR(VLOOKUP(B828,Lists!$A$2:$B$25,2,FALSE),"")</f>
        <v/>
      </c>
      <c r="D828" s="7"/>
      <c r="E828" s="6"/>
      <c r="F828" s="6" t="str">
        <f t="shared" si="38"/>
        <v/>
      </c>
      <c r="G828" s="6"/>
      <c r="H828" s="6"/>
      <c r="I828" s="6"/>
      <c r="J828" s="7"/>
      <c r="K828" s="5" t="str" cm="1">
        <f t="array" ref="K828">IF(OR(A828="",B828="",D828="",E828=""),"",A828&amp;"_"&amp;SUBSTITUTE(B828," ","-")&amp;"_"&amp;D828&amp;"_"&amp;SUBSTITUTE(SUBSTITUTE(E828," ",""),"€","Euro")&amp;"_"&amp;IF(F828="","Unknown",F828)&amp;IF(F828="Commemorative",IF(G828="","","_"&amp;SUBSTITUTE(SUBSTITUTE(SUBSTITUTE(G828," ","-"),"/","-"),CHAR(39),"")),"")&amp;IF(I828="Duplicate","_Dub"&amp;IF(SUMPRODUCT(($B$2:B828=B828)*($D$2:D828=D828)*($E$2:E828=E828)*($F$2:F828=F828)*($G$2:G828=G828)*($I$2:I828="Duplicate"))&lt;=1,"",SUMPRODUCT(($B$2:B828=B828)*($D$2:D828=D828)*($E$2:E828=E828)*($F$2:F828=F828)*($G$2:G828=G828)*($I$2:I828="Duplicate"))-1),"")&amp;".jpeg")</f>
        <v/>
      </c>
      <c r="L828" s="6"/>
      <c r="M828" s="5" t="str">
        <f>IFERROR(VLOOKUP(E828,Specifications!$A$2:$D$9,2,FALSE),"")</f>
        <v/>
      </c>
      <c r="N828" s="5" t="str">
        <f>IFERROR(VLOOKUP(E828,Specifications!$A$2:$D$9,3,FALSE),"")</f>
        <v/>
      </c>
      <c r="O828" s="5" t="str">
        <f>IFERROR(VLOOKUP(E828,Specifications!$A$2:$D$9,4,FALSE),"")</f>
        <v/>
      </c>
      <c r="P828" s="8" t="str">
        <f t="shared" si="39"/>
        <v/>
      </c>
      <c r="Q828" s="9"/>
    </row>
    <row r="829" spans="1:17" ht="15">
      <c r="A829" s="5" t="str">
        <f t="shared" si="37"/>
        <v/>
      </c>
      <c r="B829" s="6"/>
      <c r="C829" s="5" t="str">
        <f>IFERROR(VLOOKUP(B829,Lists!$A$2:$B$25,2,FALSE),"")</f>
        <v/>
      </c>
      <c r="D829" s="7"/>
      <c r="E829" s="6"/>
      <c r="F829" s="6" t="str">
        <f t="shared" si="38"/>
        <v/>
      </c>
      <c r="G829" s="6"/>
      <c r="H829" s="6"/>
      <c r="I829" s="6"/>
      <c r="J829" s="7"/>
      <c r="K829" s="5" t="str" cm="1">
        <f t="array" ref="K829">IF(OR(A829="",B829="",D829="",E829=""),"",A829&amp;"_"&amp;SUBSTITUTE(B829," ","-")&amp;"_"&amp;D829&amp;"_"&amp;SUBSTITUTE(SUBSTITUTE(E829," ",""),"€","Euro")&amp;"_"&amp;IF(F829="","Unknown",F829)&amp;IF(F829="Commemorative",IF(G829="","","_"&amp;SUBSTITUTE(SUBSTITUTE(SUBSTITUTE(G829," ","-"),"/","-"),CHAR(39),"")),"")&amp;IF(I829="Duplicate","_Dub"&amp;IF(SUMPRODUCT(($B$2:B829=B829)*($D$2:D829=D829)*($E$2:E829=E829)*($F$2:F829=F829)*($G$2:G829=G829)*($I$2:I829="Duplicate"))&lt;=1,"",SUMPRODUCT(($B$2:B829=B829)*($D$2:D829=D829)*($E$2:E829=E829)*($F$2:F829=F829)*($G$2:G829=G829)*($I$2:I829="Duplicate"))-1),"")&amp;".jpeg")</f>
        <v/>
      </c>
      <c r="L829" s="6"/>
      <c r="M829" s="5" t="str">
        <f>IFERROR(VLOOKUP(E829,Specifications!$A$2:$D$9,2,FALSE),"")</f>
        <v/>
      </c>
      <c r="N829" s="5" t="str">
        <f>IFERROR(VLOOKUP(E829,Specifications!$A$2:$D$9,3,FALSE),"")</f>
        <v/>
      </c>
      <c r="O829" s="5" t="str">
        <f>IFERROR(VLOOKUP(E829,Specifications!$A$2:$D$9,4,FALSE),"")</f>
        <v/>
      </c>
      <c r="P829" s="8" t="str">
        <f t="shared" si="39"/>
        <v/>
      </c>
      <c r="Q829" s="9"/>
    </row>
    <row r="830" spans="1:17" ht="15">
      <c r="A830" s="5" t="str">
        <f t="shared" si="37"/>
        <v/>
      </c>
      <c r="B830" s="6"/>
      <c r="C830" s="5" t="str">
        <f>IFERROR(VLOOKUP(B830,Lists!$A$2:$B$25,2,FALSE),"")</f>
        <v/>
      </c>
      <c r="D830" s="7"/>
      <c r="E830" s="6"/>
      <c r="F830" s="6" t="str">
        <f t="shared" si="38"/>
        <v/>
      </c>
      <c r="G830" s="6"/>
      <c r="H830" s="6"/>
      <c r="I830" s="6"/>
      <c r="J830" s="7"/>
      <c r="K830" s="5" t="str" cm="1">
        <f t="array" ref="K830">IF(OR(A830="",B830="",D830="",E830=""),"",A830&amp;"_"&amp;SUBSTITUTE(B830," ","-")&amp;"_"&amp;D830&amp;"_"&amp;SUBSTITUTE(SUBSTITUTE(E830," ",""),"€","Euro")&amp;"_"&amp;IF(F830="","Unknown",F830)&amp;IF(F830="Commemorative",IF(G830="","","_"&amp;SUBSTITUTE(SUBSTITUTE(SUBSTITUTE(G830," ","-"),"/","-"),CHAR(39),"")),"")&amp;IF(I830="Duplicate","_Dub"&amp;IF(SUMPRODUCT(($B$2:B830=B830)*($D$2:D830=D830)*($E$2:E830=E830)*($F$2:F830=F830)*($G$2:G830=G830)*($I$2:I830="Duplicate"))&lt;=1,"",SUMPRODUCT(($B$2:B830=B830)*($D$2:D830=D830)*($E$2:E830=E830)*($F$2:F830=F830)*($G$2:G830=G830)*($I$2:I830="Duplicate"))-1),"")&amp;".jpeg")</f>
        <v/>
      </c>
      <c r="L830" s="6"/>
      <c r="M830" s="5" t="str">
        <f>IFERROR(VLOOKUP(E830,Specifications!$A$2:$D$9,2,FALSE),"")</f>
        <v/>
      </c>
      <c r="N830" s="5" t="str">
        <f>IFERROR(VLOOKUP(E830,Specifications!$A$2:$D$9,3,FALSE),"")</f>
        <v/>
      </c>
      <c r="O830" s="5" t="str">
        <f>IFERROR(VLOOKUP(E830,Specifications!$A$2:$D$9,4,FALSE),"")</f>
        <v/>
      </c>
      <c r="P830" s="8" t="str">
        <f t="shared" si="39"/>
        <v/>
      </c>
      <c r="Q830" s="9"/>
    </row>
    <row r="831" spans="1:17" ht="15">
      <c r="A831" s="5" t="str">
        <f t="shared" si="37"/>
        <v/>
      </c>
      <c r="B831" s="6"/>
      <c r="C831" s="5" t="str">
        <f>IFERROR(VLOOKUP(B831,Lists!$A$2:$B$25,2,FALSE),"")</f>
        <v/>
      </c>
      <c r="D831" s="7"/>
      <c r="E831" s="6"/>
      <c r="F831" s="6" t="str">
        <f t="shared" si="38"/>
        <v/>
      </c>
      <c r="G831" s="6"/>
      <c r="H831" s="6"/>
      <c r="I831" s="6"/>
      <c r="J831" s="7"/>
      <c r="K831" s="5" t="str" cm="1">
        <f t="array" ref="K831">IF(OR(A831="",B831="",D831="",E831=""),"",A831&amp;"_"&amp;SUBSTITUTE(B831," ","-")&amp;"_"&amp;D831&amp;"_"&amp;SUBSTITUTE(SUBSTITUTE(E831," ",""),"€","Euro")&amp;"_"&amp;IF(F831="","Unknown",F831)&amp;IF(F831="Commemorative",IF(G831="","","_"&amp;SUBSTITUTE(SUBSTITUTE(SUBSTITUTE(G831," ","-"),"/","-"),CHAR(39),"")),"")&amp;IF(I831="Duplicate","_Dub"&amp;IF(SUMPRODUCT(($B$2:B831=B831)*($D$2:D831=D831)*($E$2:E831=E831)*($F$2:F831=F831)*($G$2:G831=G831)*($I$2:I831="Duplicate"))&lt;=1,"",SUMPRODUCT(($B$2:B831=B831)*($D$2:D831=D831)*($E$2:E831=E831)*($F$2:F831=F831)*($G$2:G831=G831)*($I$2:I831="Duplicate"))-1),"")&amp;".jpeg")</f>
        <v/>
      </c>
      <c r="L831" s="6"/>
      <c r="M831" s="5" t="str">
        <f>IFERROR(VLOOKUP(E831,Specifications!$A$2:$D$9,2,FALSE),"")</f>
        <v/>
      </c>
      <c r="N831" s="5" t="str">
        <f>IFERROR(VLOOKUP(E831,Specifications!$A$2:$D$9,3,FALSE),"")</f>
        <v/>
      </c>
      <c r="O831" s="5" t="str">
        <f>IFERROR(VLOOKUP(E831,Specifications!$A$2:$D$9,4,FALSE),"")</f>
        <v/>
      </c>
      <c r="P831" s="8" t="str">
        <f t="shared" si="39"/>
        <v/>
      </c>
      <c r="Q831" s="9"/>
    </row>
    <row r="832" spans="1:17" ht="15">
      <c r="A832" s="5" t="str">
        <f t="shared" si="37"/>
        <v/>
      </c>
      <c r="B832" s="6"/>
      <c r="C832" s="5" t="str">
        <f>IFERROR(VLOOKUP(B832,Lists!$A$2:$B$25,2,FALSE),"")</f>
        <v/>
      </c>
      <c r="D832" s="7"/>
      <c r="E832" s="6"/>
      <c r="F832" s="6" t="str">
        <f t="shared" si="38"/>
        <v/>
      </c>
      <c r="G832" s="6"/>
      <c r="H832" s="6"/>
      <c r="I832" s="6"/>
      <c r="J832" s="7"/>
      <c r="K832" s="5" t="str" cm="1">
        <f t="array" ref="K832">IF(OR(A832="",B832="",D832="",E832=""),"",A832&amp;"_"&amp;SUBSTITUTE(B832," ","-")&amp;"_"&amp;D832&amp;"_"&amp;SUBSTITUTE(SUBSTITUTE(E832," ",""),"€","Euro")&amp;"_"&amp;IF(F832="","Unknown",F832)&amp;IF(F832="Commemorative",IF(G832="","","_"&amp;SUBSTITUTE(SUBSTITUTE(SUBSTITUTE(G832," ","-"),"/","-"),CHAR(39),"")),"")&amp;IF(I832="Duplicate","_Dub"&amp;IF(SUMPRODUCT(($B$2:B832=B832)*($D$2:D832=D832)*($E$2:E832=E832)*($F$2:F832=F832)*($G$2:G832=G832)*($I$2:I832="Duplicate"))&lt;=1,"",SUMPRODUCT(($B$2:B832=B832)*($D$2:D832=D832)*($E$2:E832=E832)*($F$2:F832=F832)*($G$2:G832=G832)*($I$2:I832="Duplicate"))-1),"")&amp;".jpeg")</f>
        <v/>
      </c>
      <c r="L832" s="6"/>
      <c r="M832" s="5" t="str">
        <f>IFERROR(VLOOKUP(E832,Specifications!$A$2:$D$9,2,FALSE),"")</f>
        <v/>
      </c>
      <c r="N832" s="5" t="str">
        <f>IFERROR(VLOOKUP(E832,Specifications!$A$2:$D$9,3,FALSE),"")</f>
        <v/>
      </c>
      <c r="O832" s="5" t="str">
        <f>IFERROR(VLOOKUP(E832,Specifications!$A$2:$D$9,4,FALSE),"")</f>
        <v/>
      </c>
      <c r="P832" s="8" t="str">
        <f t="shared" si="39"/>
        <v/>
      </c>
      <c r="Q832" s="9"/>
    </row>
    <row r="833" spans="1:17" ht="15">
      <c r="A833" s="5" t="str">
        <f t="shared" si="37"/>
        <v/>
      </c>
      <c r="B833" s="6"/>
      <c r="C833" s="5" t="str">
        <f>IFERROR(VLOOKUP(B833,Lists!$A$2:$B$25,2,FALSE),"")</f>
        <v/>
      </c>
      <c r="D833" s="7"/>
      <c r="E833" s="6"/>
      <c r="F833" s="6" t="str">
        <f t="shared" si="38"/>
        <v/>
      </c>
      <c r="G833" s="6"/>
      <c r="H833" s="6"/>
      <c r="I833" s="6"/>
      <c r="J833" s="7"/>
      <c r="K833" s="5" t="str" cm="1">
        <f t="array" ref="K833">IF(OR(A833="",B833="",D833="",E833=""),"",A833&amp;"_"&amp;SUBSTITUTE(B833," ","-")&amp;"_"&amp;D833&amp;"_"&amp;SUBSTITUTE(SUBSTITUTE(E833," ",""),"€","Euro")&amp;"_"&amp;IF(F833="","Unknown",F833)&amp;IF(F833="Commemorative",IF(G833="","","_"&amp;SUBSTITUTE(SUBSTITUTE(SUBSTITUTE(G833," ","-"),"/","-"),CHAR(39),"")),"")&amp;IF(I833="Duplicate","_Dub"&amp;IF(SUMPRODUCT(($B$2:B833=B833)*($D$2:D833=D833)*($E$2:E833=E833)*($F$2:F833=F833)*($G$2:G833=G833)*($I$2:I833="Duplicate"))&lt;=1,"",SUMPRODUCT(($B$2:B833=B833)*($D$2:D833=D833)*($E$2:E833=E833)*($F$2:F833=F833)*($G$2:G833=G833)*($I$2:I833="Duplicate"))-1),"")&amp;".jpeg")</f>
        <v/>
      </c>
      <c r="L833" s="6"/>
      <c r="M833" s="5" t="str">
        <f>IFERROR(VLOOKUP(E833,Specifications!$A$2:$D$9,2,FALSE),"")</f>
        <v/>
      </c>
      <c r="N833" s="5" t="str">
        <f>IFERROR(VLOOKUP(E833,Specifications!$A$2:$D$9,3,FALSE),"")</f>
        <v/>
      </c>
      <c r="O833" s="5" t="str">
        <f>IFERROR(VLOOKUP(E833,Specifications!$A$2:$D$9,4,FALSE),"")</f>
        <v/>
      </c>
      <c r="P833" s="8" t="str">
        <f t="shared" si="39"/>
        <v/>
      </c>
      <c r="Q833" s="9"/>
    </row>
    <row r="834" spans="1:17" ht="15">
      <c r="A834" s="5" t="str">
        <f t="shared" ref="A834:A897" si="40">IF(B834="","",TEXT(ROW()-1,"000"))</f>
        <v/>
      </c>
      <c r="B834" s="6"/>
      <c r="C834" s="5" t="str">
        <f>IFERROR(VLOOKUP(B834,Lists!$A$2:$B$25,2,FALSE),"")</f>
        <v/>
      </c>
      <c r="D834" s="7"/>
      <c r="E834" s="6"/>
      <c r="F834" s="6" t="str">
        <f t="shared" ref="F834:F897" si="41">IF(E834="","",IF(E834="2 €","", "Regular"))</f>
        <v/>
      </c>
      <c r="G834" s="6"/>
      <c r="H834" s="6"/>
      <c r="I834" s="6"/>
      <c r="J834" s="7"/>
      <c r="K834" s="5" t="str" cm="1">
        <f t="array" ref="K834">IF(OR(A834="",B834="",D834="",E834=""),"",A834&amp;"_"&amp;SUBSTITUTE(B834," ","-")&amp;"_"&amp;D834&amp;"_"&amp;SUBSTITUTE(SUBSTITUTE(E834," ",""),"€","Euro")&amp;"_"&amp;IF(F834="","Unknown",F834)&amp;IF(F834="Commemorative",IF(G834="","","_"&amp;SUBSTITUTE(SUBSTITUTE(SUBSTITUTE(G834," ","-"),"/","-"),CHAR(39),"")),"")&amp;IF(I834="Duplicate","_Dub"&amp;IF(SUMPRODUCT(($B$2:B834=B834)*($D$2:D834=D834)*($E$2:E834=E834)*($F$2:F834=F834)*($G$2:G834=G834)*($I$2:I834="Duplicate"))&lt;=1,"",SUMPRODUCT(($B$2:B834=B834)*($D$2:D834=D834)*($E$2:E834=E834)*($F$2:F834=F834)*($G$2:G834=G834)*($I$2:I834="Duplicate"))-1),"")&amp;".jpeg")</f>
        <v/>
      </c>
      <c r="L834" s="6"/>
      <c r="M834" s="5" t="str">
        <f>IFERROR(VLOOKUP(E834,Specifications!$A$2:$D$9,2,FALSE),"")</f>
        <v/>
      </c>
      <c r="N834" s="5" t="str">
        <f>IFERROR(VLOOKUP(E834,Specifications!$A$2:$D$9,3,FALSE),"")</f>
        <v/>
      </c>
      <c r="O834" s="5" t="str">
        <f>IFERROR(VLOOKUP(E834,Specifications!$A$2:$D$9,4,FALSE),"")</f>
        <v/>
      </c>
      <c r="P834" s="8" t="str">
        <f t="shared" ref="P834:P897" si="42">IF(OR(B834="",E834="",F834=""),"",IF(F834="Regular","Regular "&amp;E834&amp;" circulation coin of "&amp;B834&amp;".",IF(F834="Commemorative",IF(G834="","",E834&amp;" commemorative coin of "&amp;B834&amp;" – "&amp;G834&amp;"."),"")))</f>
        <v/>
      </c>
      <c r="Q834" s="9"/>
    </row>
    <row r="835" spans="1:17" ht="15">
      <c r="A835" s="5" t="str">
        <f t="shared" si="40"/>
        <v/>
      </c>
      <c r="B835" s="6"/>
      <c r="C835" s="5" t="str">
        <f>IFERROR(VLOOKUP(B835,Lists!$A$2:$B$25,2,FALSE),"")</f>
        <v/>
      </c>
      <c r="D835" s="7"/>
      <c r="E835" s="6"/>
      <c r="F835" s="6" t="str">
        <f t="shared" si="41"/>
        <v/>
      </c>
      <c r="G835" s="6"/>
      <c r="H835" s="6"/>
      <c r="I835" s="6"/>
      <c r="J835" s="7"/>
      <c r="K835" s="5" t="str" cm="1">
        <f t="array" ref="K835">IF(OR(A835="",B835="",D835="",E835=""),"",A835&amp;"_"&amp;SUBSTITUTE(B835," ","-")&amp;"_"&amp;D835&amp;"_"&amp;SUBSTITUTE(SUBSTITUTE(E835," ",""),"€","Euro")&amp;"_"&amp;IF(F835="","Unknown",F835)&amp;IF(F835="Commemorative",IF(G835="","","_"&amp;SUBSTITUTE(SUBSTITUTE(SUBSTITUTE(G835," ","-"),"/","-"),CHAR(39),"")),"")&amp;IF(I835="Duplicate","_Dub"&amp;IF(SUMPRODUCT(($B$2:B835=B835)*($D$2:D835=D835)*($E$2:E835=E835)*($F$2:F835=F835)*($G$2:G835=G835)*($I$2:I835="Duplicate"))&lt;=1,"",SUMPRODUCT(($B$2:B835=B835)*($D$2:D835=D835)*($E$2:E835=E835)*($F$2:F835=F835)*($G$2:G835=G835)*($I$2:I835="Duplicate"))-1),"")&amp;".jpeg")</f>
        <v/>
      </c>
      <c r="L835" s="6"/>
      <c r="M835" s="5" t="str">
        <f>IFERROR(VLOOKUP(E835,Specifications!$A$2:$D$9,2,FALSE),"")</f>
        <v/>
      </c>
      <c r="N835" s="5" t="str">
        <f>IFERROR(VLOOKUP(E835,Specifications!$A$2:$D$9,3,FALSE),"")</f>
        <v/>
      </c>
      <c r="O835" s="5" t="str">
        <f>IFERROR(VLOOKUP(E835,Specifications!$A$2:$D$9,4,FALSE),"")</f>
        <v/>
      </c>
      <c r="P835" s="8" t="str">
        <f t="shared" si="42"/>
        <v/>
      </c>
      <c r="Q835" s="9"/>
    </row>
    <row r="836" spans="1:17" ht="15">
      <c r="A836" s="5" t="str">
        <f t="shared" si="40"/>
        <v/>
      </c>
      <c r="B836" s="6"/>
      <c r="C836" s="5" t="str">
        <f>IFERROR(VLOOKUP(B836,Lists!$A$2:$B$25,2,FALSE),"")</f>
        <v/>
      </c>
      <c r="D836" s="7"/>
      <c r="E836" s="6"/>
      <c r="F836" s="6" t="str">
        <f t="shared" si="41"/>
        <v/>
      </c>
      <c r="G836" s="6"/>
      <c r="H836" s="6"/>
      <c r="I836" s="6"/>
      <c r="J836" s="7"/>
      <c r="K836" s="5" t="str" cm="1">
        <f t="array" ref="K836">IF(OR(A836="",B836="",D836="",E836=""),"",A836&amp;"_"&amp;SUBSTITUTE(B836," ","-")&amp;"_"&amp;D836&amp;"_"&amp;SUBSTITUTE(SUBSTITUTE(E836," ",""),"€","Euro")&amp;"_"&amp;IF(F836="","Unknown",F836)&amp;IF(F836="Commemorative",IF(G836="","","_"&amp;SUBSTITUTE(SUBSTITUTE(SUBSTITUTE(G836," ","-"),"/","-"),CHAR(39),"")),"")&amp;IF(I836="Duplicate","_Dub"&amp;IF(SUMPRODUCT(($B$2:B836=B836)*($D$2:D836=D836)*($E$2:E836=E836)*($F$2:F836=F836)*($G$2:G836=G836)*($I$2:I836="Duplicate"))&lt;=1,"",SUMPRODUCT(($B$2:B836=B836)*($D$2:D836=D836)*($E$2:E836=E836)*($F$2:F836=F836)*($G$2:G836=G836)*($I$2:I836="Duplicate"))-1),"")&amp;".jpeg")</f>
        <v/>
      </c>
      <c r="L836" s="6"/>
      <c r="M836" s="5" t="str">
        <f>IFERROR(VLOOKUP(E836,Specifications!$A$2:$D$9,2,FALSE),"")</f>
        <v/>
      </c>
      <c r="N836" s="5" t="str">
        <f>IFERROR(VLOOKUP(E836,Specifications!$A$2:$D$9,3,FALSE),"")</f>
        <v/>
      </c>
      <c r="O836" s="5" t="str">
        <f>IFERROR(VLOOKUP(E836,Specifications!$A$2:$D$9,4,FALSE),"")</f>
        <v/>
      </c>
      <c r="P836" s="8" t="str">
        <f t="shared" si="42"/>
        <v/>
      </c>
      <c r="Q836" s="9"/>
    </row>
    <row r="837" spans="1:17" ht="15">
      <c r="A837" s="5" t="str">
        <f t="shared" si="40"/>
        <v/>
      </c>
      <c r="B837" s="6"/>
      <c r="C837" s="5" t="str">
        <f>IFERROR(VLOOKUP(B837,Lists!$A$2:$B$25,2,FALSE),"")</f>
        <v/>
      </c>
      <c r="D837" s="7"/>
      <c r="E837" s="6"/>
      <c r="F837" s="6" t="str">
        <f t="shared" si="41"/>
        <v/>
      </c>
      <c r="G837" s="6"/>
      <c r="H837" s="6"/>
      <c r="I837" s="6"/>
      <c r="J837" s="7"/>
      <c r="K837" s="5" t="str" cm="1">
        <f t="array" ref="K837">IF(OR(A837="",B837="",D837="",E837=""),"",A837&amp;"_"&amp;SUBSTITUTE(B837," ","-")&amp;"_"&amp;D837&amp;"_"&amp;SUBSTITUTE(SUBSTITUTE(E837," ",""),"€","Euro")&amp;"_"&amp;IF(F837="","Unknown",F837)&amp;IF(F837="Commemorative",IF(G837="","","_"&amp;SUBSTITUTE(SUBSTITUTE(SUBSTITUTE(G837," ","-"),"/","-"),CHAR(39),"")),"")&amp;IF(I837="Duplicate","_Dub"&amp;IF(SUMPRODUCT(($B$2:B837=B837)*($D$2:D837=D837)*($E$2:E837=E837)*($F$2:F837=F837)*($G$2:G837=G837)*($I$2:I837="Duplicate"))&lt;=1,"",SUMPRODUCT(($B$2:B837=B837)*($D$2:D837=D837)*($E$2:E837=E837)*($F$2:F837=F837)*($G$2:G837=G837)*($I$2:I837="Duplicate"))-1),"")&amp;".jpeg")</f>
        <v/>
      </c>
      <c r="L837" s="6"/>
      <c r="M837" s="5" t="str">
        <f>IFERROR(VLOOKUP(E837,Specifications!$A$2:$D$9,2,FALSE),"")</f>
        <v/>
      </c>
      <c r="N837" s="5" t="str">
        <f>IFERROR(VLOOKUP(E837,Specifications!$A$2:$D$9,3,FALSE),"")</f>
        <v/>
      </c>
      <c r="O837" s="5" t="str">
        <f>IFERROR(VLOOKUP(E837,Specifications!$A$2:$D$9,4,FALSE),"")</f>
        <v/>
      </c>
      <c r="P837" s="8" t="str">
        <f t="shared" si="42"/>
        <v/>
      </c>
      <c r="Q837" s="9"/>
    </row>
    <row r="838" spans="1:17" ht="15">
      <c r="A838" s="5" t="str">
        <f t="shared" si="40"/>
        <v/>
      </c>
      <c r="B838" s="6"/>
      <c r="C838" s="5" t="str">
        <f>IFERROR(VLOOKUP(B838,Lists!$A$2:$B$25,2,FALSE),"")</f>
        <v/>
      </c>
      <c r="D838" s="7"/>
      <c r="E838" s="6"/>
      <c r="F838" s="6" t="str">
        <f t="shared" si="41"/>
        <v/>
      </c>
      <c r="G838" s="6"/>
      <c r="H838" s="6"/>
      <c r="I838" s="6"/>
      <c r="J838" s="7"/>
      <c r="K838" s="5" t="str" cm="1">
        <f t="array" ref="K838">IF(OR(A838="",B838="",D838="",E838=""),"",A838&amp;"_"&amp;SUBSTITUTE(B838," ","-")&amp;"_"&amp;D838&amp;"_"&amp;SUBSTITUTE(SUBSTITUTE(E838," ",""),"€","Euro")&amp;"_"&amp;IF(F838="","Unknown",F838)&amp;IF(F838="Commemorative",IF(G838="","","_"&amp;SUBSTITUTE(SUBSTITUTE(SUBSTITUTE(G838," ","-"),"/","-"),CHAR(39),"")),"")&amp;IF(I838="Duplicate","_Dub"&amp;IF(SUMPRODUCT(($B$2:B838=B838)*($D$2:D838=D838)*($E$2:E838=E838)*($F$2:F838=F838)*($G$2:G838=G838)*($I$2:I838="Duplicate"))&lt;=1,"",SUMPRODUCT(($B$2:B838=B838)*($D$2:D838=D838)*($E$2:E838=E838)*($F$2:F838=F838)*($G$2:G838=G838)*($I$2:I838="Duplicate"))-1),"")&amp;".jpeg")</f>
        <v/>
      </c>
      <c r="L838" s="6"/>
      <c r="M838" s="5" t="str">
        <f>IFERROR(VLOOKUP(E838,Specifications!$A$2:$D$9,2,FALSE),"")</f>
        <v/>
      </c>
      <c r="N838" s="5" t="str">
        <f>IFERROR(VLOOKUP(E838,Specifications!$A$2:$D$9,3,FALSE),"")</f>
        <v/>
      </c>
      <c r="O838" s="5" t="str">
        <f>IFERROR(VLOOKUP(E838,Specifications!$A$2:$D$9,4,FALSE),"")</f>
        <v/>
      </c>
      <c r="P838" s="8" t="str">
        <f t="shared" si="42"/>
        <v/>
      </c>
      <c r="Q838" s="9"/>
    </row>
    <row r="839" spans="1:17" ht="15">
      <c r="A839" s="5" t="str">
        <f t="shared" si="40"/>
        <v/>
      </c>
      <c r="B839" s="6"/>
      <c r="C839" s="5" t="str">
        <f>IFERROR(VLOOKUP(B839,Lists!$A$2:$B$25,2,FALSE),"")</f>
        <v/>
      </c>
      <c r="D839" s="7"/>
      <c r="E839" s="6"/>
      <c r="F839" s="6" t="str">
        <f t="shared" si="41"/>
        <v/>
      </c>
      <c r="G839" s="6"/>
      <c r="H839" s="6"/>
      <c r="I839" s="6"/>
      <c r="J839" s="7"/>
      <c r="K839" s="5" t="str" cm="1">
        <f t="array" ref="K839">IF(OR(A839="",B839="",D839="",E839=""),"",A839&amp;"_"&amp;SUBSTITUTE(B839," ","-")&amp;"_"&amp;D839&amp;"_"&amp;SUBSTITUTE(SUBSTITUTE(E839," ",""),"€","Euro")&amp;"_"&amp;IF(F839="","Unknown",F839)&amp;IF(F839="Commemorative",IF(G839="","","_"&amp;SUBSTITUTE(SUBSTITUTE(SUBSTITUTE(G839," ","-"),"/","-"),CHAR(39),"")),"")&amp;IF(I839="Duplicate","_Dub"&amp;IF(SUMPRODUCT(($B$2:B839=B839)*($D$2:D839=D839)*($E$2:E839=E839)*($F$2:F839=F839)*($G$2:G839=G839)*($I$2:I839="Duplicate"))&lt;=1,"",SUMPRODUCT(($B$2:B839=B839)*($D$2:D839=D839)*($E$2:E839=E839)*($F$2:F839=F839)*($G$2:G839=G839)*($I$2:I839="Duplicate"))-1),"")&amp;".jpeg")</f>
        <v/>
      </c>
      <c r="L839" s="6"/>
      <c r="M839" s="5" t="str">
        <f>IFERROR(VLOOKUP(E839,Specifications!$A$2:$D$9,2,FALSE),"")</f>
        <v/>
      </c>
      <c r="N839" s="5" t="str">
        <f>IFERROR(VLOOKUP(E839,Specifications!$A$2:$D$9,3,FALSE),"")</f>
        <v/>
      </c>
      <c r="O839" s="5" t="str">
        <f>IFERROR(VLOOKUP(E839,Specifications!$A$2:$D$9,4,FALSE),"")</f>
        <v/>
      </c>
      <c r="P839" s="8" t="str">
        <f t="shared" si="42"/>
        <v/>
      </c>
      <c r="Q839" s="9"/>
    </row>
    <row r="840" spans="1:17" ht="15">
      <c r="A840" s="5" t="str">
        <f t="shared" si="40"/>
        <v/>
      </c>
      <c r="B840" s="6"/>
      <c r="C840" s="5" t="str">
        <f>IFERROR(VLOOKUP(B840,Lists!$A$2:$B$25,2,FALSE),"")</f>
        <v/>
      </c>
      <c r="D840" s="7"/>
      <c r="E840" s="6"/>
      <c r="F840" s="6" t="str">
        <f t="shared" si="41"/>
        <v/>
      </c>
      <c r="G840" s="6"/>
      <c r="H840" s="6"/>
      <c r="I840" s="6"/>
      <c r="J840" s="7"/>
      <c r="K840" s="5" t="str" cm="1">
        <f t="array" ref="K840">IF(OR(A840="",B840="",D840="",E840=""),"",A840&amp;"_"&amp;SUBSTITUTE(B840," ","-")&amp;"_"&amp;D840&amp;"_"&amp;SUBSTITUTE(SUBSTITUTE(E840," ",""),"€","Euro")&amp;"_"&amp;IF(F840="","Unknown",F840)&amp;IF(F840="Commemorative",IF(G840="","","_"&amp;SUBSTITUTE(SUBSTITUTE(SUBSTITUTE(G840," ","-"),"/","-"),CHAR(39),"")),"")&amp;IF(I840="Duplicate","_Dub"&amp;IF(SUMPRODUCT(($B$2:B840=B840)*($D$2:D840=D840)*($E$2:E840=E840)*($F$2:F840=F840)*($G$2:G840=G840)*($I$2:I840="Duplicate"))&lt;=1,"",SUMPRODUCT(($B$2:B840=B840)*($D$2:D840=D840)*($E$2:E840=E840)*($F$2:F840=F840)*($G$2:G840=G840)*($I$2:I840="Duplicate"))-1),"")&amp;".jpeg")</f>
        <v/>
      </c>
      <c r="L840" s="6"/>
      <c r="M840" s="5" t="str">
        <f>IFERROR(VLOOKUP(E840,Specifications!$A$2:$D$9,2,FALSE),"")</f>
        <v/>
      </c>
      <c r="N840" s="5" t="str">
        <f>IFERROR(VLOOKUP(E840,Specifications!$A$2:$D$9,3,FALSE),"")</f>
        <v/>
      </c>
      <c r="O840" s="5" t="str">
        <f>IFERROR(VLOOKUP(E840,Specifications!$A$2:$D$9,4,FALSE),"")</f>
        <v/>
      </c>
      <c r="P840" s="8" t="str">
        <f t="shared" si="42"/>
        <v/>
      </c>
      <c r="Q840" s="9"/>
    </row>
    <row r="841" spans="1:17" ht="15">
      <c r="A841" s="5" t="str">
        <f t="shared" si="40"/>
        <v/>
      </c>
      <c r="B841" s="6"/>
      <c r="C841" s="5" t="str">
        <f>IFERROR(VLOOKUP(B841,Lists!$A$2:$B$25,2,FALSE),"")</f>
        <v/>
      </c>
      <c r="D841" s="7"/>
      <c r="E841" s="6"/>
      <c r="F841" s="6" t="str">
        <f t="shared" si="41"/>
        <v/>
      </c>
      <c r="G841" s="6"/>
      <c r="H841" s="6"/>
      <c r="I841" s="6"/>
      <c r="J841" s="7"/>
      <c r="K841" s="5" t="str" cm="1">
        <f t="array" ref="K841">IF(OR(A841="",B841="",D841="",E841=""),"",A841&amp;"_"&amp;SUBSTITUTE(B841," ","-")&amp;"_"&amp;D841&amp;"_"&amp;SUBSTITUTE(SUBSTITUTE(E841," ",""),"€","Euro")&amp;"_"&amp;IF(F841="","Unknown",F841)&amp;IF(F841="Commemorative",IF(G841="","","_"&amp;SUBSTITUTE(SUBSTITUTE(SUBSTITUTE(G841," ","-"),"/","-"),CHAR(39),"")),"")&amp;IF(I841="Duplicate","_Dub"&amp;IF(SUMPRODUCT(($B$2:B841=B841)*($D$2:D841=D841)*($E$2:E841=E841)*($F$2:F841=F841)*($G$2:G841=G841)*($I$2:I841="Duplicate"))&lt;=1,"",SUMPRODUCT(($B$2:B841=B841)*($D$2:D841=D841)*($E$2:E841=E841)*($F$2:F841=F841)*($G$2:G841=G841)*($I$2:I841="Duplicate"))-1),"")&amp;".jpeg")</f>
        <v/>
      </c>
      <c r="L841" s="6"/>
      <c r="M841" s="5" t="str">
        <f>IFERROR(VLOOKUP(E841,Specifications!$A$2:$D$9,2,FALSE),"")</f>
        <v/>
      </c>
      <c r="N841" s="5" t="str">
        <f>IFERROR(VLOOKUP(E841,Specifications!$A$2:$D$9,3,FALSE),"")</f>
        <v/>
      </c>
      <c r="O841" s="5" t="str">
        <f>IFERROR(VLOOKUP(E841,Specifications!$A$2:$D$9,4,FALSE),"")</f>
        <v/>
      </c>
      <c r="P841" s="8" t="str">
        <f t="shared" si="42"/>
        <v/>
      </c>
      <c r="Q841" s="9"/>
    </row>
    <row r="842" spans="1:17" ht="15">
      <c r="A842" s="5" t="str">
        <f t="shared" si="40"/>
        <v/>
      </c>
      <c r="B842" s="6"/>
      <c r="C842" s="5" t="str">
        <f>IFERROR(VLOOKUP(B842,Lists!$A$2:$B$25,2,FALSE),"")</f>
        <v/>
      </c>
      <c r="D842" s="7"/>
      <c r="E842" s="6"/>
      <c r="F842" s="6" t="str">
        <f t="shared" si="41"/>
        <v/>
      </c>
      <c r="G842" s="6"/>
      <c r="H842" s="6"/>
      <c r="I842" s="6"/>
      <c r="J842" s="7"/>
      <c r="K842" s="5" t="str" cm="1">
        <f t="array" ref="K842">IF(OR(A842="",B842="",D842="",E842=""),"",A842&amp;"_"&amp;SUBSTITUTE(B842," ","-")&amp;"_"&amp;D842&amp;"_"&amp;SUBSTITUTE(SUBSTITUTE(E842," ",""),"€","Euro")&amp;"_"&amp;IF(F842="","Unknown",F842)&amp;IF(F842="Commemorative",IF(G842="","","_"&amp;SUBSTITUTE(SUBSTITUTE(SUBSTITUTE(G842," ","-"),"/","-"),CHAR(39),"")),"")&amp;IF(I842="Duplicate","_Dub"&amp;IF(SUMPRODUCT(($B$2:B842=B842)*($D$2:D842=D842)*($E$2:E842=E842)*($F$2:F842=F842)*($G$2:G842=G842)*($I$2:I842="Duplicate"))&lt;=1,"",SUMPRODUCT(($B$2:B842=B842)*($D$2:D842=D842)*($E$2:E842=E842)*($F$2:F842=F842)*($G$2:G842=G842)*($I$2:I842="Duplicate"))-1),"")&amp;".jpeg")</f>
        <v/>
      </c>
      <c r="L842" s="6"/>
      <c r="M842" s="5" t="str">
        <f>IFERROR(VLOOKUP(E842,Specifications!$A$2:$D$9,2,FALSE),"")</f>
        <v/>
      </c>
      <c r="N842" s="5" t="str">
        <f>IFERROR(VLOOKUP(E842,Specifications!$A$2:$D$9,3,FALSE),"")</f>
        <v/>
      </c>
      <c r="O842" s="5" t="str">
        <f>IFERROR(VLOOKUP(E842,Specifications!$A$2:$D$9,4,FALSE),"")</f>
        <v/>
      </c>
      <c r="P842" s="8" t="str">
        <f t="shared" si="42"/>
        <v/>
      </c>
      <c r="Q842" s="9"/>
    </row>
    <row r="843" spans="1:17" ht="15">
      <c r="A843" s="5" t="str">
        <f t="shared" si="40"/>
        <v/>
      </c>
      <c r="B843" s="6"/>
      <c r="C843" s="5" t="str">
        <f>IFERROR(VLOOKUP(B843,Lists!$A$2:$B$25,2,FALSE),"")</f>
        <v/>
      </c>
      <c r="D843" s="7"/>
      <c r="E843" s="6"/>
      <c r="F843" s="6" t="str">
        <f t="shared" si="41"/>
        <v/>
      </c>
      <c r="G843" s="6"/>
      <c r="H843" s="6"/>
      <c r="I843" s="6"/>
      <c r="J843" s="7"/>
      <c r="K843" s="5" t="str" cm="1">
        <f t="array" ref="K843">IF(OR(A843="",B843="",D843="",E843=""),"",A843&amp;"_"&amp;SUBSTITUTE(B843," ","-")&amp;"_"&amp;D843&amp;"_"&amp;SUBSTITUTE(SUBSTITUTE(E843," ",""),"€","Euro")&amp;"_"&amp;IF(F843="","Unknown",F843)&amp;IF(F843="Commemorative",IF(G843="","","_"&amp;SUBSTITUTE(SUBSTITUTE(SUBSTITUTE(G843," ","-"),"/","-"),CHAR(39),"")),"")&amp;IF(I843="Duplicate","_Dub"&amp;IF(SUMPRODUCT(($B$2:B843=B843)*($D$2:D843=D843)*($E$2:E843=E843)*($F$2:F843=F843)*($G$2:G843=G843)*($I$2:I843="Duplicate"))&lt;=1,"",SUMPRODUCT(($B$2:B843=B843)*($D$2:D843=D843)*($E$2:E843=E843)*($F$2:F843=F843)*($G$2:G843=G843)*($I$2:I843="Duplicate"))-1),"")&amp;".jpeg")</f>
        <v/>
      </c>
      <c r="L843" s="6"/>
      <c r="M843" s="5" t="str">
        <f>IFERROR(VLOOKUP(E843,Specifications!$A$2:$D$9,2,FALSE),"")</f>
        <v/>
      </c>
      <c r="N843" s="5" t="str">
        <f>IFERROR(VLOOKUP(E843,Specifications!$A$2:$D$9,3,FALSE),"")</f>
        <v/>
      </c>
      <c r="O843" s="5" t="str">
        <f>IFERROR(VLOOKUP(E843,Specifications!$A$2:$D$9,4,FALSE),"")</f>
        <v/>
      </c>
      <c r="P843" s="8" t="str">
        <f t="shared" si="42"/>
        <v/>
      </c>
      <c r="Q843" s="9"/>
    </row>
    <row r="844" spans="1:17" ht="15">
      <c r="A844" s="5" t="str">
        <f t="shared" si="40"/>
        <v/>
      </c>
      <c r="B844" s="6"/>
      <c r="C844" s="5" t="str">
        <f>IFERROR(VLOOKUP(B844,Lists!$A$2:$B$25,2,FALSE),"")</f>
        <v/>
      </c>
      <c r="D844" s="7"/>
      <c r="E844" s="6"/>
      <c r="F844" s="6" t="str">
        <f t="shared" si="41"/>
        <v/>
      </c>
      <c r="G844" s="6"/>
      <c r="H844" s="6"/>
      <c r="I844" s="6"/>
      <c r="J844" s="7"/>
      <c r="K844" s="5" t="str" cm="1">
        <f t="array" ref="K844">IF(OR(A844="",B844="",D844="",E844=""),"",A844&amp;"_"&amp;SUBSTITUTE(B844," ","-")&amp;"_"&amp;D844&amp;"_"&amp;SUBSTITUTE(SUBSTITUTE(E844," ",""),"€","Euro")&amp;"_"&amp;IF(F844="","Unknown",F844)&amp;IF(F844="Commemorative",IF(G844="","","_"&amp;SUBSTITUTE(SUBSTITUTE(SUBSTITUTE(G844," ","-"),"/","-"),CHAR(39),"")),"")&amp;IF(I844="Duplicate","_Dub"&amp;IF(SUMPRODUCT(($B$2:B844=B844)*($D$2:D844=D844)*($E$2:E844=E844)*($F$2:F844=F844)*($G$2:G844=G844)*($I$2:I844="Duplicate"))&lt;=1,"",SUMPRODUCT(($B$2:B844=B844)*($D$2:D844=D844)*($E$2:E844=E844)*($F$2:F844=F844)*($G$2:G844=G844)*($I$2:I844="Duplicate"))-1),"")&amp;".jpeg")</f>
        <v/>
      </c>
      <c r="L844" s="6"/>
      <c r="M844" s="5" t="str">
        <f>IFERROR(VLOOKUP(E844,Specifications!$A$2:$D$9,2,FALSE),"")</f>
        <v/>
      </c>
      <c r="N844" s="5" t="str">
        <f>IFERROR(VLOOKUP(E844,Specifications!$A$2:$D$9,3,FALSE),"")</f>
        <v/>
      </c>
      <c r="O844" s="5" t="str">
        <f>IFERROR(VLOOKUP(E844,Specifications!$A$2:$D$9,4,FALSE),"")</f>
        <v/>
      </c>
      <c r="P844" s="8" t="str">
        <f t="shared" si="42"/>
        <v/>
      </c>
      <c r="Q844" s="9"/>
    </row>
    <row r="845" spans="1:17" ht="15">
      <c r="A845" s="5" t="str">
        <f t="shared" si="40"/>
        <v/>
      </c>
      <c r="B845" s="6"/>
      <c r="C845" s="5" t="str">
        <f>IFERROR(VLOOKUP(B845,Lists!$A$2:$B$25,2,FALSE),"")</f>
        <v/>
      </c>
      <c r="D845" s="7"/>
      <c r="E845" s="6"/>
      <c r="F845" s="6" t="str">
        <f t="shared" si="41"/>
        <v/>
      </c>
      <c r="G845" s="6"/>
      <c r="H845" s="6"/>
      <c r="I845" s="6"/>
      <c r="J845" s="7"/>
      <c r="K845" s="5" t="str" cm="1">
        <f t="array" ref="K845">IF(OR(A845="",B845="",D845="",E845=""),"",A845&amp;"_"&amp;SUBSTITUTE(B845," ","-")&amp;"_"&amp;D845&amp;"_"&amp;SUBSTITUTE(SUBSTITUTE(E845," ",""),"€","Euro")&amp;"_"&amp;IF(F845="","Unknown",F845)&amp;IF(F845="Commemorative",IF(G845="","","_"&amp;SUBSTITUTE(SUBSTITUTE(SUBSTITUTE(G845," ","-"),"/","-"),CHAR(39),"")),"")&amp;IF(I845="Duplicate","_Dub"&amp;IF(SUMPRODUCT(($B$2:B845=B845)*($D$2:D845=D845)*($E$2:E845=E845)*($F$2:F845=F845)*($G$2:G845=G845)*($I$2:I845="Duplicate"))&lt;=1,"",SUMPRODUCT(($B$2:B845=B845)*($D$2:D845=D845)*($E$2:E845=E845)*($F$2:F845=F845)*($G$2:G845=G845)*($I$2:I845="Duplicate"))-1),"")&amp;".jpeg")</f>
        <v/>
      </c>
      <c r="L845" s="6"/>
      <c r="M845" s="5" t="str">
        <f>IFERROR(VLOOKUP(E845,Specifications!$A$2:$D$9,2,FALSE),"")</f>
        <v/>
      </c>
      <c r="N845" s="5" t="str">
        <f>IFERROR(VLOOKUP(E845,Specifications!$A$2:$D$9,3,FALSE),"")</f>
        <v/>
      </c>
      <c r="O845" s="5" t="str">
        <f>IFERROR(VLOOKUP(E845,Specifications!$A$2:$D$9,4,FALSE),"")</f>
        <v/>
      </c>
      <c r="P845" s="8" t="str">
        <f t="shared" si="42"/>
        <v/>
      </c>
      <c r="Q845" s="9"/>
    </row>
    <row r="846" spans="1:17" ht="15">
      <c r="A846" s="5" t="str">
        <f t="shared" si="40"/>
        <v/>
      </c>
      <c r="B846" s="6"/>
      <c r="C846" s="5" t="str">
        <f>IFERROR(VLOOKUP(B846,Lists!$A$2:$B$25,2,FALSE),"")</f>
        <v/>
      </c>
      <c r="D846" s="7"/>
      <c r="E846" s="6"/>
      <c r="F846" s="6" t="str">
        <f t="shared" si="41"/>
        <v/>
      </c>
      <c r="G846" s="6"/>
      <c r="H846" s="6"/>
      <c r="I846" s="6"/>
      <c r="J846" s="7"/>
      <c r="K846" s="5" t="str" cm="1">
        <f t="array" ref="K846">IF(OR(A846="",B846="",D846="",E846=""),"",A846&amp;"_"&amp;SUBSTITUTE(B846," ","-")&amp;"_"&amp;D846&amp;"_"&amp;SUBSTITUTE(SUBSTITUTE(E846," ",""),"€","Euro")&amp;"_"&amp;IF(F846="","Unknown",F846)&amp;IF(F846="Commemorative",IF(G846="","","_"&amp;SUBSTITUTE(SUBSTITUTE(SUBSTITUTE(G846," ","-"),"/","-"),CHAR(39),"")),"")&amp;IF(I846="Duplicate","_Dub"&amp;IF(SUMPRODUCT(($B$2:B846=B846)*($D$2:D846=D846)*($E$2:E846=E846)*($F$2:F846=F846)*($G$2:G846=G846)*($I$2:I846="Duplicate"))&lt;=1,"",SUMPRODUCT(($B$2:B846=B846)*($D$2:D846=D846)*($E$2:E846=E846)*($F$2:F846=F846)*($G$2:G846=G846)*($I$2:I846="Duplicate"))-1),"")&amp;".jpeg")</f>
        <v/>
      </c>
      <c r="L846" s="6"/>
      <c r="M846" s="5" t="str">
        <f>IFERROR(VLOOKUP(E846,Specifications!$A$2:$D$9,2,FALSE),"")</f>
        <v/>
      </c>
      <c r="N846" s="5" t="str">
        <f>IFERROR(VLOOKUP(E846,Specifications!$A$2:$D$9,3,FALSE),"")</f>
        <v/>
      </c>
      <c r="O846" s="5" t="str">
        <f>IFERROR(VLOOKUP(E846,Specifications!$A$2:$D$9,4,FALSE),"")</f>
        <v/>
      </c>
      <c r="P846" s="8" t="str">
        <f t="shared" si="42"/>
        <v/>
      </c>
      <c r="Q846" s="9"/>
    </row>
    <row r="847" spans="1:17" ht="15">
      <c r="A847" s="5" t="str">
        <f t="shared" si="40"/>
        <v/>
      </c>
      <c r="B847" s="6"/>
      <c r="C847" s="5" t="str">
        <f>IFERROR(VLOOKUP(B847,Lists!$A$2:$B$25,2,FALSE),"")</f>
        <v/>
      </c>
      <c r="D847" s="7"/>
      <c r="E847" s="6"/>
      <c r="F847" s="6" t="str">
        <f t="shared" si="41"/>
        <v/>
      </c>
      <c r="G847" s="6"/>
      <c r="H847" s="6"/>
      <c r="I847" s="6"/>
      <c r="J847" s="7"/>
      <c r="K847" s="5" t="str" cm="1">
        <f t="array" ref="K847">IF(OR(A847="",B847="",D847="",E847=""),"",A847&amp;"_"&amp;SUBSTITUTE(B847," ","-")&amp;"_"&amp;D847&amp;"_"&amp;SUBSTITUTE(SUBSTITUTE(E847," ",""),"€","Euro")&amp;"_"&amp;IF(F847="","Unknown",F847)&amp;IF(F847="Commemorative",IF(G847="","","_"&amp;SUBSTITUTE(SUBSTITUTE(SUBSTITUTE(G847," ","-"),"/","-"),CHAR(39),"")),"")&amp;IF(I847="Duplicate","_Dub"&amp;IF(SUMPRODUCT(($B$2:B847=B847)*($D$2:D847=D847)*($E$2:E847=E847)*($F$2:F847=F847)*($G$2:G847=G847)*($I$2:I847="Duplicate"))&lt;=1,"",SUMPRODUCT(($B$2:B847=B847)*($D$2:D847=D847)*($E$2:E847=E847)*($F$2:F847=F847)*($G$2:G847=G847)*($I$2:I847="Duplicate"))-1),"")&amp;".jpeg")</f>
        <v/>
      </c>
      <c r="L847" s="6"/>
      <c r="M847" s="5" t="str">
        <f>IFERROR(VLOOKUP(E847,Specifications!$A$2:$D$9,2,FALSE),"")</f>
        <v/>
      </c>
      <c r="N847" s="5" t="str">
        <f>IFERROR(VLOOKUP(E847,Specifications!$A$2:$D$9,3,FALSE),"")</f>
        <v/>
      </c>
      <c r="O847" s="5" t="str">
        <f>IFERROR(VLOOKUP(E847,Specifications!$A$2:$D$9,4,FALSE),"")</f>
        <v/>
      </c>
      <c r="P847" s="8" t="str">
        <f t="shared" si="42"/>
        <v/>
      </c>
      <c r="Q847" s="9"/>
    </row>
    <row r="848" spans="1:17" ht="15">
      <c r="A848" s="5" t="str">
        <f t="shared" si="40"/>
        <v/>
      </c>
      <c r="B848" s="6"/>
      <c r="C848" s="5" t="str">
        <f>IFERROR(VLOOKUP(B848,Lists!$A$2:$B$25,2,FALSE),"")</f>
        <v/>
      </c>
      <c r="D848" s="7"/>
      <c r="E848" s="6"/>
      <c r="F848" s="6" t="str">
        <f t="shared" si="41"/>
        <v/>
      </c>
      <c r="G848" s="6"/>
      <c r="H848" s="6"/>
      <c r="I848" s="6"/>
      <c r="J848" s="7"/>
      <c r="K848" s="5" t="str" cm="1">
        <f t="array" ref="K848">IF(OR(A848="",B848="",D848="",E848=""),"",A848&amp;"_"&amp;SUBSTITUTE(B848," ","-")&amp;"_"&amp;D848&amp;"_"&amp;SUBSTITUTE(SUBSTITUTE(E848," ",""),"€","Euro")&amp;"_"&amp;IF(F848="","Unknown",F848)&amp;IF(F848="Commemorative",IF(G848="","","_"&amp;SUBSTITUTE(SUBSTITUTE(SUBSTITUTE(G848," ","-"),"/","-"),CHAR(39),"")),"")&amp;IF(I848="Duplicate","_Dub"&amp;IF(SUMPRODUCT(($B$2:B848=B848)*($D$2:D848=D848)*($E$2:E848=E848)*($F$2:F848=F848)*($G$2:G848=G848)*($I$2:I848="Duplicate"))&lt;=1,"",SUMPRODUCT(($B$2:B848=B848)*($D$2:D848=D848)*($E$2:E848=E848)*($F$2:F848=F848)*($G$2:G848=G848)*($I$2:I848="Duplicate"))-1),"")&amp;".jpeg")</f>
        <v/>
      </c>
      <c r="L848" s="6"/>
      <c r="M848" s="5" t="str">
        <f>IFERROR(VLOOKUP(E848,Specifications!$A$2:$D$9,2,FALSE),"")</f>
        <v/>
      </c>
      <c r="N848" s="5" t="str">
        <f>IFERROR(VLOOKUP(E848,Specifications!$A$2:$D$9,3,FALSE),"")</f>
        <v/>
      </c>
      <c r="O848" s="5" t="str">
        <f>IFERROR(VLOOKUP(E848,Specifications!$A$2:$D$9,4,FALSE),"")</f>
        <v/>
      </c>
      <c r="P848" s="8" t="str">
        <f t="shared" si="42"/>
        <v/>
      </c>
      <c r="Q848" s="9"/>
    </row>
    <row r="849" spans="1:17" ht="15">
      <c r="A849" s="5" t="str">
        <f t="shared" si="40"/>
        <v/>
      </c>
      <c r="B849" s="6"/>
      <c r="C849" s="5" t="str">
        <f>IFERROR(VLOOKUP(B849,Lists!$A$2:$B$25,2,FALSE),"")</f>
        <v/>
      </c>
      <c r="D849" s="7"/>
      <c r="E849" s="6"/>
      <c r="F849" s="6" t="str">
        <f t="shared" si="41"/>
        <v/>
      </c>
      <c r="G849" s="6"/>
      <c r="H849" s="6"/>
      <c r="I849" s="6"/>
      <c r="J849" s="7"/>
      <c r="K849" s="5" t="str" cm="1">
        <f t="array" ref="K849">IF(OR(A849="",B849="",D849="",E849=""),"",A849&amp;"_"&amp;SUBSTITUTE(B849," ","-")&amp;"_"&amp;D849&amp;"_"&amp;SUBSTITUTE(SUBSTITUTE(E849," ",""),"€","Euro")&amp;"_"&amp;IF(F849="","Unknown",F849)&amp;IF(F849="Commemorative",IF(G849="","","_"&amp;SUBSTITUTE(SUBSTITUTE(SUBSTITUTE(G849," ","-"),"/","-"),CHAR(39),"")),"")&amp;IF(I849="Duplicate","_Dub"&amp;IF(SUMPRODUCT(($B$2:B849=B849)*($D$2:D849=D849)*($E$2:E849=E849)*($F$2:F849=F849)*($G$2:G849=G849)*($I$2:I849="Duplicate"))&lt;=1,"",SUMPRODUCT(($B$2:B849=B849)*($D$2:D849=D849)*($E$2:E849=E849)*($F$2:F849=F849)*($G$2:G849=G849)*($I$2:I849="Duplicate"))-1),"")&amp;".jpeg")</f>
        <v/>
      </c>
      <c r="L849" s="6"/>
      <c r="M849" s="5" t="str">
        <f>IFERROR(VLOOKUP(E849,Specifications!$A$2:$D$9,2,FALSE),"")</f>
        <v/>
      </c>
      <c r="N849" s="5" t="str">
        <f>IFERROR(VLOOKUP(E849,Specifications!$A$2:$D$9,3,FALSE),"")</f>
        <v/>
      </c>
      <c r="O849" s="5" t="str">
        <f>IFERROR(VLOOKUP(E849,Specifications!$A$2:$D$9,4,FALSE),"")</f>
        <v/>
      </c>
      <c r="P849" s="8" t="str">
        <f t="shared" si="42"/>
        <v/>
      </c>
      <c r="Q849" s="9"/>
    </row>
    <row r="850" spans="1:17" ht="15">
      <c r="A850" s="5" t="str">
        <f t="shared" si="40"/>
        <v/>
      </c>
      <c r="B850" s="6"/>
      <c r="C850" s="5" t="str">
        <f>IFERROR(VLOOKUP(B850,Lists!$A$2:$B$25,2,FALSE),"")</f>
        <v/>
      </c>
      <c r="D850" s="7"/>
      <c r="E850" s="6"/>
      <c r="F850" s="6" t="str">
        <f t="shared" si="41"/>
        <v/>
      </c>
      <c r="G850" s="6"/>
      <c r="H850" s="6"/>
      <c r="I850" s="6"/>
      <c r="J850" s="7"/>
      <c r="K850" s="5" t="str" cm="1">
        <f t="array" ref="K850">IF(OR(A850="",B850="",D850="",E850=""),"",A850&amp;"_"&amp;SUBSTITUTE(B850," ","-")&amp;"_"&amp;D850&amp;"_"&amp;SUBSTITUTE(SUBSTITUTE(E850," ",""),"€","Euro")&amp;"_"&amp;IF(F850="","Unknown",F850)&amp;IF(F850="Commemorative",IF(G850="","","_"&amp;SUBSTITUTE(SUBSTITUTE(SUBSTITUTE(G850," ","-"),"/","-"),CHAR(39),"")),"")&amp;IF(I850="Duplicate","_Dub"&amp;IF(SUMPRODUCT(($B$2:B850=B850)*($D$2:D850=D850)*($E$2:E850=E850)*($F$2:F850=F850)*($G$2:G850=G850)*($I$2:I850="Duplicate"))&lt;=1,"",SUMPRODUCT(($B$2:B850=B850)*($D$2:D850=D850)*($E$2:E850=E850)*($F$2:F850=F850)*($G$2:G850=G850)*($I$2:I850="Duplicate"))-1),"")&amp;".jpeg")</f>
        <v/>
      </c>
      <c r="L850" s="6"/>
      <c r="M850" s="5" t="str">
        <f>IFERROR(VLOOKUP(E850,Specifications!$A$2:$D$9,2,FALSE),"")</f>
        <v/>
      </c>
      <c r="N850" s="5" t="str">
        <f>IFERROR(VLOOKUP(E850,Specifications!$A$2:$D$9,3,FALSE),"")</f>
        <v/>
      </c>
      <c r="O850" s="5" t="str">
        <f>IFERROR(VLOOKUP(E850,Specifications!$A$2:$D$9,4,FALSE),"")</f>
        <v/>
      </c>
      <c r="P850" s="8" t="str">
        <f t="shared" si="42"/>
        <v/>
      </c>
      <c r="Q850" s="9"/>
    </row>
    <row r="851" spans="1:17" ht="15">
      <c r="A851" s="5" t="str">
        <f t="shared" si="40"/>
        <v/>
      </c>
      <c r="B851" s="6"/>
      <c r="C851" s="5" t="str">
        <f>IFERROR(VLOOKUP(B851,Lists!$A$2:$B$25,2,FALSE),"")</f>
        <v/>
      </c>
      <c r="D851" s="7"/>
      <c r="E851" s="6"/>
      <c r="F851" s="6" t="str">
        <f t="shared" si="41"/>
        <v/>
      </c>
      <c r="G851" s="6"/>
      <c r="H851" s="6"/>
      <c r="I851" s="6"/>
      <c r="J851" s="7"/>
      <c r="K851" s="5" t="str" cm="1">
        <f t="array" ref="K851">IF(OR(A851="",B851="",D851="",E851=""),"",A851&amp;"_"&amp;SUBSTITUTE(B851," ","-")&amp;"_"&amp;D851&amp;"_"&amp;SUBSTITUTE(SUBSTITUTE(E851," ",""),"€","Euro")&amp;"_"&amp;IF(F851="","Unknown",F851)&amp;IF(F851="Commemorative",IF(G851="","","_"&amp;SUBSTITUTE(SUBSTITUTE(SUBSTITUTE(G851," ","-"),"/","-"),CHAR(39),"")),"")&amp;IF(I851="Duplicate","_Dub"&amp;IF(SUMPRODUCT(($B$2:B851=B851)*($D$2:D851=D851)*($E$2:E851=E851)*($F$2:F851=F851)*($G$2:G851=G851)*($I$2:I851="Duplicate"))&lt;=1,"",SUMPRODUCT(($B$2:B851=B851)*($D$2:D851=D851)*($E$2:E851=E851)*($F$2:F851=F851)*($G$2:G851=G851)*($I$2:I851="Duplicate"))-1),"")&amp;".jpeg")</f>
        <v/>
      </c>
      <c r="L851" s="6"/>
      <c r="M851" s="5" t="str">
        <f>IFERROR(VLOOKUP(E851,Specifications!$A$2:$D$9,2,FALSE),"")</f>
        <v/>
      </c>
      <c r="N851" s="5" t="str">
        <f>IFERROR(VLOOKUP(E851,Specifications!$A$2:$D$9,3,FALSE),"")</f>
        <v/>
      </c>
      <c r="O851" s="5" t="str">
        <f>IFERROR(VLOOKUP(E851,Specifications!$A$2:$D$9,4,FALSE),"")</f>
        <v/>
      </c>
      <c r="P851" s="8" t="str">
        <f t="shared" si="42"/>
        <v/>
      </c>
      <c r="Q851" s="9"/>
    </row>
    <row r="852" spans="1:17" ht="15">
      <c r="A852" s="5" t="str">
        <f t="shared" si="40"/>
        <v/>
      </c>
      <c r="B852" s="6"/>
      <c r="C852" s="5" t="str">
        <f>IFERROR(VLOOKUP(B852,Lists!$A$2:$B$25,2,FALSE),"")</f>
        <v/>
      </c>
      <c r="D852" s="7"/>
      <c r="E852" s="6"/>
      <c r="F852" s="6" t="str">
        <f t="shared" si="41"/>
        <v/>
      </c>
      <c r="G852" s="6"/>
      <c r="H852" s="6"/>
      <c r="I852" s="6"/>
      <c r="J852" s="7"/>
      <c r="K852" s="5" t="str" cm="1">
        <f t="array" ref="K852">IF(OR(A852="",B852="",D852="",E852=""),"",A852&amp;"_"&amp;SUBSTITUTE(B852," ","-")&amp;"_"&amp;D852&amp;"_"&amp;SUBSTITUTE(SUBSTITUTE(E852," ",""),"€","Euro")&amp;"_"&amp;IF(F852="","Unknown",F852)&amp;IF(F852="Commemorative",IF(G852="","","_"&amp;SUBSTITUTE(SUBSTITUTE(SUBSTITUTE(G852," ","-"),"/","-"),CHAR(39),"")),"")&amp;IF(I852="Duplicate","_Dub"&amp;IF(SUMPRODUCT(($B$2:B852=B852)*($D$2:D852=D852)*($E$2:E852=E852)*($F$2:F852=F852)*($G$2:G852=G852)*($I$2:I852="Duplicate"))&lt;=1,"",SUMPRODUCT(($B$2:B852=B852)*($D$2:D852=D852)*($E$2:E852=E852)*($F$2:F852=F852)*($G$2:G852=G852)*($I$2:I852="Duplicate"))-1),"")&amp;".jpeg")</f>
        <v/>
      </c>
      <c r="L852" s="6"/>
      <c r="M852" s="5" t="str">
        <f>IFERROR(VLOOKUP(E852,Specifications!$A$2:$D$9,2,FALSE),"")</f>
        <v/>
      </c>
      <c r="N852" s="5" t="str">
        <f>IFERROR(VLOOKUP(E852,Specifications!$A$2:$D$9,3,FALSE),"")</f>
        <v/>
      </c>
      <c r="O852" s="5" t="str">
        <f>IFERROR(VLOOKUP(E852,Specifications!$A$2:$D$9,4,FALSE),"")</f>
        <v/>
      </c>
      <c r="P852" s="8" t="str">
        <f t="shared" si="42"/>
        <v/>
      </c>
      <c r="Q852" s="9"/>
    </row>
    <row r="853" spans="1:17" ht="15">
      <c r="A853" s="5" t="str">
        <f t="shared" si="40"/>
        <v/>
      </c>
      <c r="B853" s="6"/>
      <c r="C853" s="5" t="str">
        <f>IFERROR(VLOOKUP(B853,Lists!$A$2:$B$25,2,FALSE),"")</f>
        <v/>
      </c>
      <c r="D853" s="7"/>
      <c r="E853" s="6"/>
      <c r="F853" s="6" t="str">
        <f t="shared" si="41"/>
        <v/>
      </c>
      <c r="G853" s="6"/>
      <c r="H853" s="6"/>
      <c r="I853" s="6"/>
      <c r="J853" s="7"/>
      <c r="K853" s="5" t="str" cm="1">
        <f t="array" ref="K853">IF(OR(A853="",B853="",D853="",E853=""),"",A853&amp;"_"&amp;SUBSTITUTE(B853," ","-")&amp;"_"&amp;D853&amp;"_"&amp;SUBSTITUTE(SUBSTITUTE(E853," ",""),"€","Euro")&amp;"_"&amp;IF(F853="","Unknown",F853)&amp;IF(F853="Commemorative",IF(G853="","","_"&amp;SUBSTITUTE(SUBSTITUTE(SUBSTITUTE(G853," ","-"),"/","-"),CHAR(39),"")),"")&amp;IF(I853="Duplicate","_Dub"&amp;IF(SUMPRODUCT(($B$2:B853=B853)*($D$2:D853=D853)*($E$2:E853=E853)*($F$2:F853=F853)*($G$2:G853=G853)*($I$2:I853="Duplicate"))&lt;=1,"",SUMPRODUCT(($B$2:B853=B853)*($D$2:D853=D853)*($E$2:E853=E853)*($F$2:F853=F853)*($G$2:G853=G853)*($I$2:I853="Duplicate"))-1),"")&amp;".jpeg")</f>
        <v/>
      </c>
      <c r="L853" s="6"/>
      <c r="M853" s="5" t="str">
        <f>IFERROR(VLOOKUP(E853,Specifications!$A$2:$D$9,2,FALSE),"")</f>
        <v/>
      </c>
      <c r="N853" s="5" t="str">
        <f>IFERROR(VLOOKUP(E853,Specifications!$A$2:$D$9,3,FALSE),"")</f>
        <v/>
      </c>
      <c r="O853" s="5" t="str">
        <f>IFERROR(VLOOKUP(E853,Specifications!$A$2:$D$9,4,FALSE),"")</f>
        <v/>
      </c>
      <c r="P853" s="8" t="str">
        <f t="shared" si="42"/>
        <v/>
      </c>
      <c r="Q853" s="9"/>
    </row>
    <row r="854" spans="1:17" ht="15">
      <c r="A854" s="5" t="str">
        <f t="shared" si="40"/>
        <v/>
      </c>
      <c r="B854" s="6"/>
      <c r="C854" s="5" t="str">
        <f>IFERROR(VLOOKUP(B854,Lists!$A$2:$B$25,2,FALSE),"")</f>
        <v/>
      </c>
      <c r="D854" s="7"/>
      <c r="E854" s="6"/>
      <c r="F854" s="6" t="str">
        <f t="shared" si="41"/>
        <v/>
      </c>
      <c r="G854" s="6"/>
      <c r="H854" s="6"/>
      <c r="I854" s="6"/>
      <c r="J854" s="7"/>
      <c r="K854" s="5" t="str" cm="1">
        <f t="array" ref="K854">IF(OR(A854="",B854="",D854="",E854=""),"",A854&amp;"_"&amp;SUBSTITUTE(B854," ","-")&amp;"_"&amp;D854&amp;"_"&amp;SUBSTITUTE(SUBSTITUTE(E854," ",""),"€","Euro")&amp;"_"&amp;IF(F854="","Unknown",F854)&amp;IF(F854="Commemorative",IF(G854="","","_"&amp;SUBSTITUTE(SUBSTITUTE(SUBSTITUTE(G854," ","-"),"/","-"),CHAR(39),"")),"")&amp;IF(I854="Duplicate","_Dub"&amp;IF(SUMPRODUCT(($B$2:B854=B854)*($D$2:D854=D854)*($E$2:E854=E854)*($F$2:F854=F854)*($G$2:G854=G854)*($I$2:I854="Duplicate"))&lt;=1,"",SUMPRODUCT(($B$2:B854=B854)*($D$2:D854=D854)*($E$2:E854=E854)*($F$2:F854=F854)*($G$2:G854=G854)*($I$2:I854="Duplicate"))-1),"")&amp;".jpeg")</f>
        <v/>
      </c>
      <c r="L854" s="6"/>
      <c r="M854" s="5" t="str">
        <f>IFERROR(VLOOKUP(E854,Specifications!$A$2:$D$9,2,FALSE),"")</f>
        <v/>
      </c>
      <c r="N854" s="5" t="str">
        <f>IFERROR(VLOOKUP(E854,Specifications!$A$2:$D$9,3,FALSE),"")</f>
        <v/>
      </c>
      <c r="O854" s="5" t="str">
        <f>IFERROR(VLOOKUP(E854,Specifications!$A$2:$D$9,4,FALSE),"")</f>
        <v/>
      </c>
      <c r="P854" s="8" t="str">
        <f t="shared" si="42"/>
        <v/>
      </c>
      <c r="Q854" s="9"/>
    </row>
    <row r="855" spans="1:17" ht="15">
      <c r="A855" s="5" t="str">
        <f t="shared" si="40"/>
        <v/>
      </c>
      <c r="B855" s="6"/>
      <c r="C855" s="5" t="str">
        <f>IFERROR(VLOOKUP(B855,Lists!$A$2:$B$25,2,FALSE),"")</f>
        <v/>
      </c>
      <c r="D855" s="7"/>
      <c r="E855" s="6"/>
      <c r="F855" s="6" t="str">
        <f t="shared" si="41"/>
        <v/>
      </c>
      <c r="G855" s="6"/>
      <c r="H855" s="6"/>
      <c r="I855" s="6"/>
      <c r="J855" s="7"/>
      <c r="K855" s="5" t="str" cm="1">
        <f t="array" ref="K855">IF(OR(A855="",B855="",D855="",E855=""),"",A855&amp;"_"&amp;SUBSTITUTE(B855," ","-")&amp;"_"&amp;D855&amp;"_"&amp;SUBSTITUTE(SUBSTITUTE(E855," ",""),"€","Euro")&amp;"_"&amp;IF(F855="","Unknown",F855)&amp;IF(F855="Commemorative",IF(G855="","","_"&amp;SUBSTITUTE(SUBSTITUTE(SUBSTITUTE(G855," ","-"),"/","-"),CHAR(39),"")),"")&amp;IF(I855="Duplicate","_Dub"&amp;IF(SUMPRODUCT(($B$2:B855=B855)*($D$2:D855=D855)*($E$2:E855=E855)*($F$2:F855=F855)*($G$2:G855=G855)*($I$2:I855="Duplicate"))&lt;=1,"",SUMPRODUCT(($B$2:B855=B855)*($D$2:D855=D855)*($E$2:E855=E855)*($F$2:F855=F855)*($G$2:G855=G855)*($I$2:I855="Duplicate"))-1),"")&amp;".jpeg")</f>
        <v/>
      </c>
      <c r="L855" s="6"/>
      <c r="M855" s="5" t="str">
        <f>IFERROR(VLOOKUP(E855,Specifications!$A$2:$D$9,2,FALSE),"")</f>
        <v/>
      </c>
      <c r="N855" s="5" t="str">
        <f>IFERROR(VLOOKUP(E855,Specifications!$A$2:$D$9,3,FALSE),"")</f>
        <v/>
      </c>
      <c r="O855" s="5" t="str">
        <f>IFERROR(VLOOKUP(E855,Specifications!$A$2:$D$9,4,FALSE),"")</f>
        <v/>
      </c>
      <c r="P855" s="8" t="str">
        <f t="shared" si="42"/>
        <v/>
      </c>
      <c r="Q855" s="9"/>
    </row>
    <row r="856" spans="1:17" ht="15">
      <c r="A856" s="5" t="str">
        <f t="shared" si="40"/>
        <v/>
      </c>
      <c r="B856" s="6"/>
      <c r="C856" s="5" t="str">
        <f>IFERROR(VLOOKUP(B856,Lists!$A$2:$B$25,2,FALSE),"")</f>
        <v/>
      </c>
      <c r="D856" s="7"/>
      <c r="E856" s="6"/>
      <c r="F856" s="6" t="str">
        <f t="shared" si="41"/>
        <v/>
      </c>
      <c r="G856" s="6"/>
      <c r="H856" s="6"/>
      <c r="I856" s="6"/>
      <c r="J856" s="7"/>
      <c r="K856" s="5" t="str" cm="1">
        <f t="array" ref="K856">IF(OR(A856="",B856="",D856="",E856=""),"",A856&amp;"_"&amp;SUBSTITUTE(B856," ","-")&amp;"_"&amp;D856&amp;"_"&amp;SUBSTITUTE(SUBSTITUTE(E856," ",""),"€","Euro")&amp;"_"&amp;IF(F856="","Unknown",F856)&amp;IF(F856="Commemorative",IF(G856="","","_"&amp;SUBSTITUTE(SUBSTITUTE(SUBSTITUTE(G856," ","-"),"/","-"),CHAR(39),"")),"")&amp;IF(I856="Duplicate","_Dub"&amp;IF(SUMPRODUCT(($B$2:B856=B856)*($D$2:D856=D856)*($E$2:E856=E856)*($F$2:F856=F856)*($G$2:G856=G856)*($I$2:I856="Duplicate"))&lt;=1,"",SUMPRODUCT(($B$2:B856=B856)*($D$2:D856=D856)*($E$2:E856=E856)*($F$2:F856=F856)*($G$2:G856=G856)*($I$2:I856="Duplicate"))-1),"")&amp;".jpeg")</f>
        <v/>
      </c>
      <c r="L856" s="6"/>
      <c r="M856" s="5" t="str">
        <f>IFERROR(VLOOKUP(E856,Specifications!$A$2:$D$9,2,FALSE),"")</f>
        <v/>
      </c>
      <c r="N856" s="5" t="str">
        <f>IFERROR(VLOOKUP(E856,Specifications!$A$2:$D$9,3,FALSE),"")</f>
        <v/>
      </c>
      <c r="O856" s="5" t="str">
        <f>IFERROR(VLOOKUP(E856,Specifications!$A$2:$D$9,4,FALSE),"")</f>
        <v/>
      </c>
      <c r="P856" s="8" t="str">
        <f t="shared" si="42"/>
        <v/>
      </c>
      <c r="Q856" s="9"/>
    </row>
    <row r="857" spans="1:17" ht="15">
      <c r="A857" s="5" t="str">
        <f t="shared" si="40"/>
        <v/>
      </c>
      <c r="B857" s="6"/>
      <c r="C857" s="5" t="str">
        <f>IFERROR(VLOOKUP(B857,Lists!$A$2:$B$25,2,FALSE),"")</f>
        <v/>
      </c>
      <c r="D857" s="7"/>
      <c r="E857" s="6"/>
      <c r="F857" s="6" t="str">
        <f t="shared" si="41"/>
        <v/>
      </c>
      <c r="G857" s="6"/>
      <c r="H857" s="6"/>
      <c r="I857" s="6"/>
      <c r="J857" s="7"/>
      <c r="K857" s="5" t="str" cm="1">
        <f t="array" ref="K857">IF(OR(A857="",B857="",D857="",E857=""),"",A857&amp;"_"&amp;SUBSTITUTE(B857," ","-")&amp;"_"&amp;D857&amp;"_"&amp;SUBSTITUTE(SUBSTITUTE(E857," ",""),"€","Euro")&amp;"_"&amp;IF(F857="","Unknown",F857)&amp;IF(F857="Commemorative",IF(G857="","","_"&amp;SUBSTITUTE(SUBSTITUTE(SUBSTITUTE(G857," ","-"),"/","-"),CHAR(39),"")),"")&amp;IF(I857="Duplicate","_Dub"&amp;IF(SUMPRODUCT(($B$2:B857=B857)*($D$2:D857=D857)*($E$2:E857=E857)*($F$2:F857=F857)*($G$2:G857=G857)*($I$2:I857="Duplicate"))&lt;=1,"",SUMPRODUCT(($B$2:B857=B857)*($D$2:D857=D857)*($E$2:E857=E857)*($F$2:F857=F857)*($G$2:G857=G857)*($I$2:I857="Duplicate"))-1),"")&amp;".jpeg")</f>
        <v/>
      </c>
      <c r="L857" s="6"/>
      <c r="M857" s="5" t="str">
        <f>IFERROR(VLOOKUP(E857,Specifications!$A$2:$D$9,2,FALSE),"")</f>
        <v/>
      </c>
      <c r="N857" s="5" t="str">
        <f>IFERROR(VLOOKUP(E857,Specifications!$A$2:$D$9,3,FALSE),"")</f>
        <v/>
      </c>
      <c r="O857" s="5" t="str">
        <f>IFERROR(VLOOKUP(E857,Specifications!$A$2:$D$9,4,FALSE),"")</f>
        <v/>
      </c>
      <c r="P857" s="8" t="str">
        <f t="shared" si="42"/>
        <v/>
      </c>
      <c r="Q857" s="9"/>
    </row>
    <row r="858" spans="1:17" ht="15">
      <c r="A858" s="5" t="str">
        <f t="shared" si="40"/>
        <v/>
      </c>
      <c r="B858" s="6"/>
      <c r="C858" s="5" t="str">
        <f>IFERROR(VLOOKUP(B858,Lists!$A$2:$B$25,2,FALSE),"")</f>
        <v/>
      </c>
      <c r="D858" s="7"/>
      <c r="E858" s="6"/>
      <c r="F858" s="6" t="str">
        <f t="shared" si="41"/>
        <v/>
      </c>
      <c r="G858" s="6"/>
      <c r="H858" s="6"/>
      <c r="I858" s="6"/>
      <c r="J858" s="7"/>
      <c r="K858" s="5" t="str" cm="1">
        <f t="array" ref="K858">IF(OR(A858="",B858="",D858="",E858=""),"",A858&amp;"_"&amp;SUBSTITUTE(B858," ","-")&amp;"_"&amp;D858&amp;"_"&amp;SUBSTITUTE(SUBSTITUTE(E858," ",""),"€","Euro")&amp;"_"&amp;IF(F858="","Unknown",F858)&amp;IF(F858="Commemorative",IF(G858="","","_"&amp;SUBSTITUTE(SUBSTITUTE(SUBSTITUTE(G858," ","-"),"/","-"),CHAR(39),"")),"")&amp;IF(I858="Duplicate","_Dub"&amp;IF(SUMPRODUCT(($B$2:B858=B858)*($D$2:D858=D858)*($E$2:E858=E858)*($F$2:F858=F858)*($G$2:G858=G858)*($I$2:I858="Duplicate"))&lt;=1,"",SUMPRODUCT(($B$2:B858=B858)*($D$2:D858=D858)*($E$2:E858=E858)*($F$2:F858=F858)*($G$2:G858=G858)*($I$2:I858="Duplicate"))-1),"")&amp;".jpeg")</f>
        <v/>
      </c>
      <c r="L858" s="6"/>
      <c r="M858" s="5" t="str">
        <f>IFERROR(VLOOKUP(E858,Specifications!$A$2:$D$9,2,FALSE),"")</f>
        <v/>
      </c>
      <c r="N858" s="5" t="str">
        <f>IFERROR(VLOOKUP(E858,Specifications!$A$2:$D$9,3,FALSE),"")</f>
        <v/>
      </c>
      <c r="O858" s="5" t="str">
        <f>IFERROR(VLOOKUP(E858,Specifications!$A$2:$D$9,4,FALSE),"")</f>
        <v/>
      </c>
      <c r="P858" s="8" t="str">
        <f t="shared" si="42"/>
        <v/>
      </c>
      <c r="Q858" s="9"/>
    </row>
    <row r="859" spans="1:17" ht="15">
      <c r="A859" s="5" t="str">
        <f t="shared" si="40"/>
        <v/>
      </c>
      <c r="B859" s="6"/>
      <c r="C859" s="5" t="str">
        <f>IFERROR(VLOOKUP(B859,Lists!$A$2:$B$25,2,FALSE),"")</f>
        <v/>
      </c>
      <c r="D859" s="7"/>
      <c r="E859" s="6"/>
      <c r="F859" s="6" t="str">
        <f t="shared" si="41"/>
        <v/>
      </c>
      <c r="G859" s="6"/>
      <c r="H859" s="6"/>
      <c r="I859" s="6"/>
      <c r="J859" s="7"/>
      <c r="K859" s="5" t="str" cm="1">
        <f t="array" ref="K859">IF(OR(A859="",B859="",D859="",E859=""),"",A859&amp;"_"&amp;SUBSTITUTE(B859," ","-")&amp;"_"&amp;D859&amp;"_"&amp;SUBSTITUTE(SUBSTITUTE(E859," ",""),"€","Euro")&amp;"_"&amp;IF(F859="","Unknown",F859)&amp;IF(F859="Commemorative",IF(G859="","","_"&amp;SUBSTITUTE(SUBSTITUTE(SUBSTITUTE(G859," ","-"),"/","-"),CHAR(39),"")),"")&amp;IF(I859="Duplicate","_Dub"&amp;IF(SUMPRODUCT(($B$2:B859=B859)*($D$2:D859=D859)*($E$2:E859=E859)*($F$2:F859=F859)*($G$2:G859=G859)*($I$2:I859="Duplicate"))&lt;=1,"",SUMPRODUCT(($B$2:B859=B859)*($D$2:D859=D859)*($E$2:E859=E859)*($F$2:F859=F859)*($G$2:G859=G859)*($I$2:I859="Duplicate"))-1),"")&amp;".jpeg")</f>
        <v/>
      </c>
      <c r="L859" s="6"/>
      <c r="M859" s="5" t="str">
        <f>IFERROR(VLOOKUP(E859,Specifications!$A$2:$D$9,2,FALSE),"")</f>
        <v/>
      </c>
      <c r="N859" s="5" t="str">
        <f>IFERROR(VLOOKUP(E859,Specifications!$A$2:$D$9,3,FALSE),"")</f>
        <v/>
      </c>
      <c r="O859" s="5" t="str">
        <f>IFERROR(VLOOKUP(E859,Specifications!$A$2:$D$9,4,FALSE),"")</f>
        <v/>
      </c>
      <c r="P859" s="8" t="str">
        <f t="shared" si="42"/>
        <v/>
      </c>
      <c r="Q859" s="9"/>
    </row>
    <row r="860" spans="1:17" ht="15">
      <c r="A860" s="5" t="str">
        <f t="shared" si="40"/>
        <v/>
      </c>
      <c r="B860" s="6"/>
      <c r="C860" s="5" t="str">
        <f>IFERROR(VLOOKUP(B860,Lists!$A$2:$B$25,2,FALSE),"")</f>
        <v/>
      </c>
      <c r="D860" s="7"/>
      <c r="E860" s="6"/>
      <c r="F860" s="6" t="str">
        <f t="shared" si="41"/>
        <v/>
      </c>
      <c r="G860" s="6"/>
      <c r="H860" s="6"/>
      <c r="I860" s="6"/>
      <c r="J860" s="7"/>
      <c r="K860" s="5" t="str" cm="1">
        <f t="array" ref="K860">IF(OR(A860="",B860="",D860="",E860=""),"",A860&amp;"_"&amp;SUBSTITUTE(B860," ","-")&amp;"_"&amp;D860&amp;"_"&amp;SUBSTITUTE(SUBSTITUTE(E860," ",""),"€","Euro")&amp;"_"&amp;IF(F860="","Unknown",F860)&amp;IF(F860="Commemorative",IF(G860="","","_"&amp;SUBSTITUTE(SUBSTITUTE(SUBSTITUTE(G860," ","-"),"/","-"),CHAR(39),"")),"")&amp;IF(I860="Duplicate","_Dub"&amp;IF(SUMPRODUCT(($B$2:B860=B860)*($D$2:D860=D860)*($E$2:E860=E860)*($F$2:F860=F860)*($G$2:G860=G860)*($I$2:I860="Duplicate"))&lt;=1,"",SUMPRODUCT(($B$2:B860=B860)*($D$2:D860=D860)*($E$2:E860=E860)*($F$2:F860=F860)*($G$2:G860=G860)*($I$2:I860="Duplicate"))-1),"")&amp;".jpeg")</f>
        <v/>
      </c>
      <c r="L860" s="6"/>
      <c r="M860" s="5" t="str">
        <f>IFERROR(VLOOKUP(E860,Specifications!$A$2:$D$9,2,FALSE),"")</f>
        <v/>
      </c>
      <c r="N860" s="5" t="str">
        <f>IFERROR(VLOOKUP(E860,Specifications!$A$2:$D$9,3,FALSE),"")</f>
        <v/>
      </c>
      <c r="O860" s="5" t="str">
        <f>IFERROR(VLOOKUP(E860,Specifications!$A$2:$D$9,4,FALSE),"")</f>
        <v/>
      </c>
      <c r="P860" s="8" t="str">
        <f t="shared" si="42"/>
        <v/>
      </c>
      <c r="Q860" s="9"/>
    </row>
    <row r="861" spans="1:17" ht="15">
      <c r="A861" s="5" t="str">
        <f t="shared" si="40"/>
        <v/>
      </c>
      <c r="B861" s="6"/>
      <c r="C861" s="5" t="str">
        <f>IFERROR(VLOOKUP(B861,Lists!$A$2:$B$25,2,FALSE),"")</f>
        <v/>
      </c>
      <c r="D861" s="7"/>
      <c r="E861" s="6"/>
      <c r="F861" s="6" t="str">
        <f t="shared" si="41"/>
        <v/>
      </c>
      <c r="G861" s="6"/>
      <c r="H861" s="6"/>
      <c r="I861" s="6"/>
      <c r="J861" s="7"/>
      <c r="K861" s="5" t="str" cm="1">
        <f t="array" ref="K861">IF(OR(A861="",B861="",D861="",E861=""),"",A861&amp;"_"&amp;SUBSTITUTE(B861," ","-")&amp;"_"&amp;D861&amp;"_"&amp;SUBSTITUTE(SUBSTITUTE(E861," ",""),"€","Euro")&amp;"_"&amp;IF(F861="","Unknown",F861)&amp;IF(F861="Commemorative",IF(G861="","","_"&amp;SUBSTITUTE(SUBSTITUTE(SUBSTITUTE(G861," ","-"),"/","-"),CHAR(39),"")),"")&amp;IF(I861="Duplicate","_Dub"&amp;IF(SUMPRODUCT(($B$2:B861=B861)*($D$2:D861=D861)*($E$2:E861=E861)*($F$2:F861=F861)*($G$2:G861=G861)*($I$2:I861="Duplicate"))&lt;=1,"",SUMPRODUCT(($B$2:B861=B861)*($D$2:D861=D861)*($E$2:E861=E861)*($F$2:F861=F861)*($G$2:G861=G861)*($I$2:I861="Duplicate"))-1),"")&amp;".jpeg")</f>
        <v/>
      </c>
      <c r="L861" s="6"/>
      <c r="M861" s="5" t="str">
        <f>IFERROR(VLOOKUP(E861,Specifications!$A$2:$D$9,2,FALSE),"")</f>
        <v/>
      </c>
      <c r="N861" s="5" t="str">
        <f>IFERROR(VLOOKUP(E861,Specifications!$A$2:$D$9,3,FALSE),"")</f>
        <v/>
      </c>
      <c r="O861" s="5" t="str">
        <f>IFERROR(VLOOKUP(E861,Specifications!$A$2:$D$9,4,FALSE),"")</f>
        <v/>
      </c>
      <c r="P861" s="8" t="str">
        <f t="shared" si="42"/>
        <v/>
      </c>
      <c r="Q861" s="9"/>
    </row>
    <row r="862" spans="1:17" ht="15">
      <c r="A862" s="5" t="str">
        <f t="shared" si="40"/>
        <v/>
      </c>
      <c r="B862" s="6"/>
      <c r="C862" s="5" t="str">
        <f>IFERROR(VLOOKUP(B862,Lists!$A$2:$B$25,2,FALSE),"")</f>
        <v/>
      </c>
      <c r="D862" s="7"/>
      <c r="E862" s="6"/>
      <c r="F862" s="6" t="str">
        <f t="shared" si="41"/>
        <v/>
      </c>
      <c r="G862" s="6"/>
      <c r="H862" s="6"/>
      <c r="I862" s="6"/>
      <c r="J862" s="7"/>
      <c r="K862" s="5" t="str" cm="1">
        <f t="array" ref="K862">IF(OR(A862="",B862="",D862="",E862=""),"",A862&amp;"_"&amp;SUBSTITUTE(B862," ","-")&amp;"_"&amp;D862&amp;"_"&amp;SUBSTITUTE(SUBSTITUTE(E862," ",""),"€","Euro")&amp;"_"&amp;IF(F862="","Unknown",F862)&amp;IF(F862="Commemorative",IF(G862="","","_"&amp;SUBSTITUTE(SUBSTITUTE(SUBSTITUTE(G862," ","-"),"/","-"),CHAR(39),"")),"")&amp;IF(I862="Duplicate","_Dub"&amp;IF(SUMPRODUCT(($B$2:B862=B862)*($D$2:D862=D862)*($E$2:E862=E862)*($F$2:F862=F862)*($G$2:G862=G862)*($I$2:I862="Duplicate"))&lt;=1,"",SUMPRODUCT(($B$2:B862=B862)*($D$2:D862=D862)*($E$2:E862=E862)*($F$2:F862=F862)*($G$2:G862=G862)*($I$2:I862="Duplicate"))-1),"")&amp;".jpeg")</f>
        <v/>
      </c>
      <c r="L862" s="6"/>
      <c r="M862" s="5" t="str">
        <f>IFERROR(VLOOKUP(E862,Specifications!$A$2:$D$9,2,FALSE),"")</f>
        <v/>
      </c>
      <c r="N862" s="5" t="str">
        <f>IFERROR(VLOOKUP(E862,Specifications!$A$2:$D$9,3,FALSE),"")</f>
        <v/>
      </c>
      <c r="O862" s="5" t="str">
        <f>IFERROR(VLOOKUP(E862,Specifications!$A$2:$D$9,4,FALSE),"")</f>
        <v/>
      </c>
      <c r="P862" s="8" t="str">
        <f t="shared" si="42"/>
        <v/>
      </c>
      <c r="Q862" s="9"/>
    </row>
    <row r="863" spans="1:17" ht="15">
      <c r="A863" s="5" t="str">
        <f t="shared" si="40"/>
        <v/>
      </c>
      <c r="B863" s="6"/>
      <c r="C863" s="5" t="str">
        <f>IFERROR(VLOOKUP(B863,Lists!$A$2:$B$25,2,FALSE),"")</f>
        <v/>
      </c>
      <c r="D863" s="7"/>
      <c r="E863" s="6"/>
      <c r="F863" s="6" t="str">
        <f t="shared" si="41"/>
        <v/>
      </c>
      <c r="G863" s="6"/>
      <c r="H863" s="6"/>
      <c r="I863" s="6"/>
      <c r="J863" s="7"/>
      <c r="K863" s="5" t="str" cm="1">
        <f t="array" ref="K863">IF(OR(A863="",B863="",D863="",E863=""),"",A863&amp;"_"&amp;SUBSTITUTE(B863," ","-")&amp;"_"&amp;D863&amp;"_"&amp;SUBSTITUTE(SUBSTITUTE(E863," ",""),"€","Euro")&amp;"_"&amp;IF(F863="","Unknown",F863)&amp;IF(F863="Commemorative",IF(G863="","","_"&amp;SUBSTITUTE(SUBSTITUTE(SUBSTITUTE(G863," ","-"),"/","-"),CHAR(39),"")),"")&amp;IF(I863="Duplicate","_Dub"&amp;IF(SUMPRODUCT(($B$2:B863=B863)*($D$2:D863=D863)*($E$2:E863=E863)*($F$2:F863=F863)*($G$2:G863=G863)*($I$2:I863="Duplicate"))&lt;=1,"",SUMPRODUCT(($B$2:B863=B863)*($D$2:D863=D863)*($E$2:E863=E863)*($F$2:F863=F863)*($G$2:G863=G863)*($I$2:I863="Duplicate"))-1),"")&amp;".jpeg")</f>
        <v/>
      </c>
      <c r="L863" s="6"/>
      <c r="M863" s="5" t="str">
        <f>IFERROR(VLOOKUP(E863,Specifications!$A$2:$D$9,2,FALSE),"")</f>
        <v/>
      </c>
      <c r="N863" s="5" t="str">
        <f>IFERROR(VLOOKUP(E863,Specifications!$A$2:$D$9,3,FALSE),"")</f>
        <v/>
      </c>
      <c r="O863" s="5" t="str">
        <f>IFERROR(VLOOKUP(E863,Specifications!$A$2:$D$9,4,FALSE),"")</f>
        <v/>
      </c>
      <c r="P863" s="8" t="str">
        <f t="shared" si="42"/>
        <v/>
      </c>
      <c r="Q863" s="9"/>
    </row>
    <row r="864" spans="1:17" ht="15">
      <c r="A864" s="5" t="str">
        <f t="shared" si="40"/>
        <v/>
      </c>
      <c r="B864" s="6"/>
      <c r="C864" s="5" t="str">
        <f>IFERROR(VLOOKUP(B864,Lists!$A$2:$B$25,2,FALSE),"")</f>
        <v/>
      </c>
      <c r="D864" s="7"/>
      <c r="E864" s="6"/>
      <c r="F864" s="6" t="str">
        <f t="shared" si="41"/>
        <v/>
      </c>
      <c r="G864" s="6"/>
      <c r="H864" s="6"/>
      <c r="I864" s="6"/>
      <c r="J864" s="7"/>
      <c r="K864" s="5" t="str" cm="1">
        <f t="array" ref="K864">IF(OR(A864="",B864="",D864="",E864=""),"",A864&amp;"_"&amp;SUBSTITUTE(B864," ","-")&amp;"_"&amp;D864&amp;"_"&amp;SUBSTITUTE(SUBSTITUTE(E864," ",""),"€","Euro")&amp;"_"&amp;IF(F864="","Unknown",F864)&amp;IF(F864="Commemorative",IF(G864="","","_"&amp;SUBSTITUTE(SUBSTITUTE(SUBSTITUTE(G864," ","-"),"/","-"),CHAR(39),"")),"")&amp;IF(I864="Duplicate","_Dub"&amp;IF(SUMPRODUCT(($B$2:B864=B864)*($D$2:D864=D864)*($E$2:E864=E864)*($F$2:F864=F864)*($G$2:G864=G864)*($I$2:I864="Duplicate"))&lt;=1,"",SUMPRODUCT(($B$2:B864=B864)*($D$2:D864=D864)*($E$2:E864=E864)*($F$2:F864=F864)*($G$2:G864=G864)*($I$2:I864="Duplicate"))-1),"")&amp;".jpeg")</f>
        <v/>
      </c>
      <c r="L864" s="6"/>
      <c r="M864" s="5" t="str">
        <f>IFERROR(VLOOKUP(E864,Specifications!$A$2:$D$9,2,FALSE),"")</f>
        <v/>
      </c>
      <c r="N864" s="5" t="str">
        <f>IFERROR(VLOOKUP(E864,Specifications!$A$2:$D$9,3,FALSE),"")</f>
        <v/>
      </c>
      <c r="O864" s="5" t="str">
        <f>IFERROR(VLOOKUP(E864,Specifications!$A$2:$D$9,4,FALSE),"")</f>
        <v/>
      </c>
      <c r="P864" s="8" t="str">
        <f t="shared" si="42"/>
        <v/>
      </c>
      <c r="Q864" s="9"/>
    </row>
    <row r="865" spans="1:17" ht="15">
      <c r="A865" s="5" t="str">
        <f t="shared" si="40"/>
        <v/>
      </c>
      <c r="B865" s="6"/>
      <c r="C865" s="5" t="str">
        <f>IFERROR(VLOOKUP(B865,Lists!$A$2:$B$25,2,FALSE),"")</f>
        <v/>
      </c>
      <c r="D865" s="7"/>
      <c r="E865" s="6"/>
      <c r="F865" s="6" t="str">
        <f t="shared" si="41"/>
        <v/>
      </c>
      <c r="G865" s="6"/>
      <c r="H865" s="6"/>
      <c r="I865" s="6"/>
      <c r="J865" s="7"/>
      <c r="K865" s="5" t="str" cm="1">
        <f t="array" ref="K865">IF(OR(A865="",B865="",D865="",E865=""),"",A865&amp;"_"&amp;SUBSTITUTE(B865," ","-")&amp;"_"&amp;D865&amp;"_"&amp;SUBSTITUTE(SUBSTITUTE(E865," ",""),"€","Euro")&amp;"_"&amp;IF(F865="","Unknown",F865)&amp;IF(F865="Commemorative",IF(G865="","","_"&amp;SUBSTITUTE(SUBSTITUTE(SUBSTITUTE(G865," ","-"),"/","-"),CHAR(39),"")),"")&amp;IF(I865="Duplicate","_Dub"&amp;IF(SUMPRODUCT(($B$2:B865=B865)*($D$2:D865=D865)*($E$2:E865=E865)*($F$2:F865=F865)*($G$2:G865=G865)*($I$2:I865="Duplicate"))&lt;=1,"",SUMPRODUCT(($B$2:B865=B865)*($D$2:D865=D865)*($E$2:E865=E865)*($F$2:F865=F865)*($G$2:G865=G865)*($I$2:I865="Duplicate"))-1),"")&amp;".jpeg")</f>
        <v/>
      </c>
      <c r="L865" s="6"/>
      <c r="M865" s="5" t="str">
        <f>IFERROR(VLOOKUP(E865,Specifications!$A$2:$D$9,2,FALSE),"")</f>
        <v/>
      </c>
      <c r="N865" s="5" t="str">
        <f>IFERROR(VLOOKUP(E865,Specifications!$A$2:$D$9,3,FALSE),"")</f>
        <v/>
      </c>
      <c r="O865" s="5" t="str">
        <f>IFERROR(VLOOKUP(E865,Specifications!$A$2:$D$9,4,FALSE),"")</f>
        <v/>
      </c>
      <c r="P865" s="8" t="str">
        <f t="shared" si="42"/>
        <v/>
      </c>
      <c r="Q865" s="9"/>
    </row>
    <row r="866" spans="1:17" ht="15">
      <c r="A866" s="5" t="str">
        <f t="shared" si="40"/>
        <v/>
      </c>
      <c r="B866" s="6"/>
      <c r="C866" s="5" t="str">
        <f>IFERROR(VLOOKUP(B866,Lists!$A$2:$B$25,2,FALSE),"")</f>
        <v/>
      </c>
      <c r="D866" s="7"/>
      <c r="E866" s="6"/>
      <c r="F866" s="6" t="str">
        <f t="shared" si="41"/>
        <v/>
      </c>
      <c r="G866" s="6"/>
      <c r="H866" s="6"/>
      <c r="I866" s="6"/>
      <c r="J866" s="7"/>
      <c r="K866" s="5" t="str" cm="1">
        <f t="array" ref="K866">IF(OR(A866="",B866="",D866="",E866=""),"",A866&amp;"_"&amp;SUBSTITUTE(B866," ","-")&amp;"_"&amp;D866&amp;"_"&amp;SUBSTITUTE(SUBSTITUTE(E866," ",""),"€","Euro")&amp;"_"&amp;IF(F866="","Unknown",F866)&amp;IF(F866="Commemorative",IF(G866="","","_"&amp;SUBSTITUTE(SUBSTITUTE(SUBSTITUTE(G866," ","-"),"/","-"),CHAR(39),"")),"")&amp;IF(I866="Duplicate","_Dub"&amp;IF(SUMPRODUCT(($B$2:B866=B866)*($D$2:D866=D866)*($E$2:E866=E866)*($F$2:F866=F866)*($G$2:G866=G866)*($I$2:I866="Duplicate"))&lt;=1,"",SUMPRODUCT(($B$2:B866=B866)*($D$2:D866=D866)*($E$2:E866=E866)*($F$2:F866=F866)*($G$2:G866=G866)*($I$2:I866="Duplicate"))-1),"")&amp;".jpeg")</f>
        <v/>
      </c>
      <c r="L866" s="6"/>
      <c r="M866" s="5" t="str">
        <f>IFERROR(VLOOKUP(E866,Specifications!$A$2:$D$9,2,FALSE),"")</f>
        <v/>
      </c>
      <c r="N866" s="5" t="str">
        <f>IFERROR(VLOOKUP(E866,Specifications!$A$2:$D$9,3,FALSE),"")</f>
        <v/>
      </c>
      <c r="O866" s="5" t="str">
        <f>IFERROR(VLOOKUP(E866,Specifications!$A$2:$D$9,4,FALSE),"")</f>
        <v/>
      </c>
      <c r="P866" s="8" t="str">
        <f t="shared" si="42"/>
        <v/>
      </c>
      <c r="Q866" s="9"/>
    </row>
    <row r="867" spans="1:17" ht="15">
      <c r="A867" s="5" t="str">
        <f t="shared" si="40"/>
        <v/>
      </c>
      <c r="B867" s="6"/>
      <c r="C867" s="5" t="str">
        <f>IFERROR(VLOOKUP(B867,Lists!$A$2:$B$25,2,FALSE),"")</f>
        <v/>
      </c>
      <c r="D867" s="7"/>
      <c r="E867" s="6"/>
      <c r="F867" s="6" t="str">
        <f t="shared" si="41"/>
        <v/>
      </c>
      <c r="G867" s="6"/>
      <c r="H867" s="6"/>
      <c r="I867" s="6"/>
      <c r="J867" s="7"/>
      <c r="K867" s="5" t="str" cm="1">
        <f t="array" ref="K867">IF(OR(A867="",B867="",D867="",E867=""),"",A867&amp;"_"&amp;SUBSTITUTE(B867," ","-")&amp;"_"&amp;D867&amp;"_"&amp;SUBSTITUTE(SUBSTITUTE(E867," ",""),"€","Euro")&amp;"_"&amp;IF(F867="","Unknown",F867)&amp;IF(F867="Commemorative",IF(G867="","","_"&amp;SUBSTITUTE(SUBSTITUTE(SUBSTITUTE(G867," ","-"),"/","-"),CHAR(39),"")),"")&amp;IF(I867="Duplicate","_Dub"&amp;IF(SUMPRODUCT(($B$2:B867=B867)*($D$2:D867=D867)*($E$2:E867=E867)*($F$2:F867=F867)*($G$2:G867=G867)*($I$2:I867="Duplicate"))&lt;=1,"",SUMPRODUCT(($B$2:B867=B867)*($D$2:D867=D867)*($E$2:E867=E867)*($F$2:F867=F867)*($G$2:G867=G867)*($I$2:I867="Duplicate"))-1),"")&amp;".jpeg")</f>
        <v/>
      </c>
      <c r="L867" s="6"/>
      <c r="M867" s="5" t="str">
        <f>IFERROR(VLOOKUP(E867,Specifications!$A$2:$D$9,2,FALSE),"")</f>
        <v/>
      </c>
      <c r="N867" s="5" t="str">
        <f>IFERROR(VLOOKUP(E867,Specifications!$A$2:$D$9,3,FALSE),"")</f>
        <v/>
      </c>
      <c r="O867" s="5" t="str">
        <f>IFERROR(VLOOKUP(E867,Specifications!$A$2:$D$9,4,FALSE),"")</f>
        <v/>
      </c>
      <c r="P867" s="8" t="str">
        <f t="shared" si="42"/>
        <v/>
      </c>
      <c r="Q867" s="9"/>
    </row>
    <row r="868" spans="1:17" ht="15">
      <c r="A868" s="5" t="str">
        <f t="shared" si="40"/>
        <v/>
      </c>
      <c r="B868" s="6"/>
      <c r="C868" s="5" t="str">
        <f>IFERROR(VLOOKUP(B868,Lists!$A$2:$B$25,2,FALSE),"")</f>
        <v/>
      </c>
      <c r="D868" s="7"/>
      <c r="E868" s="6"/>
      <c r="F868" s="6" t="str">
        <f t="shared" si="41"/>
        <v/>
      </c>
      <c r="G868" s="6"/>
      <c r="H868" s="6"/>
      <c r="I868" s="6"/>
      <c r="J868" s="7"/>
      <c r="K868" s="5" t="str" cm="1">
        <f t="array" ref="K868">IF(OR(A868="",B868="",D868="",E868=""),"",A868&amp;"_"&amp;SUBSTITUTE(B868," ","-")&amp;"_"&amp;D868&amp;"_"&amp;SUBSTITUTE(SUBSTITUTE(E868," ",""),"€","Euro")&amp;"_"&amp;IF(F868="","Unknown",F868)&amp;IF(F868="Commemorative",IF(G868="","","_"&amp;SUBSTITUTE(SUBSTITUTE(SUBSTITUTE(G868," ","-"),"/","-"),CHAR(39),"")),"")&amp;IF(I868="Duplicate","_Dub"&amp;IF(SUMPRODUCT(($B$2:B868=B868)*($D$2:D868=D868)*($E$2:E868=E868)*($F$2:F868=F868)*($G$2:G868=G868)*($I$2:I868="Duplicate"))&lt;=1,"",SUMPRODUCT(($B$2:B868=B868)*($D$2:D868=D868)*($E$2:E868=E868)*($F$2:F868=F868)*($G$2:G868=G868)*($I$2:I868="Duplicate"))-1),"")&amp;".jpeg")</f>
        <v/>
      </c>
      <c r="L868" s="6"/>
      <c r="M868" s="5" t="str">
        <f>IFERROR(VLOOKUP(E868,Specifications!$A$2:$D$9,2,FALSE),"")</f>
        <v/>
      </c>
      <c r="N868" s="5" t="str">
        <f>IFERROR(VLOOKUP(E868,Specifications!$A$2:$D$9,3,FALSE),"")</f>
        <v/>
      </c>
      <c r="O868" s="5" t="str">
        <f>IFERROR(VLOOKUP(E868,Specifications!$A$2:$D$9,4,FALSE),"")</f>
        <v/>
      </c>
      <c r="P868" s="8" t="str">
        <f t="shared" si="42"/>
        <v/>
      </c>
      <c r="Q868" s="9"/>
    </row>
    <row r="869" spans="1:17" ht="15">
      <c r="A869" s="5" t="str">
        <f t="shared" si="40"/>
        <v/>
      </c>
      <c r="B869" s="6"/>
      <c r="C869" s="5" t="str">
        <f>IFERROR(VLOOKUP(B869,Lists!$A$2:$B$25,2,FALSE),"")</f>
        <v/>
      </c>
      <c r="D869" s="7"/>
      <c r="E869" s="6"/>
      <c r="F869" s="6" t="str">
        <f t="shared" si="41"/>
        <v/>
      </c>
      <c r="G869" s="6"/>
      <c r="H869" s="6"/>
      <c r="I869" s="6"/>
      <c r="J869" s="7"/>
      <c r="K869" s="5" t="str" cm="1">
        <f t="array" ref="K869">IF(OR(A869="",B869="",D869="",E869=""),"",A869&amp;"_"&amp;SUBSTITUTE(B869," ","-")&amp;"_"&amp;D869&amp;"_"&amp;SUBSTITUTE(SUBSTITUTE(E869," ",""),"€","Euro")&amp;"_"&amp;IF(F869="","Unknown",F869)&amp;IF(F869="Commemorative",IF(G869="","","_"&amp;SUBSTITUTE(SUBSTITUTE(SUBSTITUTE(G869," ","-"),"/","-"),CHAR(39),"")),"")&amp;IF(I869="Duplicate","_Dub"&amp;IF(SUMPRODUCT(($B$2:B869=B869)*($D$2:D869=D869)*($E$2:E869=E869)*($F$2:F869=F869)*($G$2:G869=G869)*($I$2:I869="Duplicate"))&lt;=1,"",SUMPRODUCT(($B$2:B869=B869)*($D$2:D869=D869)*($E$2:E869=E869)*($F$2:F869=F869)*($G$2:G869=G869)*($I$2:I869="Duplicate"))-1),"")&amp;".jpeg")</f>
        <v/>
      </c>
      <c r="L869" s="6"/>
      <c r="M869" s="5" t="str">
        <f>IFERROR(VLOOKUP(E869,Specifications!$A$2:$D$9,2,FALSE),"")</f>
        <v/>
      </c>
      <c r="N869" s="5" t="str">
        <f>IFERROR(VLOOKUP(E869,Specifications!$A$2:$D$9,3,FALSE),"")</f>
        <v/>
      </c>
      <c r="O869" s="5" t="str">
        <f>IFERROR(VLOOKUP(E869,Specifications!$A$2:$D$9,4,FALSE),"")</f>
        <v/>
      </c>
      <c r="P869" s="8" t="str">
        <f t="shared" si="42"/>
        <v/>
      </c>
      <c r="Q869" s="9"/>
    </row>
    <row r="870" spans="1:17" ht="15">
      <c r="A870" s="5" t="str">
        <f t="shared" si="40"/>
        <v/>
      </c>
      <c r="B870" s="6"/>
      <c r="C870" s="5" t="str">
        <f>IFERROR(VLOOKUP(B870,Lists!$A$2:$B$25,2,FALSE),"")</f>
        <v/>
      </c>
      <c r="D870" s="7"/>
      <c r="E870" s="6"/>
      <c r="F870" s="6" t="str">
        <f t="shared" si="41"/>
        <v/>
      </c>
      <c r="G870" s="6"/>
      <c r="H870" s="6"/>
      <c r="I870" s="6"/>
      <c r="J870" s="7"/>
      <c r="K870" s="5" t="str" cm="1">
        <f t="array" ref="K870">IF(OR(A870="",B870="",D870="",E870=""),"",A870&amp;"_"&amp;SUBSTITUTE(B870," ","-")&amp;"_"&amp;D870&amp;"_"&amp;SUBSTITUTE(SUBSTITUTE(E870," ",""),"€","Euro")&amp;"_"&amp;IF(F870="","Unknown",F870)&amp;IF(F870="Commemorative",IF(G870="","","_"&amp;SUBSTITUTE(SUBSTITUTE(SUBSTITUTE(G870," ","-"),"/","-"),CHAR(39),"")),"")&amp;IF(I870="Duplicate","_Dub"&amp;IF(SUMPRODUCT(($B$2:B870=B870)*($D$2:D870=D870)*($E$2:E870=E870)*($F$2:F870=F870)*($G$2:G870=G870)*($I$2:I870="Duplicate"))&lt;=1,"",SUMPRODUCT(($B$2:B870=B870)*($D$2:D870=D870)*($E$2:E870=E870)*($F$2:F870=F870)*($G$2:G870=G870)*($I$2:I870="Duplicate"))-1),"")&amp;".jpeg")</f>
        <v/>
      </c>
      <c r="L870" s="6"/>
      <c r="M870" s="5" t="str">
        <f>IFERROR(VLOOKUP(E870,Specifications!$A$2:$D$9,2,FALSE),"")</f>
        <v/>
      </c>
      <c r="N870" s="5" t="str">
        <f>IFERROR(VLOOKUP(E870,Specifications!$A$2:$D$9,3,FALSE),"")</f>
        <v/>
      </c>
      <c r="O870" s="5" t="str">
        <f>IFERROR(VLOOKUP(E870,Specifications!$A$2:$D$9,4,FALSE),"")</f>
        <v/>
      </c>
      <c r="P870" s="8" t="str">
        <f t="shared" si="42"/>
        <v/>
      </c>
      <c r="Q870" s="9"/>
    </row>
    <row r="871" spans="1:17" ht="15">
      <c r="A871" s="5" t="str">
        <f t="shared" si="40"/>
        <v/>
      </c>
      <c r="B871" s="6"/>
      <c r="C871" s="5" t="str">
        <f>IFERROR(VLOOKUP(B871,Lists!$A$2:$B$25,2,FALSE),"")</f>
        <v/>
      </c>
      <c r="D871" s="7"/>
      <c r="E871" s="6"/>
      <c r="F871" s="6" t="str">
        <f t="shared" si="41"/>
        <v/>
      </c>
      <c r="G871" s="6"/>
      <c r="H871" s="6"/>
      <c r="I871" s="6"/>
      <c r="J871" s="7"/>
      <c r="K871" s="5" t="str" cm="1">
        <f t="array" ref="K871">IF(OR(A871="",B871="",D871="",E871=""),"",A871&amp;"_"&amp;SUBSTITUTE(B871," ","-")&amp;"_"&amp;D871&amp;"_"&amp;SUBSTITUTE(SUBSTITUTE(E871," ",""),"€","Euro")&amp;"_"&amp;IF(F871="","Unknown",F871)&amp;IF(F871="Commemorative",IF(G871="","","_"&amp;SUBSTITUTE(SUBSTITUTE(SUBSTITUTE(G871," ","-"),"/","-"),CHAR(39),"")),"")&amp;IF(I871="Duplicate","_Dub"&amp;IF(SUMPRODUCT(($B$2:B871=B871)*($D$2:D871=D871)*($E$2:E871=E871)*($F$2:F871=F871)*($G$2:G871=G871)*($I$2:I871="Duplicate"))&lt;=1,"",SUMPRODUCT(($B$2:B871=B871)*($D$2:D871=D871)*($E$2:E871=E871)*($F$2:F871=F871)*($G$2:G871=G871)*($I$2:I871="Duplicate"))-1),"")&amp;".jpeg")</f>
        <v/>
      </c>
      <c r="L871" s="6"/>
      <c r="M871" s="5" t="str">
        <f>IFERROR(VLOOKUP(E871,Specifications!$A$2:$D$9,2,FALSE),"")</f>
        <v/>
      </c>
      <c r="N871" s="5" t="str">
        <f>IFERROR(VLOOKUP(E871,Specifications!$A$2:$D$9,3,FALSE),"")</f>
        <v/>
      </c>
      <c r="O871" s="5" t="str">
        <f>IFERROR(VLOOKUP(E871,Specifications!$A$2:$D$9,4,FALSE),"")</f>
        <v/>
      </c>
      <c r="P871" s="8" t="str">
        <f t="shared" si="42"/>
        <v/>
      </c>
      <c r="Q871" s="9"/>
    </row>
    <row r="872" spans="1:17" ht="15">
      <c r="A872" s="5" t="str">
        <f t="shared" si="40"/>
        <v/>
      </c>
      <c r="B872" s="6"/>
      <c r="C872" s="5" t="str">
        <f>IFERROR(VLOOKUP(B872,Lists!$A$2:$B$25,2,FALSE),"")</f>
        <v/>
      </c>
      <c r="D872" s="7"/>
      <c r="E872" s="6"/>
      <c r="F872" s="6" t="str">
        <f t="shared" si="41"/>
        <v/>
      </c>
      <c r="G872" s="6"/>
      <c r="H872" s="6"/>
      <c r="I872" s="6"/>
      <c r="J872" s="7"/>
      <c r="K872" s="5" t="str" cm="1">
        <f t="array" ref="K872">IF(OR(A872="",B872="",D872="",E872=""),"",A872&amp;"_"&amp;SUBSTITUTE(B872," ","-")&amp;"_"&amp;D872&amp;"_"&amp;SUBSTITUTE(SUBSTITUTE(E872," ",""),"€","Euro")&amp;"_"&amp;IF(F872="","Unknown",F872)&amp;IF(F872="Commemorative",IF(G872="","","_"&amp;SUBSTITUTE(SUBSTITUTE(SUBSTITUTE(G872," ","-"),"/","-"),CHAR(39),"")),"")&amp;IF(I872="Duplicate","_Dub"&amp;IF(SUMPRODUCT(($B$2:B872=B872)*($D$2:D872=D872)*($E$2:E872=E872)*($F$2:F872=F872)*($G$2:G872=G872)*($I$2:I872="Duplicate"))&lt;=1,"",SUMPRODUCT(($B$2:B872=B872)*($D$2:D872=D872)*($E$2:E872=E872)*($F$2:F872=F872)*($G$2:G872=G872)*($I$2:I872="Duplicate"))-1),"")&amp;".jpeg")</f>
        <v/>
      </c>
      <c r="L872" s="6"/>
      <c r="M872" s="5" t="str">
        <f>IFERROR(VLOOKUP(E872,Specifications!$A$2:$D$9,2,FALSE),"")</f>
        <v/>
      </c>
      <c r="N872" s="5" t="str">
        <f>IFERROR(VLOOKUP(E872,Specifications!$A$2:$D$9,3,FALSE),"")</f>
        <v/>
      </c>
      <c r="O872" s="5" t="str">
        <f>IFERROR(VLOOKUP(E872,Specifications!$A$2:$D$9,4,FALSE),"")</f>
        <v/>
      </c>
      <c r="P872" s="8" t="str">
        <f t="shared" si="42"/>
        <v/>
      </c>
      <c r="Q872" s="9"/>
    </row>
    <row r="873" spans="1:17" ht="15">
      <c r="A873" s="5" t="str">
        <f t="shared" si="40"/>
        <v/>
      </c>
      <c r="B873" s="6"/>
      <c r="C873" s="5" t="str">
        <f>IFERROR(VLOOKUP(B873,Lists!$A$2:$B$25,2,FALSE),"")</f>
        <v/>
      </c>
      <c r="D873" s="7"/>
      <c r="E873" s="6"/>
      <c r="F873" s="6" t="str">
        <f t="shared" si="41"/>
        <v/>
      </c>
      <c r="G873" s="6"/>
      <c r="H873" s="6"/>
      <c r="I873" s="6"/>
      <c r="J873" s="7"/>
      <c r="K873" s="5" t="str" cm="1">
        <f t="array" ref="K873">IF(OR(A873="",B873="",D873="",E873=""),"",A873&amp;"_"&amp;SUBSTITUTE(B873," ","-")&amp;"_"&amp;D873&amp;"_"&amp;SUBSTITUTE(SUBSTITUTE(E873," ",""),"€","Euro")&amp;"_"&amp;IF(F873="","Unknown",F873)&amp;IF(F873="Commemorative",IF(G873="","","_"&amp;SUBSTITUTE(SUBSTITUTE(SUBSTITUTE(G873," ","-"),"/","-"),CHAR(39),"")),"")&amp;IF(I873="Duplicate","_Dub"&amp;IF(SUMPRODUCT(($B$2:B873=B873)*($D$2:D873=D873)*($E$2:E873=E873)*($F$2:F873=F873)*($G$2:G873=G873)*($I$2:I873="Duplicate"))&lt;=1,"",SUMPRODUCT(($B$2:B873=B873)*($D$2:D873=D873)*($E$2:E873=E873)*($F$2:F873=F873)*($G$2:G873=G873)*($I$2:I873="Duplicate"))-1),"")&amp;".jpeg")</f>
        <v/>
      </c>
      <c r="L873" s="6"/>
      <c r="M873" s="5" t="str">
        <f>IFERROR(VLOOKUP(E873,Specifications!$A$2:$D$9,2,FALSE),"")</f>
        <v/>
      </c>
      <c r="N873" s="5" t="str">
        <f>IFERROR(VLOOKUP(E873,Specifications!$A$2:$D$9,3,FALSE),"")</f>
        <v/>
      </c>
      <c r="O873" s="5" t="str">
        <f>IFERROR(VLOOKUP(E873,Specifications!$A$2:$D$9,4,FALSE),"")</f>
        <v/>
      </c>
      <c r="P873" s="8" t="str">
        <f t="shared" si="42"/>
        <v/>
      </c>
      <c r="Q873" s="9"/>
    </row>
    <row r="874" spans="1:17" ht="15">
      <c r="A874" s="5" t="str">
        <f t="shared" si="40"/>
        <v/>
      </c>
      <c r="B874" s="6"/>
      <c r="C874" s="5" t="str">
        <f>IFERROR(VLOOKUP(B874,Lists!$A$2:$B$25,2,FALSE),"")</f>
        <v/>
      </c>
      <c r="D874" s="7"/>
      <c r="E874" s="6"/>
      <c r="F874" s="6" t="str">
        <f t="shared" si="41"/>
        <v/>
      </c>
      <c r="G874" s="6"/>
      <c r="H874" s="6"/>
      <c r="I874" s="6"/>
      <c r="J874" s="7"/>
      <c r="K874" s="5" t="str" cm="1">
        <f t="array" ref="K874">IF(OR(A874="",B874="",D874="",E874=""),"",A874&amp;"_"&amp;SUBSTITUTE(B874," ","-")&amp;"_"&amp;D874&amp;"_"&amp;SUBSTITUTE(SUBSTITUTE(E874," ",""),"€","Euro")&amp;"_"&amp;IF(F874="","Unknown",F874)&amp;IF(F874="Commemorative",IF(G874="","","_"&amp;SUBSTITUTE(SUBSTITUTE(SUBSTITUTE(G874," ","-"),"/","-"),CHAR(39),"")),"")&amp;IF(I874="Duplicate","_Dub"&amp;IF(SUMPRODUCT(($B$2:B874=B874)*($D$2:D874=D874)*($E$2:E874=E874)*($F$2:F874=F874)*($G$2:G874=G874)*($I$2:I874="Duplicate"))&lt;=1,"",SUMPRODUCT(($B$2:B874=B874)*($D$2:D874=D874)*($E$2:E874=E874)*($F$2:F874=F874)*($G$2:G874=G874)*($I$2:I874="Duplicate"))-1),"")&amp;".jpeg")</f>
        <v/>
      </c>
      <c r="L874" s="6"/>
      <c r="M874" s="5" t="str">
        <f>IFERROR(VLOOKUP(E874,Specifications!$A$2:$D$9,2,FALSE),"")</f>
        <v/>
      </c>
      <c r="N874" s="5" t="str">
        <f>IFERROR(VLOOKUP(E874,Specifications!$A$2:$D$9,3,FALSE),"")</f>
        <v/>
      </c>
      <c r="O874" s="5" t="str">
        <f>IFERROR(VLOOKUP(E874,Specifications!$A$2:$D$9,4,FALSE),"")</f>
        <v/>
      </c>
      <c r="P874" s="8" t="str">
        <f t="shared" si="42"/>
        <v/>
      </c>
      <c r="Q874" s="9"/>
    </row>
    <row r="875" spans="1:17" ht="15">
      <c r="A875" s="5" t="str">
        <f t="shared" si="40"/>
        <v/>
      </c>
      <c r="B875" s="6"/>
      <c r="C875" s="5" t="str">
        <f>IFERROR(VLOOKUP(B875,Lists!$A$2:$B$25,2,FALSE),"")</f>
        <v/>
      </c>
      <c r="D875" s="7"/>
      <c r="E875" s="6"/>
      <c r="F875" s="6" t="str">
        <f t="shared" si="41"/>
        <v/>
      </c>
      <c r="G875" s="6"/>
      <c r="H875" s="6"/>
      <c r="I875" s="6"/>
      <c r="J875" s="7"/>
      <c r="K875" s="5" t="str" cm="1">
        <f t="array" ref="K875">IF(OR(A875="",B875="",D875="",E875=""),"",A875&amp;"_"&amp;SUBSTITUTE(B875," ","-")&amp;"_"&amp;D875&amp;"_"&amp;SUBSTITUTE(SUBSTITUTE(E875," ",""),"€","Euro")&amp;"_"&amp;IF(F875="","Unknown",F875)&amp;IF(F875="Commemorative",IF(G875="","","_"&amp;SUBSTITUTE(SUBSTITUTE(SUBSTITUTE(G875," ","-"),"/","-"),CHAR(39),"")),"")&amp;IF(I875="Duplicate","_Dub"&amp;IF(SUMPRODUCT(($B$2:B875=B875)*($D$2:D875=D875)*($E$2:E875=E875)*($F$2:F875=F875)*($G$2:G875=G875)*($I$2:I875="Duplicate"))&lt;=1,"",SUMPRODUCT(($B$2:B875=B875)*($D$2:D875=D875)*($E$2:E875=E875)*($F$2:F875=F875)*($G$2:G875=G875)*($I$2:I875="Duplicate"))-1),"")&amp;".jpeg")</f>
        <v/>
      </c>
      <c r="L875" s="6"/>
      <c r="M875" s="5" t="str">
        <f>IFERROR(VLOOKUP(E875,Specifications!$A$2:$D$9,2,FALSE),"")</f>
        <v/>
      </c>
      <c r="N875" s="5" t="str">
        <f>IFERROR(VLOOKUP(E875,Specifications!$A$2:$D$9,3,FALSE),"")</f>
        <v/>
      </c>
      <c r="O875" s="5" t="str">
        <f>IFERROR(VLOOKUP(E875,Specifications!$A$2:$D$9,4,FALSE),"")</f>
        <v/>
      </c>
      <c r="P875" s="8" t="str">
        <f t="shared" si="42"/>
        <v/>
      </c>
      <c r="Q875" s="9"/>
    </row>
    <row r="876" spans="1:17" ht="15">
      <c r="A876" s="5" t="str">
        <f t="shared" si="40"/>
        <v/>
      </c>
      <c r="B876" s="6"/>
      <c r="C876" s="5" t="str">
        <f>IFERROR(VLOOKUP(B876,Lists!$A$2:$B$25,2,FALSE),"")</f>
        <v/>
      </c>
      <c r="D876" s="7"/>
      <c r="E876" s="6"/>
      <c r="F876" s="6" t="str">
        <f t="shared" si="41"/>
        <v/>
      </c>
      <c r="G876" s="6"/>
      <c r="H876" s="6"/>
      <c r="I876" s="6"/>
      <c r="J876" s="7"/>
      <c r="K876" s="5" t="str" cm="1">
        <f t="array" ref="K876">IF(OR(A876="",B876="",D876="",E876=""),"",A876&amp;"_"&amp;SUBSTITUTE(B876," ","-")&amp;"_"&amp;D876&amp;"_"&amp;SUBSTITUTE(SUBSTITUTE(E876," ",""),"€","Euro")&amp;"_"&amp;IF(F876="","Unknown",F876)&amp;IF(F876="Commemorative",IF(G876="","","_"&amp;SUBSTITUTE(SUBSTITUTE(SUBSTITUTE(G876," ","-"),"/","-"),CHAR(39),"")),"")&amp;IF(I876="Duplicate","_Dub"&amp;IF(SUMPRODUCT(($B$2:B876=B876)*($D$2:D876=D876)*($E$2:E876=E876)*($F$2:F876=F876)*($G$2:G876=G876)*($I$2:I876="Duplicate"))&lt;=1,"",SUMPRODUCT(($B$2:B876=B876)*($D$2:D876=D876)*($E$2:E876=E876)*($F$2:F876=F876)*($G$2:G876=G876)*($I$2:I876="Duplicate"))-1),"")&amp;".jpeg")</f>
        <v/>
      </c>
      <c r="L876" s="6"/>
      <c r="M876" s="5" t="str">
        <f>IFERROR(VLOOKUP(E876,Specifications!$A$2:$D$9,2,FALSE),"")</f>
        <v/>
      </c>
      <c r="N876" s="5" t="str">
        <f>IFERROR(VLOOKUP(E876,Specifications!$A$2:$D$9,3,FALSE),"")</f>
        <v/>
      </c>
      <c r="O876" s="5" t="str">
        <f>IFERROR(VLOOKUP(E876,Specifications!$A$2:$D$9,4,FALSE),"")</f>
        <v/>
      </c>
      <c r="P876" s="8" t="str">
        <f t="shared" si="42"/>
        <v/>
      </c>
      <c r="Q876" s="9"/>
    </row>
    <row r="877" spans="1:17" ht="15">
      <c r="A877" s="5" t="str">
        <f t="shared" si="40"/>
        <v/>
      </c>
      <c r="B877" s="6"/>
      <c r="C877" s="5" t="str">
        <f>IFERROR(VLOOKUP(B877,Lists!$A$2:$B$25,2,FALSE),"")</f>
        <v/>
      </c>
      <c r="D877" s="7"/>
      <c r="E877" s="6"/>
      <c r="F877" s="6" t="str">
        <f t="shared" si="41"/>
        <v/>
      </c>
      <c r="G877" s="6"/>
      <c r="H877" s="6"/>
      <c r="I877" s="6"/>
      <c r="J877" s="7"/>
      <c r="K877" s="5" t="str" cm="1">
        <f t="array" ref="K877">IF(OR(A877="",B877="",D877="",E877=""),"",A877&amp;"_"&amp;SUBSTITUTE(B877," ","-")&amp;"_"&amp;D877&amp;"_"&amp;SUBSTITUTE(SUBSTITUTE(E877," ",""),"€","Euro")&amp;"_"&amp;IF(F877="","Unknown",F877)&amp;IF(F877="Commemorative",IF(G877="","","_"&amp;SUBSTITUTE(SUBSTITUTE(SUBSTITUTE(G877," ","-"),"/","-"),CHAR(39),"")),"")&amp;IF(I877="Duplicate","_Dub"&amp;IF(SUMPRODUCT(($B$2:B877=B877)*($D$2:D877=D877)*($E$2:E877=E877)*($F$2:F877=F877)*($G$2:G877=G877)*($I$2:I877="Duplicate"))&lt;=1,"",SUMPRODUCT(($B$2:B877=B877)*($D$2:D877=D877)*($E$2:E877=E877)*($F$2:F877=F877)*($G$2:G877=G877)*($I$2:I877="Duplicate"))-1),"")&amp;".jpeg")</f>
        <v/>
      </c>
      <c r="L877" s="6"/>
      <c r="M877" s="5" t="str">
        <f>IFERROR(VLOOKUP(E877,Specifications!$A$2:$D$9,2,FALSE),"")</f>
        <v/>
      </c>
      <c r="N877" s="5" t="str">
        <f>IFERROR(VLOOKUP(E877,Specifications!$A$2:$D$9,3,FALSE),"")</f>
        <v/>
      </c>
      <c r="O877" s="5" t="str">
        <f>IFERROR(VLOOKUP(E877,Specifications!$A$2:$D$9,4,FALSE),"")</f>
        <v/>
      </c>
      <c r="P877" s="8" t="str">
        <f t="shared" si="42"/>
        <v/>
      </c>
      <c r="Q877" s="9"/>
    </row>
    <row r="878" spans="1:17" ht="15">
      <c r="A878" s="5" t="str">
        <f t="shared" si="40"/>
        <v/>
      </c>
      <c r="B878" s="6"/>
      <c r="C878" s="5" t="str">
        <f>IFERROR(VLOOKUP(B878,Lists!$A$2:$B$25,2,FALSE),"")</f>
        <v/>
      </c>
      <c r="D878" s="7"/>
      <c r="E878" s="6"/>
      <c r="F878" s="6" t="str">
        <f t="shared" si="41"/>
        <v/>
      </c>
      <c r="G878" s="6"/>
      <c r="H878" s="6"/>
      <c r="I878" s="6"/>
      <c r="J878" s="7"/>
      <c r="K878" s="5" t="str" cm="1">
        <f t="array" ref="K878">IF(OR(A878="",B878="",D878="",E878=""),"",A878&amp;"_"&amp;SUBSTITUTE(B878," ","-")&amp;"_"&amp;D878&amp;"_"&amp;SUBSTITUTE(SUBSTITUTE(E878," ",""),"€","Euro")&amp;"_"&amp;IF(F878="","Unknown",F878)&amp;IF(F878="Commemorative",IF(G878="","","_"&amp;SUBSTITUTE(SUBSTITUTE(SUBSTITUTE(G878," ","-"),"/","-"),CHAR(39),"")),"")&amp;IF(I878="Duplicate","_Dub"&amp;IF(SUMPRODUCT(($B$2:B878=B878)*($D$2:D878=D878)*($E$2:E878=E878)*($F$2:F878=F878)*($G$2:G878=G878)*($I$2:I878="Duplicate"))&lt;=1,"",SUMPRODUCT(($B$2:B878=B878)*($D$2:D878=D878)*($E$2:E878=E878)*($F$2:F878=F878)*($G$2:G878=G878)*($I$2:I878="Duplicate"))-1),"")&amp;".jpeg")</f>
        <v/>
      </c>
      <c r="L878" s="6"/>
      <c r="M878" s="5" t="str">
        <f>IFERROR(VLOOKUP(E878,Specifications!$A$2:$D$9,2,FALSE),"")</f>
        <v/>
      </c>
      <c r="N878" s="5" t="str">
        <f>IFERROR(VLOOKUP(E878,Specifications!$A$2:$D$9,3,FALSE),"")</f>
        <v/>
      </c>
      <c r="O878" s="5" t="str">
        <f>IFERROR(VLOOKUP(E878,Specifications!$A$2:$D$9,4,FALSE),"")</f>
        <v/>
      </c>
      <c r="P878" s="8" t="str">
        <f t="shared" si="42"/>
        <v/>
      </c>
      <c r="Q878" s="9"/>
    </row>
    <row r="879" spans="1:17" ht="15">
      <c r="A879" s="5" t="str">
        <f t="shared" si="40"/>
        <v/>
      </c>
      <c r="B879" s="6"/>
      <c r="C879" s="5" t="str">
        <f>IFERROR(VLOOKUP(B879,Lists!$A$2:$B$25,2,FALSE),"")</f>
        <v/>
      </c>
      <c r="D879" s="7"/>
      <c r="E879" s="6"/>
      <c r="F879" s="6" t="str">
        <f t="shared" si="41"/>
        <v/>
      </c>
      <c r="G879" s="6"/>
      <c r="H879" s="6"/>
      <c r="I879" s="6"/>
      <c r="J879" s="7"/>
      <c r="K879" s="5" t="str" cm="1">
        <f t="array" ref="K879">IF(OR(A879="",B879="",D879="",E879=""),"",A879&amp;"_"&amp;SUBSTITUTE(B879," ","-")&amp;"_"&amp;D879&amp;"_"&amp;SUBSTITUTE(SUBSTITUTE(E879," ",""),"€","Euro")&amp;"_"&amp;IF(F879="","Unknown",F879)&amp;IF(F879="Commemorative",IF(G879="","","_"&amp;SUBSTITUTE(SUBSTITUTE(SUBSTITUTE(G879," ","-"),"/","-"),CHAR(39),"")),"")&amp;IF(I879="Duplicate","_Dub"&amp;IF(SUMPRODUCT(($B$2:B879=B879)*($D$2:D879=D879)*($E$2:E879=E879)*($F$2:F879=F879)*($G$2:G879=G879)*($I$2:I879="Duplicate"))&lt;=1,"",SUMPRODUCT(($B$2:B879=B879)*($D$2:D879=D879)*($E$2:E879=E879)*($F$2:F879=F879)*($G$2:G879=G879)*($I$2:I879="Duplicate"))-1),"")&amp;".jpeg")</f>
        <v/>
      </c>
      <c r="L879" s="6"/>
      <c r="M879" s="5" t="str">
        <f>IFERROR(VLOOKUP(E879,Specifications!$A$2:$D$9,2,FALSE),"")</f>
        <v/>
      </c>
      <c r="N879" s="5" t="str">
        <f>IFERROR(VLOOKUP(E879,Specifications!$A$2:$D$9,3,FALSE),"")</f>
        <v/>
      </c>
      <c r="O879" s="5" t="str">
        <f>IFERROR(VLOOKUP(E879,Specifications!$A$2:$D$9,4,FALSE),"")</f>
        <v/>
      </c>
      <c r="P879" s="8" t="str">
        <f t="shared" si="42"/>
        <v/>
      </c>
      <c r="Q879" s="9"/>
    </row>
    <row r="880" spans="1:17" ht="15">
      <c r="A880" s="5" t="str">
        <f t="shared" si="40"/>
        <v/>
      </c>
      <c r="B880" s="6"/>
      <c r="C880" s="5" t="str">
        <f>IFERROR(VLOOKUP(B880,Lists!$A$2:$B$25,2,FALSE),"")</f>
        <v/>
      </c>
      <c r="D880" s="7"/>
      <c r="E880" s="6"/>
      <c r="F880" s="6" t="str">
        <f t="shared" si="41"/>
        <v/>
      </c>
      <c r="G880" s="6"/>
      <c r="H880" s="6"/>
      <c r="I880" s="6"/>
      <c r="J880" s="7"/>
      <c r="K880" s="5" t="str" cm="1">
        <f t="array" ref="K880">IF(OR(A880="",B880="",D880="",E880=""),"",A880&amp;"_"&amp;SUBSTITUTE(B880," ","-")&amp;"_"&amp;D880&amp;"_"&amp;SUBSTITUTE(SUBSTITUTE(E880," ",""),"€","Euro")&amp;"_"&amp;IF(F880="","Unknown",F880)&amp;IF(F880="Commemorative",IF(G880="","","_"&amp;SUBSTITUTE(SUBSTITUTE(SUBSTITUTE(G880," ","-"),"/","-"),CHAR(39),"")),"")&amp;IF(I880="Duplicate","_Dub"&amp;IF(SUMPRODUCT(($B$2:B880=B880)*($D$2:D880=D880)*($E$2:E880=E880)*($F$2:F880=F880)*($G$2:G880=G880)*($I$2:I880="Duplicate"))&lt;=1,"",SUMPRODUCT(($B$2:B880=B880)*($D$2:D880=D880)*($E$2:E880=E880)*($F$2:F880=F880)*($G$2:G880=G880)*($I$2:I880="Duplicate"))-1),"")&amp;".jpeg")</f>
        <v/>
      </c>
      <c r="L880" s="6"/>
      <c r="M880" s="5" t="str">
        <f>IFERROR(VLOOKUP(E880,Specifications!$A$2:$D$9,2,FALSE),"")</f>
        <v/>
      </c>
      <c r="N880" s="5" t="str">
        <f>IFERROR(VLOOKUP(E880,Specifications!$A$2:$D$9,3,FALSE),"")</f>
        <v/>
      </c>
      <c r="O880" s="5" t="str">
        <f>IFERROR(VLOOKUP(E880,Specifications!$A$2:$D$9,4,FALSE),"")</f>
        <v/>
      </c>
      <c r="P880" s="8" t="str">
        <f t="shared" si="42"/>
        <v/>
      </c>
      <c r="Q880" s="9"/>
    </row>
    <row r="881" spans="1:17" ht="15">
      <c r="A881" s="5" t="str">
        <f t="shared" si="40"/>
        <v/>
      </c>
      <c r="B881" s="6"/>
      <c r="C881" s="5" t="str">
        <f>IFERROR(VLOOKUP(B881,Lists!$A$2:$B$25,2,FALSE),"")</f>
        <v/>
      </c>
      <c r="D881" s="7"/>
      <c r="E881" s="6"/>
      <c r="F881" s="6" t="str">
        <f t="shared" si="41"/>
        <v/>
      </c>
      <c r="G881" s="6"/>
      <c r="H881" s="6"/>
      <c r="I881" s="6"/>
      <c r="J881" s="7"/>
      <c r="K881" s="5" t="str" cm="1">
        <f t="array" ref="K881">IF(OR(A881="",B881="",D881="",E881=""),"",A881&amp;"_"&amp;SUBSTITUTE(B881," ","-")&amp;"_"&amp;D881&amp;"_"&amp;SUBSTITUTE(SUBSTITUTE(E881," ",""),"€","Euro")&amp;"_"&amp;IF(F881="","Unknown",F881)&amp;IF(F881="Commemorative",IF(G881="","","_"&amp;SUBSTITUTE(SUBSTITUTE(SUBSTITUTE(G881," ","-"),"/","-"),CHAR(39),"")),"")&amp;IF(I881="Duplicate","_Dub"&amp;IF(SUMPRODUCT(($B$2:B881=B881)*($D$2:D881=D881)*($E$2:E881=E881)*($F$2:F881=F881)*($G$2:G881=G881)*($I$2:I881="Duplicate"))&lt;=1,"",SUMPRODUCT(($B$2:B881=B881)*($D$2:D881=D881)*($E$2:E881=E881)*($F$2:F881=F881)*($G$2:G881=G881)*($I$2:I881="Duplicate"))-1),"")&amp;".jpeg")</f>
        <v/>
      </c>
      <c r="L881" s="6"/>
      <c r="M881" s="5" t="str">
        <f>IFERROR(VLOOKUP(E881,Specifications!$A$2:$D$9,2,FALSE),"")</f>
        <v/>
      </c>
      <c r="N881" s="5" t="str">
        <f>IFERROR(VLOOKUP(E881,Specifications!$A$2:$D$9,3,FALSE),"")</f>
        <v/>
      </c>
      <c r="O881" s="5" t="str">
        <f>IFERROR(VLOOKUP(E881,Specifications!$A$2:$D$9,4,FALSE),"")</f>
        <v/>
      </c>
      <c r="P881" s="8" t="str">
        <f t="shared" si="42"/>
        <v/>
      </c>
      <c r="Q881" s="9"/>
    </row>
    <row r="882" spans="1:17" ht="15">
      <c r="A882" s="5" t="str">
        <f t="shared" si="40"/>
        <v/>
      </c>
      <c r="B882" s="6"/>
      <c r="C882" s="5" t="str">
        <f>IFERROR(VLOOKUP(B882,Lists!$A$2:$B$25,2,FALSE),"")</f>
        <v/>
      </c>
      <c r="D882" s="7"/>
      <c r="E882" s="6"/>
      <c r="F882" s="6" t="str">
        <f t="shared" si="41"/>
        <v/>
      </c>
      <c r="G882" s="6"/>
      <c r="H882" s="6"/>
      <c r="I882" s="6"/>
      <c r="J882" s="7"/>
      <c r="K882" s="5" t="str" cm="1">
        <f t="array" ref="K882">IF(OR(A882="",B882="",D882="",E882=""),"",A882&amp;"_"&amp;SUBSTITUTE(B882," ","-")&amp;"_"&amp;D882&amp;"_"&amp;SUBSTITUTE(SUBSTITUTE(E882," ",""),"€","Euro")&amp;"_"&amp;IF(F882="","Unknown",F882)&amp;IF(F882="Commemorative",IF(G882="","","_"&amp;SUBSTITUTE(SUBSTITUTE(SUBSTITUTE(G882," ","-"),"/","-"),CHAR(39),"")),"")&amp;IF(I882="Duplicate","_Dub"&amp;IF(SUMPRODUCT(($B$2:B882=B882)*($D$2:D882=D882)*($E$2:E882=E882)*($F$2:F882=F882)*($G$2:G882=G882)*($I$2:I882="Duplicate"))&lt;=1,"",SUMPRODUCT(($B$2:B882=B882)*($D$2:D882=D882)*($E$2:E882=E882)*($F$2:F882=F882)*($G$2:G882=G882)*($I$2:I882="Duplicate"))-1),"")&amp;".jpeg")</f>
        <v/>
      </c>
      <c r="L882" s="6"/>
      <c r="M882" s="5" t="str">
        <f>IFERROR(VLOOKUP(E882,Specifications!$A$2:$D$9,2,FALSE),"")</f>
        <v/>
      </c>
      <c r="N882" s="5" t="str">
        <f>IFERROR(VLOOKUP(E882,Specifications!$A$2:$D$9,3,FALSE),"")</f>
        <v/>
      </c>
      <c r="O882" s="5" t="str">
        <f>IFERROR(VLOOKUP(E882,Specifications!$A$2:$D$9,4,FALSE),"")</f>
        <v/>
      </c>
      <c r="P882" s="8" t="str">
        <f t="shared" si="42"/>
        <v/>
      </c>
      <c r="Q882" s="9"/>
    </row>
    <row r="883" spans="1:17" ht="15">
      <c r="A883" s="5" t="str">
        <f t="shared" si="40"/>
        <v/>
      </c>
      <c r="B883" s="6"/>
      <c r="C883" s="5" t="str">
        <f>IFERROR(VLOOKUP(B883,Lists!$A$2:$B$25,2,FALSE),"")</f>
        <v/>
      </c>
      <c r="D883" s="7"/>
      <c r="E883" s="6"/>
      <c r="F883" s="6" t="str">
        <f t="shared" si="41"/>
        <v/>
      </c>
      <c r="G883" s="6"/>
      <c r="H883" s="6"/>
      <c r="I883" s="6"/>
      <c r="J883" s="7"/>
      <c r="K883" s="5" t="str" cm="1">
        <f t="array" ref="K883">IF(OR(A883="",B883="",D883="",E883=""),"",A883&amp;"_"&amp;SUBSTITUTE(B883," ","-")&amp;"_"&amp;D883&amp;"_"&amp;SUBSTITUTE(SUBSTITUTE(E883," ",""),"€","Euro")&amp;"_"&amp;IF(F883="","Unknown",F883)&amp;IF(F883="Commemorative",IF(G883="","","_"&amp;SUBSTITUTE(SUBSTITUTE(SUBSTITUTE(G883," ","-"),"/","-"),CHAR(39),"")),"")&amp;IF(I883="Duplicate","_Dub"&amp;IF(SUMPRODUCT(($B$2:B883=B883)*($D$2:D883=D883)*($E$2:E883=E883)*($F$2:F883=F883)*($G$2:G883=G883)*($I$2:I883="Duplicate"))&lt;=1,"",SUMPRODUCT(($B$2:B883=B883)*($D$2:D883=D883)*($E$2:E883=E883)*($F$2:F883=F883)*($G$2:G883=G883)*($I$2:I883="Duplicate"))-1),"")&amp;".jpeg")</f>
        <v/>
      </c>
      <c r="L883" s="6"/>
      <c r="M883" s="5" t="str">
        <f>IFERROR(VLOOKUP(E883,Specifications!$A$2:$D$9,2,FALSE),"")</f>
        <v/>
      </c>
      <c r="N883" s="5" t="str">
        <f>IFERROR(VLOOKUP(E883,Specifications!$A$2:$D$9,3,FALSE),"")</f>
        <v/>
      </c>
      <c r="O883" s="5" t="str">
        <f>IFERROR(VLOOKUP(E883,Specifications!$A$2:$D$9,4,FALSE),"")</f>
        <v/>
      </c>
      <c r="P883" s="8" t="str">
        <f t="shared" si="42"/>
        <v/>
      </c>
      <c r="Q883" s="9"/>
    </row>
    <row r="884" spans="1:17" ht="15">
      <c r="A884" s="5" t="str">
        <f t="shared" si="40"/>
        <v/>
      </c>
      <c r="B884" s="6"/>
      <c r="C884" s="5" t="str">
        <f>IFERROR(VLOOKUP(B884,Lists!$A$2:$B$25,2,FALSE),"")</f>
        <v/>
      </c>
      <c r="D884" s="7"/>
      <c r="E884" s="6"/>
      <c r="F884" s="6" t="str">
        <f t="shared" si="41"/>
        <v/>
      </c>
      <c r="G884" s="6"/>
      <c r="H884" s="6"/>
      <c r="I884" s="6"/>
      <c r="J884" s="7"/>
      <c r="K884" s="5" t="str" cm="1">
        <f t="array" ref="K884">IF(OR(A884="",B884="",D884="",E884=""),"",A884&amp;"_"&amp;SUBSTITUTE(B884," ","-")&amp;"_"&amp;D884&amp;"_"&amp;SUBSTITUTE(SUBSTITUTE(E884," ",""),"€","Euro")&amp;"_"&amp;IF(F884="","Unknown",F884)&amp;IF(F884="Commemorative",IF(G884="","","_"&amp;SUBSTITUTE(SUBSTITUTE(SUBSTITUTE(G884," ","-"),"/","-"),CHAR(39),"")),"")&amp;IF(I884="Duplicate","_Dub"&amp;IF(SUMPRODUCT(($B$2:B884=B884)*($D$2:D884=D884)*($E$2:E884=E884)*($F$2:F884=F884)*($G$2:G884=G884)*($I$2:I884="Duplicate"))&lt;=1,"",SUMPRODUCT(($B$2:B884=B884)*($D$2:D884=D884)*($E$2:E884=E884)*($F$2:F884=F884)*($G$2:G884=G884)*($I$2:I884="Duplicate"))-1),"")&amp;".jpeg")</f>
        <v/>
      </c>
      <c r="L884" s="6"/>
      <c r="M884" s="5" t="str">
        <f>IFERROR(VLOOKUP(E884,Specifications!$A$2:$D$9,2,FALSE),"")</f>
        <v/>
      </c>
      <c r="N884" s="5" t="str">
        <f>IFERROR(VLOOKUP(E884,Specifications!$A$2:$D$9,3,FALSE),"")</f>
        <v/>
      </c>
      <c r="O884" s="5" t="str">
        <f>IFERROR(VLOOKUP(E884,Specifications!$A$2:$D$9,4,FALSE),"")</f>
        <v/>
      </c>
      <c r="P884" s="8" t="str">
        <f t="shared" si="42"/>
        <v/>
      </c>
      <c r="Q884" s="9"/>
    </row>
    <row r="885" spans="1:17" ht="15">
      <c r="A885" s="5" t="str">
        <f t="shared" si="40"/>
        <v/>
      </c>
      <c r="B885" s="6"/>
      <c r="C885" s="5" t="str">
        <f>IFERROR(VLOOKUP(B885,Lists!$A$2:$B$25,2,FALSE),"")</f>
        <v/>
      </c>
      <c r="D885" s="7"/>
      <c r="E885" s="6"/>
      <c r="F885" s="6" t="str">
        <f t="shared" si="41"/>
        <v/>
      </c>
      <c r="G885" s="6"/>
      <c r="H885" s="6"/>
      <c r="I885" s="6"/>
      <c r="J885" s="7"/>
      <c r="K885" s="5" t="str" cm="1">
        <f t="array" ref="K885">IF(OR(A885="",B885="",D885="",E885=""),"",A885&amp;"_"&amp;SUBSTITUTE(B885," ","-")&amp;"_"&amp;D885&amp;"_"&amp;SUBSTITUTE(SUBSTITUTE(E885," ",""),"€","Euro")&amp;"_"&amp;IF(F885="","Unknown",F885)&amp;IF(F885="Commemorative",IF(G885="","","_"&amp;SUBSTITUTE(SUBSTITUTE(SUBSTITUTE(G885," ","-"),"/","-"),CHAR(39),"")),"")&amp;IF(I885="Duplicate","_Dub"&amp;IF(SUMPRODUCT(($B$2:B885=B885)*($D$2:D885=D885)*($E$2:E885=E885)*($F$2:F885=F885)*($G$2:G885=G885)*($I$2:I885="Duplicate"))&lt;=1,"",SUMPRODUCT(($B$2:B885=B885)*($D$2:D885=D885)*($E$2:E885=E885)*($F$2:F885=F885)*($G$2:G885=G885)*($I$2:I885="Duplicate"))-1),"")&amp;".jpeg")</f>
        <v/>
      </c>
      <c r="L885" s="6"/>
      <c r="M885" s="5" t="str">
        <f>IFERROR(VLOOKUP(E885,Specifications!$A$2:$D$9,2,FALSE),"")</f>
        <v/>
      </c>
      <c r="N885" s="5" t="str">
        <f>IFERROR(VLOOKUP(E885,Specifications!$A$2:$D$9,3,FALSE),"")</f>
        <v/>
      </c>
      <c r="O885" s="5" t="str">
        <f>IFERROR(VLOOKUP(E885,Specifications!$A$2:$D$9,4,FALSE),"")</f>
        <v/>
      </c>
      <c r="P885" s="8" t="str">
        <f t="shared" si="42"/>
        <v/>
      </c>
      <c r="Q885" s="9"/>
    </row>
    <row r="886" spans="1:17" ht="15">
      <c r="A886" s="5" t="str">
        <f t="shared" si="40"/>
        <v/>
      </c>
      <c r="B886" s="6"/>
      <c r="C886" s="5" t="str">
        <f>IFERROR(VLOOKUP(B886,Lists!$A$2:$B$25,2,FALSE),"")</f>
        <v/>
      </c>
      <c r="D886" s="7"/>
      <c r="E886" s="6"/>
      <c r="F886" s="6" t="str">
        <f t="shared" si="41"/>
        <v/>
      </c>
      <c r="G886" s="6"/>
      <c r="H886" s="6"/>
      <c r="I886" s="6"/>
      <c r="J886" s="7"/>
      <c r="K886" s="5" t="str" cm="1">
        <f t="array" ref="K886">IF(OR(A886="",B886="",D886="",E886=""),"",A886&amp;"_"&amp;SUBSTITUTE(B886," ","-")&amp;"_"&amp;D886&amp;"_"&amp;SUBSTITUTE(SUBSTITUTE(E886," ",""),"€","Euro")&amp;"_"&amp;IF(F886="","Unknown",F886)&amp;IF(F886="Commemorative",IF(G886="","","_"&amp;SUBSTITUTE(SUBSTITUTE(SUBSTITUTE(G886," ","-"),"/","-"),CHAR(39),"")),"")&amp;IF(I886="Duplicate","_Dub"&amp;IF(SUMPRODUCT(($B$2:B886=B886)*($D$2:D886=D886)*($E$2:E886=E886)*($F$2:F886=F886)*($G$2:G886=G886)*($I$2:I886="Duplicate"))&lt;=1,"",SUMPRODUCT(($B$2:B886=B886)*($D$2:D886=D886)*($E$2:E886=E886)*($F$2:F886=F886)*($G$2:G886=G886)*($I$2:I886="Duplicate"))-1),"")&amp;".jpeg")</f>
        <v/>
      </c>
      <c r="L886" s="6"/>
      <c r="M886" s="5" t="str">
        <f>IFERROR(VLOOKUP(E886,Specifications!$A$2:$D$9,2,FALSE),"")</f>
        <v/>
      </c>
      <c r="N886" s="5" t="str">
        <f>IFERROR(VLOOKUP(E886,Specifications!$A$2:$D$9,3,FALSE),"")</f>
        <v/>
      </c>
      <c r="O886" s="5" t="str">
        <f>IFERROR(VLOOKUP(E886,Specifications!$A$2:$D$9,4,FALSE),"")</f>
        <v/>
      </c>
      <c r="P886" s="8" t="str">
        <f t="shared" si="42"/>
        <v/>
      </c>
      <c r="Q886" s="9"/>
    </row>
    <row r="887" spans="1:17" ht="15">
      <c r="A887" s="5" t="str">
        <f t="shared" si="40"/>
        <v/>
      </c>
      <c r="B887" s="6"/>
      <c r="C887" s="5" t="str">
        <f>IFERROR(VLOOKUP(B887,Lists!$A$2:$B$25,2,FALSE),"")</f>
        <v/>
      </c>
      <c r="D887" s="7"/>
      <c r="E887" s="6"/>
      <c r="F887" s="6" t="str">
        <f t="shared" si="41"/>
        <v/>
      </c>
      <c r="G887" s="6"/>
      <c r="H887" s="6"/>
      <c r="I887" s="6"/>
      <c r="J887" s="7"/>
      <c r="K887" s="5" t="str" cm="1">
        <f t="array" ref="K887">IF(OR(A887="",B887="",D887="",E887=""),"",A887&amp;"_"&amp;SUBSTITUTE(B887," ","-")&amp;"_"&amp;D887&amp;"_"&amp;SUBSTITUTE(SUBSTITUTE(E887," ",""),"€","Euro")&amp;"_"&amp;IF(F887="","Unknown",F887)&amp;IF(F887="Commemorative",IF(G887="","","_"&amp;SUBSTITUTE(SUBSTITUTE(SUBSTITUTE(G887," ","-"),"/","-"),CHAR(39),"")),"")&amp;IF(I887="Duplicate","_Dub"&amp;IF(SUMPRODUCT(($B$2:B887=B887)*($D$2:D887=D887)*($E$2:E887=E887)*($F$2:F887=F887)*($G$2:G887=G887)*($I$2:I887="Duplicate"))&lt;=1,"",SUMPRODUCT(($B$2:B887=B887)*($D$2:D887=D887)*($E$2:E887=E887)*($F$2:F887=F887)*($G$2:G887=G887)*($I$2:I887="Duplicate"))-1),"")&amp;".jpeg")</f>
        <v/>
      </c>
      <c r="L887" s="6"/>
      <c r="M887" s="5" t="str">
        <f>IFERROR(VLOOKUP(E887,Specifications!$A$2:$D$9,2,FALSE),"")</f>
        <v/>
      </c>
      <c r="N887" s="5" t="str">
        <f>IFERROR(VLOOKUP(E887,Specifications!$A$2:$D$9,3,FALSE),"")</f>
        <v/>
      </c>
      <c r="O887" s="5" t="str">
        <f>IFERROR(VLOOKUP(E887,Specifications!$A$2:$D$9,4,FALSE),"")</f>
        <v/>
      </c>
      <c r="P887" s="8" t="str">
        <f t="shared" si="42"/>
        <v/>
      </c>
      <c r="Q887" s="9"/>
    </row>
    <row r="888" spans="1:17" ht="15">
      <c r="A888" s="5" t="str">
        <f t="shared" si="40"/>
        <v/>
      </c>
      <c r="B888" s="6"/>
      <c r="C888" s="5" t="str">
        <f>IFERROR(VLOOKUP(B888,Lists!$A$2:$B$25,2,FALSE),"")</f>
        <v/>
      </c>
      <c r="D888" s="7"/>
      <c r="E888" s="6"/>
      <c r="F888" s="6" t="str">
        <f t="shared" si="41"/>
        <v/>
      </c>
      <c r="G888" s="6"/>
      <c r="H888" s="6"/>
      <c r="I888" s="6"/>
      <c r="J888" s="7"/>
      <c r="K888" s="5" t="str" cm="1">
        <f t="array" ref="K888">IF(OR(A888="",B888="",D888="",E888=""),"",A888&amp;"_"&amp;SUBSTITUTE(B888," ","-")&amp;"_"&amp;D888&amp;"_"&amp;SUBSTITUTE(SUBSTITUTE(E888," ",""),"€","Euro")&amp;"_"&amp;IF(F888="","Unknown",F888)&amp;IF(F888="Commemorative",IF(G888="","","_"&amp;SUBSTITUTE(SUBSTITUTE(SUBSTITUTE(G888," ","-"),"/","-"),CHAR(39),"")),"")&amp;IF(I888="Duplicate","_Dub"&amp;IF(SUMPRODUCT(($B$2:B888=B888)*($D$2:D888=D888)*($E$2:E888=E888)*($F$2:F888=F888)*($G$2:G888=G888)*($I$2:I888="Duplicate"))&lt;=1,"",SUMPRODUCT(($B$2:B888=B888)*($D$2:D888=D888)*($E$2:E888=E888)*($F$2:F888=F888)*($G$2:G888=G888)*($I$2:I888="Duplicate"))-1),"")&amp;".jpeg")</f>
        <v/>
      </c>
      <c r="L888" s="6"/>
      <c r="M888" s="5" t="str">
        <f>IFERROR(VLOOKUP(E888,Specifications!$A$2:$D$9,2,FALSE),"")</f>
        <v/>
      </c>
      <c r="N888" s="5" t="str">
        <f>IFERROR(VLOOKUP(E888,Specifications!$A$2:$D$9,3,FALSE),"")</f>
        <v/>
      </c>
      <c r="O888" s="5" t="str">
        <f>IFERROR(VLOOKUP(E888,Specifications!$A$2:$D$9,4,FALSE),"")</f>
        <v/>
      </c>
      <c r="P888" s="8" t="str">
        <f t="shared" si="42"/>
        <v/>
      </c>
      <c r="Q888" s="9"/>
    </row>
    <row r="889" spans="1:17" ht="15">
      <c r="A889" s="5" t="str">
        <f t="shared" si="40"/>
        <v/>
      </c>
      <c r="B889" s="6"/>
      <c r="C889" s="5" t="str">
        <f>IFERROR(VLOOKUP(B889,Lists!$A$2:$B$25,2,FALSE),"")</f>
        <v/>
      </c>
      <c r="D889" s="7"/>
      <c r="E889" s="6"/>
      <c r="F889" s="6" t="str">
        <f t="shared" si="41"/>
        <v/>
      </c>
      <c r="G889" s="6"/>
      <c r="H889" s="6"/>
      <c r="I889" s="6"/>
      <c r="J889" s="7"/>
      <c r="K889" s="5" t="str" cm="1">
        <f t="array" ref="K889">IF(OR(A889="",B889="",D889="",E889=""),"",A889&amp;"_"&amp;SUBSTITUTE(B889," ","-")&amp;"_"&amp;D889&amp;"_"&amp;SUBSTITUTE(SUBSTITUTE(E889," ",""),"€","Euro")&amp;"_"&amp;IF(F889="","Unknown",F889)&amp;IF(F889="Commemorative",IF(G889="","","_"&amp;SUBSTITUTE(SUBSTITUTE(SUBSTITUTE(G889," ","-"),"/","-"),CHAR(39),"")),"")&amp;IF(I889="Duplicate","_Dub"&amp;IF(SUMPRODUCT(($B$2:B889=B889)*($D$2:D889=D889)*($E$2:E889=E889)*($F$2:F889=F889)*($G$2:G889=G889)*($I$2:I889="Duplicate"))&lt;=1,"",SUMPRODUCT(($B$2:B889=B889)*($D$2:D889=D889)*($E$2:E889=E889)*($F$2:F889=F889)*($G$2:G889=G889)*($I$2:I889="Duplicate"))-1),"")&amp;".jpeg")</f>
        <v/>
      </c>
      <c r="L889" s="6"/>
      <c r="M889" s="5" t="str">
        <f>IFERROR(VLOOKUP(E889,Specifications!$A$2:$D$9,2,FALSE),"")</f>
        <v/>
      </c>
      <c r="N889" s="5" t="str">
        <f>IFERROR(VLOOKUP(E889,Specifications!$A$2:$D$9,3,FALSE),"")</f>
        <v/>
      </c>
      <c r="O889" s="5" t="str">
        <f>IFERROR(VLOOKUP(E889,Specifications!$A$2:$D$9,4,FALSE),"")</f>
        <v/>
      </c>
      <c r="P889" s="8" t="str">
        <f t="shared" si="42"/>
        <v/>
      </c>
      <c r="Q889" s="9"/>
    </row>
    <row r="890" spans="1:17" ht="15">
      <c r="A890" s="5" t="str">
        <f t="shared" si="40"/>
        <v/>
      </c>
      <c r="B890" s="6"/>
      <c r="C890" s="5" t="str">
        <f>IFERROR(VLOOKUP(B890,Lists!$A$2:$B$25,2,FALSE),"")</f>
        <v/>
      </c>
      <c r="D890" s="7"/>
      <c r="E890" s="6"/>
      <c r="F890" s="6" t="str">
        <f t="shared" si="41"/>
        <v/>
      </c>
      <c r="G890" s="6"/>
      <c r="H890" s="6"/>
      <c r="I890" s="6"/>
      <c r="J890" s="7"/>
      <c r="K890" s="5" t="str" cm="1">
        <f t="array" ref="K890">IF(OR(A890="",B890="",D890="",E890=""),"",A890&amp;"_"&amp;SUBSTITUTE(B890," ","-")&amp;"_"&amp;D890&amp;"_"&amp;SUBSTITUTE(SUBSTITUTE(E890," ",""),"€","Euro")&amp;"_"&amp;IF(F890="","Unknown",F890)&amp;IF(F890="Commemorative",IF(G890="","","_"&amp;SUBSTITUTE(SUBSTITUTE(SUBSTITUTE(G890," ","-"),"/","-"),CHAR(39),"")),"")&amp;IF(I890="Duplicate","_Dub"&amp;IF(SUMPRODUCT(($B$2:B890=B890)*($D$2:D890=D890)*($E$2:E890=E890)*($F$2:F890=F890)*($G$2:G890=G890)*($I$2:I890="Duplicate"))&lt;=1,"",SUMPRODUCT(($B$2:B890=B890)*($D$2:D890=D890)*($E$2:E890=E890)*($F$2:F890=F890)*($G$2:G890=G890)*($I$2:I890="Duplicate"))-1),"")&amp;".jpeg")</f>
        <v/>
      </c>
      <c r="L890" s="6"/>
      <c r="M890" s="5" t="str">
        <f>IFERROR(VLOOKUP(E890,Specifications!$A$2:$D$9,2,FALSE),"")</f>
        <v/>
      </c>
      <c r="N890" s="5" t="str">
        <f>IFERROR(VLOOKUP(E890,Specifications!$A$2:$D$9,3,FALSE),"")</f>
        <v/>
      </c>
      <c r="O890" s="5" t="str">
        <f>IFERROR(VLOOKUP(E890,Specifications!$A$2:$D$9,4,FALSE),"")</f>
        <v/>
      </c>
      <c r="P890" s="8" t="str">
        <f t="shared" si="42"/>
        <v/>
      </c>
      <c r="Q890" s="9"/>
    </row>
    <row r="891" spans="1:17" ht="15">
      <c r="A891" s="5" t="str">
        <f t="shared" si="40"/>
        <v/>
      </c>
      <c r="B891" s="6"/>
      <c r="C891" s="5" t="str">
        <f>IFERROR(VLOOKUP(B891,Lists!$A$2:$B$25,2,FALSE),"")</f>
        <v/>
      </c>
      <c r="D891" s="7"/>
      <c r="E891" s="6"/>
      <c r="F891" s="6" t="str">
        <f t="shared" si="41"/>
        <v/>
      </c>
      <c r="G891" s="6"/>
      <c r="H891" s="6"/>
      <c r="I891" s="6"/>
      <c r="J891" s="7"/>
      <c r="K891" s="5" t="str" cm="1">
        <f t="array" ref="K891">IF(OR(A891="",B891="",D891="",E891=""),"",A891&amp;"_"&amp;SUBSTITUTE(B891," ","-")&amp;"_"&amp;D891&amp;"_"&amp;SUBSTITUTE(SUBSTITUTE(E891," ",""),"€","Euro")&amp;"_"&amp;IF(F891="","Unknown",F891)&amp;IF(F891="Commemorative",IF(G891="","","_"&amp;SUBSTITUTE(SUBSTITUTE(SUBSTITUTE(G891," ","-"),"/","-"),CHAR(39),"")),"")&amp;IF(I891="Duplicate","_Dub"&amp;IF(SUMPRODUCT(($B$2:B891=B891)*($D$2:D891=D891)*($E$2:E891=E891)*($F$2:F891=F891)*($G$2:G891=G891)*($I$2:I891="Duplicate"))&lt;=1,"",SUMPRODUCT(($B$2:B891=B891)*($D$2:D891=D891)*($E$2:E891=E891)*($F$2:F891=F891)*($G$2:G891=G891)*($I$2:I891="Duplicate"))-1),"")&amp;".jpeg")</f>
        <v/>
      </c>
      <c r="L891" s="6"/>
      <c r="M891" s="5" t="str">
        <f>IFERROR(VLOOKUP(E891,Specifications!$A$2:$D$9,2,FALSE),"")</f>
        <v/>
      </c>
      <c r="N891" s="5" t="str">
        <f>IFERROR(VLOOKUP(E891,Specifications!$A$2:$D$9,3,FALSE),"")</f>
        <v/>
      </c>
      <c r="O891" s="5" t="str">
        <f>IFERROR(VLOOKUP(E891,Specifications!$A$2:$D$9,4,FALSE),"")</f>
        <v/>
      </c>
      <c r="P891" s="8" t="str">
        <f t="shared" si="42"/>
        <v/>
      </c>
      <c r="Q891" s="9"/>
    </row>
    <row r="892" spans="1:17" ht="15">
      <c r="A892" s="5" t="str">
        <f t="shared" si="40"/>
        <v/>
      </c>
      <c r="B892" s="6"/>
      <c r="C892" s="5" t="str">
        <f>IFERROR(VLOOKUP(B892,Lists!$A$2:$B$25,2,FALSE),"")</f>
        <v/>
      </c>
      <c r="D892" s="7"/>
      <c r="E892" s="6"/>
      <c r="F892" s="6" t="str">
        <f t="shared" si="41"/>
        <v/>
      </c>
      <c r="G892" s="6"/>
      <c r="H892" s="6"/>
      <c r="I892" s="6"/>
      <c r="J892" s="7"/>
      <c r="K892" s="5" t="str" cm="1">
        <f t="array" ref="K892">IF(OR(A892="",B892="",D892="",E892=""),"",A892&amp;"_"&amp;SUBSTITUTE(B892," ","-")&amp;"_"&amp;D892&amp;"_"&amp;SUBSTITUTE(SUBSTITUTE(E892," ",""),"€","Euro")&amp;"_"&amp;IF(F892="","Unknown",F892)&amp;IF(F892="Commemorative",IF(G892="","","_"&amp;SUBSTITUTE(SUBSTITUTE(SUBSTITUTE(G892," ","-"),"/","-"),CHAR(39),"")),"")&amp;IF(I892="Duplicate","_Dub"&amp;IF(SUMPRODUCT(($B$2:B892=B892)*($D$2:D892=D892)*($E$2:E892=E892)*($F$2:F892=F892)*($G$2:G892=G892)*($I$2:I892="Duplicate"))&lt;=1,"",SUMPRODUCT(($B$2:B892=B892)*($D$2:D892=D892)*($E$2:E892=E892)*($F$2:F892=F892)*($G$2:G892=G892)*($I$2:I892="Duplicate"))-1),"")&amp;".jpeg")</f>
        <v/>
      </c>
      <c r="L892" s="6"/>
      <c r="M892" s="5" t="str">
        <f>IFERROR(VLOOKUP(E892,Specifications!$A$2:$D$9,2,FALSE),"")</f>
        <v/>
      </c>
      <c r="N892" s="5" t="str">
        <f>IFERROR(VLOOKUP(E892,Specifications!$A$2:$D$9,3,FALSE),"")</f>
        <v/>
      </c>
      <c r="O892" s="5" t="str">
        <f>IFERROR(VLOOKUP(E892,Specifications!$A$2:$D$9,4,FALSE),"")</f>
        <v/>
      </c>
      <c r="P892" s="8" t="str">
        <f t="shared" si="42"/>
        <v/>
      </c>
      <c r="Q892" s="9"/>
    </row>
    <row r="893" spans="1:17" ht="15">
      <c r="A893" s="5" t="str">
        <f t="shared" si="40"/>
        <v/>
      </c>
      <c r="B893" s="6"/>
      <c r="C893" s="5" t="str">
        <f>IFERROR(VLOOKUP(B893,Lists!$A$2:$B$25,2,FALSE),"")</f>
        <v/>
      </c>
      <c r="D893" s="7"/>
      <c r="E893" s="6"/>
      <c r="F893" s="6" t="str">
        <f t="shared" si="41"/>
        <v/>
      </c>
      <c r="G893" s="6"/>
      <c r="H893" s="6"/>
      <c r="I893" s="6"/>
      <c r="J893" s="7"/>
      <c r="K893" s="5" t="str" cm="1">
        <f t="array" ref="K893">IF(OR(A893="",B893="",D893="",E893=""),"",A893&amp;"_"&amp;SUBSTITUTE(B893," ","-")&amp;"_"&amp;D893&amp;"_"&amp;SUBSTITUTE(SUBSTITUTE(E893," ",""),"€","Euro")&amp;"_"&amp;IF(F893="","Unknown",F893)&amp;IF(F893="Commemorative",IF(G893="","","_"&amp;SUBSTITUTE(SUBSTITUTE(SUBSTITUTE(G893," ","-"),"/","-"),CHAR(39),"")),"")&amp;IF(I893="Duplicate","_Dub"&amp;IF(SUMPRODUCT(($B$2:B893=B893)*($D$2:D893=D893)*($E$2:E893=E893)*($F$2:F893=F893)*($G$2:G893=G893)*($I$2:I893="Duplicate"))&lt;=1,"",SUMPRODUCT(($B$2:B893=B893)*($D$2:D893=D893)*($E$2:E893=E893)*($F$2:F893=F893)*($G$2:G893=G893)*($I$2:I893="Duplicate"))-1),"")&amp;".jpeg")</f>
        <v/>
      </c>
      <c r="L893" s="6"/>
      <c r="M893" s="5" t="str">
        <f>IFERROR(VLOOKUP(E893,Specifications!$A$2:$D$9,2,FALSE),"")</f>
        <v/>
      </c>
      <c r="N893" s="5" t="str">
        <f>IFERROR(VLOOKUP(E893,Specifications!$A$2:$D$9,3,FALSE),"")</f>
        <v/>
      </c>
      <c r="O893" s="5" t="str">
        <f>IFERROR(VLOOKUP(E893,Specifications!$A$2:$D$9,4,FALSE),"")</f>
        <v/>
      </c>
      <c r="P893" s="8" t="str">
        <f t="shared" si="42"/>
        <v/>
      </c>
      <c r="Q893" s="9"/>
    </row>
    <row r="894" spans="1:17" ht="15">
      <c r="A894" s="5" t="str">
        <f t="shared" si="40"/>
        <v/>
      </c>
      <c r="B894" s="6"/>
      <c r="C894" s="5" t="str">
        <f>IFERROR(VLOOKUP(B894,Lists!$A$2:$B$25,2,FALSE),"")</f>
        <v/>
      </c>
      <c r="D894" s="7"/>
      <c r="E894" s="6"/>
      <c r="F894" s="6" t="str">
        <f t="shared" si="41"/>
        <v/>
      </c>
      <c r="G894" s="6"/>
      <c r="H894" s="6"/>
      <c r="I894" s="6"/>
      <c r="J894" s="7"/>
      <c r="K894" s="5" t="str" cm="1">
        <f t="array" ref="K894">IF(OR(A894="",B894="",D894="",E894=""),"",A894&amp;"_"&amp;SUBSTITUTE(B894," ","-")&amp;"_"&amp;D894&amp;"_"&amp;SUBSTITUTE(SUBSTITUTE(E894," ",""),"€","Euro")&amp;"_"&amp;IF(F894="","Unknown",F894)&amp;IF(F894="Commemorative",IF(G894="","","_"&amp;SUBSTITUTE(SUBSTITUTE(SUBSTITUTE(G894," ","-"),"/","-"),CHAR(39),"")),"")&amp;IF(I894="Duplicate","_Dub"&amp;IF(SUMPRODUCT(($B$2:B894=B894)*($D$2:D894=D894)*($E$2:E894=E894)*($F$2:F894=F894)*($G$2:G894=G894)*($I$2:I894="Duplicate"))&lt;=1,"",SUMPRODUCT(($B$2:B894=B894)*($D$2:D894=D894)*($E$2:E894=E894)*($F$2:F894=F894)*($G$2:G894=G894)*($I$2:I894="Duplicate"))-1),"")&amp;".jpeg")</f>
        <v/>
      </c>
      <c r="L894" s="6"/>
      <c r="M894" s="5" t="str">
        <f>IFERROR(VLOOKUP(E894,Specifications!$A$2:$D$9,2,FALSE),"")</f>
        <v/>
      </c>
      <c r="N894" s="5" t="str">
        <f>IFERROR(VLOOKUP(E894,Specifications!$A$2:$D$9,3,FALSE),"")</f>
        <v/>
      </c>
      <c r="O894" s="5" t="str">
        <f>IFERROR(VLOOKUP(E894,Specifications!$A$2:$D$9,4,FALSE),"")</f>
        <v/>
      </c>
      <c r="P894" s="8" t="str">
        <f t="shared" si="42"/>
        <v/>
      </c>
      <c r="Q894" s="9"/>
    </row>
    <row r="895" spans="1:17" ht="15">
      <c r="A895" s="5" t="str">
        <f t="shared" si="40"/>
        <v/>
      </c>
      <c r="B895" s="6"/>
      <c r="C895" s="5" t="str">
        <f>IFERROR(VLOOKUP(B895,Lists!$A$2:$B$25,2,FALSE),"")</f>
        <v/>
      </c>
      <c r="D895" s="7"/>
      <c r="E895" s="6"/>
      <c r="F895" s="6" t="str">
        <f t="shared" si="41"/>
        <v/>
      </c>
      <c r="G895" s="6"/>
      <c r="H895" s="6"/>
      <c r="I895" s="6"/>
      <c r="J895" s="7"/>
      <c r="K895" s="5" t="str" cm="1">
        <f t="array" ref="K895">IF(OR(A895="",B895="",D895="",E895=""),"",A895&amp;"_"&amp;SUBSTITUTE(B895," ","-")&amp;"_"&amp;D895&amp;"_"&amp;SUBSTITUTE(SUBSTITUTE(E895," ",""),"€","Euro")&amp;"_"&amp;IF(F895="","Unknown",F895)&amp;IF(F895="Commemorative",IF(G895="","","_"&amp;SUBSTITUTE(SUBSTITUTE(SUBSTITUTE(G895," ","-"),"/","-"),CHAR(39),"")),"")&amp;IF(I895="Duplicate","_Dub"&amp;IF(SUMPRODUCT(($B$2:B895=B895)*($D$2:D895=D895)*($E$2:E895=E895)*($F$2:F895=F895)*($G$2:G895=G895)*($I$2:I895="Duplicate"))&lt;=1,"",SUMPRODUCT(($B$2:B895=B895)*($D$2:D895=D895)*($E$2:E895=E895)*($F$2:F895=F895)*($G$2:G895=G895)*($I$2:I895="Duplicate"))-1),"")&amp;".jpeg")</f>
        <v/>
      </c>
      <c r="L895" s="6"/>
      <c r="M895" s="5" t="str">
        <f>IFERROR(VLOOKUP(E895,Specifications!$A$2:$D$9,2,FALSE),"")</f>
        <v/>
      </c>
      <c r="N895" s="5" t="str">
        <f>IFERROR(VLOOKUP(E895,Specifications!$A$2:$D$9,3,FALSE),"")</f>
        <v/>
      </c>
      <c r="O895" s="5" t="str">
        <f>IFERROR(VLOOKUP(E895,Specifications!$A$2:$D$9,4,FALSE),"")</f>
        <v/>
      </c>
      <c r="P895" s="8" t="str">
        <f t="shared" si="42"/>
        <v/>
      </c>
      <c r="Q895" s="9"/>
    </row>
    <row r="896" spans="1:17" ht="15">
      <c r="A896" s="5" t="str">
        <f t="shared" si="40"/>
        <v/>
      </c>
      <c r="B896" s="6"/>
      <c r="C896" s="5" t="str">
        <f>IFERROR(VLOOKUP(B896,Lists!$A$2:$B$25,2,FALSE),"")</f>
        <v/>
      </c>
      <c r="D896" s="7"/>
      <c r="E896" s="6"/>
      <c r="F896" s="6" t="str">
        <f t="shared" si="41"/>
        <v/>
      </c>
      <c r="G896" s="6"/>
      <c r="H896" s="6"/>
      <c r="I896" s="6"/>
      <c r="J896" s="7"/>
      <c r="K896" s="5" t="str" cm="1">
        <f t="array" ref="K896">IF(OR(A896="",B896="",D896="",E896=""),"",A896&amp;"_"&amp;SUBSTITUTE(B896," ","-")&amp;"_"&amp;D896&amp;"_"&amp;SUBSTITUTE(SUBSTITUTE(E896," ",""),"€","Euro")&amp;"_"&amp;IF(F896="","Unknown",F896)&amp;IF(F896="Commemorative",IF(G896="","","_"&amp;SUBSTITUTE(SUBSTITUTE(SUBSTITUTE(G896," ","-"),"/","-"),CHAR(39),"")),"")&amp;IF(I896="Duplicate","_Dub"&amp;IF(SUMPRODUCT(($B$2:B896=B896)*($D$2:D896=D896)*($E$2:E896=E896)*($F$2:F896=F896)*($G$2:G896=G896)*($I$2:I896="Duplicate"))&lt;=1,"",SUMPRODUCT(($B$2:B896=B896)*($D$2:D896=D896)*($E$2:E896=E896)*($F$2:F896=F896)*($G$2:G896=G896)*($I$2:I896="Duplicate"))-1),"")&amp;".jpeg")</f>
        <v/>
      </c>
      <c r="L896" s="6"/>
      <c r="M896" s="5" t="str">
        <f>IFERROR(VLOOKUP(E896,Specifications!$A$2:$D$9,2,FALSE),"")</f>
        <v/>
      </c>
      <c r="N896" s="5" t="str">
        <f>IFERROR(VLOOKUP(E896,Specifications!$A$2:$D$9,3,FALSE),"")</f>
        <v/>
      </c>
      <c r="O896" s="5" t="str">
        <f>IFERROR(VLOOKUP(E896,Specifications!$A$2:$D$9,4,FALSE),"")</f>
        <v/>
      </c>
      <c r="P896" s="8" t="str">
        <f t="shared" si="42"/>
        <v/>
      </c>
      <c r="Q896" s="9"/>
    </row>
    <row r="897" spans="1:17" ht="15">
      <c r="A897" s="5" t="str">
        <f t="shared" si="40"/>
        <v/>
      </c>
      <c r="B897" s="6"/>
      <c r="C897" s="5" t="str">
        <f>IFERROR(VLOOKUP(B897,Lists!$A$2:$B$25,2,FALSE),"")</f>
        <v/>
      </c>
      <c r="D897" s="7"/>
      <c r="E897" s="6"/>
      <c r="F897" s="6" t="str">
        <f t="shared" si="41"/>
        <v/>
      </c>
      <c r="G897" s="6"/>
      <c r="H897" s="6"/>
      <c r="I897" s="6"/>
      <c r="J897" s="7"/>
      <c r="K897" s="5" t="str" cm="1">
        <f t="array" ref="K897">IF(OR(A897="",B897="",D897="",E897=""),"",A897&amp;"_"&amp;SUBSTITUTE(B897," ","-")&amp;"_"&amp;D897&amp;"_"&amp;SUBSTITUTE(SUBSTITUTE(E897," ",""),"€","Euro")&amp;"_"&amp;IF(F897="","Unknown",F897)&amp;IF(F897="Commemorative",IF(G897="","","_"&amp;SUBSTITUTE(SUBSTITUTE(SUBSTITUTE(G897," ","-"),"/","-"),CHAR(39),"")),"")&amp;IF(I897="Duplicate","_Dub"&amp;IF(SUMPRODUCT(($B$2:B897=B897)*($D$2:D897=D897)*($E$2:E897=E897)*($F$2:F897=F897)*($G$2:G897=G897)*($I$2:I897="Duplicate"))&lt;=1,"",SUMPRODUCT(($B$2:B897=B897)*($D$2:D897=D897)*($E$2:E897=E897)*($F$2:F897=F897)*($G$2:G897=G897)*($I$2:I897="Duplicate"))-1),"")&amp;".jpeg")</f>
        <v/>
      </c>
      <c r="L897" s="6"/>
      <c r="M897" s="5" t="str">
        <f>IFERROR(VLOOKUP(E897,Specifications!$A$2:$D$9,2,FALSE),"")</f>
        <v/>
      </c>
      <c r="N897" s="5" t="str">
        <f>IFERROR(VLOOKUP(E897,Specifications!$A$2:$D$9,3,FALSE),"")</f>
        <v/>
      </c>
      <c r="O897" s="5" t="str">
        <f>IFERROR(VLOOKUP(E897,Specifications!$A$2:$D$9,4,FALSE),"")</f>
        <v/>
      </c>
      <c r="P897" s="8" t="str">
        <f t="shared" si="42"/>
        <v/>
      </c>
      <c r="Q897" s="9"/>
    </row>
    <row r="898" spans="1:17" ht="15">
      <c r="A898" s="5" t="str">
        <f t="shared" ref="A898:A961" si="43">IF(B898="","",TEXT(ROW()-1,"000"))</f>
        <v/>
      </c>
      <c r="B898" s="6"/>
      <c r="C898" s="5" t="str">
        <f>IFERROR(VLOOKUP(B898,Lists!$A$2:$B$25,2,FALSE),"")</f>
        <v/>
      </c>
      <c r="D898" s="7"/>
      <c r="E898" s="6"/>
      <c r="F898" s="6" t="str">
        <f t="shared" ref="F898:F961" si="44">IF(E898="","",IF(E898="2 €","", "Regular"))</f>
        <v/>
      </c>
      <c r="G898" s="6"/>
      <c r="H898" s="6"/>
      <c r="I898" s="6"/>
      <c r="J898" s="7"/>
      <c r="K898" s="5" t="str" cm="1">
        <f t="array" ref="K898">IF(OR(A898="",B898="",D898="",E898=""),"",A898&amp;"_"&amp;SUBSTITUTE(B898," ","-")&amp;"_"&amp;D898&amp;"_"&amp;SUBSTITUTE(SUBSTITUTE(E898," ",""),"€","Euro")&amp;"_"&amp;IF(F898="","Unknown",F898)&amp;IF(F898="Commemorative",IF(G898="","","_"&amp;SUBSTITUTE(SUBSTITUTE(SUBSTITUTE(G898," ","-"),"/","-"),CHAR(39),"")),"")&amp;IF(I898="Duplicate","_Dub"&amp;IF(SUMPRODUCT(($B$2:B898=B898)*($D$2:D898=D898)*($E$2:E898=E898)*($F$2:F898=F898)*($G$2:G898=G898)*($I$2:I898="Duplicate"))&lt;=1,"",SUMPRODUCT(($B$2:B898=B898)*($D$2:D898=D898)*($E$2:E898=E898)*($F$2:F898=F898)*($G$2:G898=G898)*($I$2:I898="Duplicate"))-1),"")&amp;".jpeg")</f>
        <v/>
      </c>
      <c r="L898" s="6"/>
      <c r="M898" s="5" t="str">
        <f>IFERROR(VLOOKUP(E898,Specifications!$A$2:$D$9,2,FALSE),"")</f>
        <v/>
      </c>
      <c r="N898" s="5" t="str">
        <f>IFERROR(VLOOKUP(E898,Specifications!$A$2:$D$9,3,FALSE),"")</f>
        <v/>
      </c>
      <c r="O898" s="5" t="str">
        <f>IFERROR(VLOOKUP(E898,Specifications!$A$2:$D$9,4,FALSE),"")</f>
        <v/>
      </c>
      <c r="P898" s="8" t="str">
        <f t="shared" ref="P898:P961" si="45">IF(OR(B898="",E898="",F898=""),"",IF(F898="Regular","Regular "&amp;E898&amp;" circulation coin of "&amp;B898&amp;".",IF(F898="Commemorative",IF(G898="","",E898&amp;" commemorative coin of "&amp;B898&amp;" – "&amp;G898&amp;"."),"")))</f>
        <v/>
      </c>
      <c r="Q898" s="9"/>
    </row>
    <row r="899" spans="1:17" ht="15">
      <c r="A899" s="5" t="str">
        <f t="shared" si="43"/>
        <v/>
      </c>
      <c r="B899" s="6"/>
      <c r="C899" s="5" t="str">
        <f>IFERROR(VLOOKUP(B899,Lists!$A$2:$B$25,2,FALSE),"")</f>
        <v/>
      </c>
      <c r="D899" s="7"/>
      <c r="E899" s="6"/>
      <c r="F899" s="6" t="str">
        <f t="shared" si="44"/>
        <v/>
      </c>
      <c r="G899" s="6"/>
      <c r="H899" s="6"/>
      <c r="I899" s="6"/>
      <c r="J899" s="7"/>
      <c r="K899" s="5" t="str" cm="1">
        <f t="array" ref="K899">IF(OR(A899="",B899="",D899="",E899=""),"",A899&amp;"_"&amp;SUBSTITUTE(B899," ","-")&amp;"_"&amp;D899&amp;"_"&amp;SUBSTITUTE(SUBSTITUTE(E899," ",""),"€","Euro")&amp;"_"&amp;IF(F899="","Unknown",F899)&amp;IF(F899="Commemorative",IF(G899="","","_"&amp;SUBSTITUTE(SUBSTITUTE(SUBSTITUTE(G899," ","-"),"/","-"),CHAR(39),"")),"")&amp;IF(I899="Duplicate","_Dub"&amp;IF(SUMPRODUCT(($B$2:B899=B899)*($D$2:D899=D899)*($E$2:E899=E899)*($F$2:F899=F899)*($G$2:G899=G899)*($I$2:I899="Duplicate"))&lt;=1,"",SUMPRODUCT(($B$2:B899=B899)*($D$2:D899=D899)*($E$2:E899=E899)*($F$2:F899=F899)*($G$2:G899=G899)*($I$2:I899="Duplicate"))-1),"")&amp;".jpeg")</f>
        <v/>
      </c>
      <c r="L899" s="6"/>
      <c r="M899" s="5" t="str">
        <f>IFERROR(VLOOKUP(E899,Specifications!$A$2:$D$9,2,FALSE),"")</f>
        <v/>
      </c>
      <c r="N899" s="5" t="str">
        <f>IFERROR(VLOOKUP(E899,Specifications!$A$2:$D$9,3,FALSE),"")</f>
        <v/>
      </c>
      <c r="O899" s="5" t="str">
        <f>IFERROR(VLOOKUP(E899,Specifications!$A$2:$D$9,4,FALSE),"")</f>
        <v/>
      </c>
      <c r="P899" s="8" t="str">
        <f t="shared" si="45"/>
        <v/>
      </c>
      <c r="Q899" s="9"/>
    </row>
    <row r="900" spans="1:17" ht="15">
      <c r="A900" s="5" t="str">
        <f t="shared" si="43"/>
        <v/>
      </c>
      <c r="B900" s="6"/>
      <c r="C900" s="5" t="str">
        <f>IFERROR(VLOOKUP(B900,Lists!$A$2:$B$25,2,FALSE),"")</f>
        <v/>
      </c>
      <c r="D900" s="7"/>
      <c r="E900" s="6"/>
      <c r="F900" s="6" t="str">
        <f t="shared" si="44"/>
        <v/>
      </c>
      <c r="G900" s="6"/>
      <c r="H900" s="6"/>
      <c r="I900" s="6"/>
      <c r="J900" s="7"/>
      <c r="K900" s="5" t="str" cm="1">
        <f t="array" ref="K900">IF(OR(A900="",B900="",D900="",E900=""),"",A900&amp;"_"&amp;SUBSTITUTE(B900," ","-")&amp;"_"&amp;D900&amp;"_"&amp;SUBSTITUTE(SUBSTITUTE(E900," ",""),"€","Euro")&amp;"_"&amp;IF(F900="","Unknown",F900)&amp;IF(F900="Commemorative",IF(G900="","","_"&amp;SUBSTITUTE(SUBSTITUTE(SUBSTITUTE(G900," ","-"),"/","-"),CHAR(39),"")),"")&amp;IF(I900="Duplicate","_Dub"&amp;IF(SUMPRODUCT(($B$2:B900=B900)*($D$2:D900=D900)*($E$2:E900=E900)*($F$2:F900=F900)*($G$2:G900=G900)*($I$2:I900="Duplicate"))&lt;=1,"",SUMPRODUCT(($B$2:B900=B900)*($D$2:D900=D900)*($E$2:E900=E900)*($F$2:F900=F900)*($G$2:G900=G900)*($I$2:I900="Duplicate"))-1),"")&amp;".jpeg")</f>
        <v/>
      </c>
      <c r="L900" s="6"/>
      <c r="M900" s="5" t="str">
        <f>IFERROR(VLOOKUP(E900,Specifications!$A$2:$D$9,2,FALSE),"")</f>
        <v/>
      </c>
      <c r="N900" s="5" t="str">
        <f>IFERROR(VLOOKUP(E900,Specifications!$A$2:$D$9,3,FALSE),"")</f>
        <v/>
      </c>
      <c r="O900" s="5" t="str">
        <f>IFERROR(VLOOKUP(E900,Specifications!$A$2:$D$9,4,FALSE),"")</f>
        <v/>
      </c>
      <c r="P900" s="8" t="str">
        <f t="shared" si="45"/>
        <v/>
      </c>
      <c r="Q900" s="9"/>
    </row>
    <row r="901" spans="1:17" ht="15">
      <c r="A901" s="5" t="str">
        <f t="shared" si="43"/>
        <v/>
      </c>
      <c r="B901" s="6"/>
      <c r="C901" s="5" t="str">
        <f>IFERROR(VLOOKUP(B901,Lists!$A$2:$B$25,2,FALSE),"")</f>
        <v/>
      </c>
      <c r="D901" s="7"/>
      <c r="E901" s="6"/>
      <c r="F901" s="6" t="str">
        <f t="shared" si="44"/>
        <v/>
      </c>
      <c r="G901" s="6"/>
      <c r="H901" s="6"/>
      <c r="I901" s="6"/>
      <c r="J901" s="7"/>
      <c r="K901" s="5" t="str" cm="1">
        <f t="array" ref="K901">IF(OR(A901="",B901="",D901="",E901=""),"",A901&amp;"_"&amp;SUBSTITUTE(B901," ","-")&amp;"_"&amp;D901&amp;"_"&amp;SUBSTITUTE(SUBSTITUTE(E901," ",""),"€","Euro")&amp;"_"&amp;IF(F901="","Unknown",F901)&amp;IF(F901="Commemorative",IF(G901="","","_"&amp;SUBSTITUTE(SUBSTITUTE(SUBSTITUTE(G901," ","-"),"/","-"),CHAR(39),"")),"")&amp;IF(I901="Duplicate","_Dub"&amp;IF(SUMPRODUCT(($B$2:B901=B901)*($D$2:D901=D901)*($E$2:E901=E901)*($F$2:F901=F901)*($G$2:G901=G901)*($I$2:I901="Duplicate"))&lt;=1,"",SUMPRODUCT(($B$2:B901=B901)*($D$2:D901=D901)*($E$2:E901=E901)*($F$2:F901=F901)*($G$2:G901=G901)*($I$2:I901="Duplicate"))-1),"")&amp;".jpeg")</f>
        <v/>
      </c>
      <c r="L901" s="6"/>
      <c r="M901" s="5" t="str">
        <f>IFERROR(VLOOKUP(E901,Specifications!$A$2:$D$9,2,FALSE),"")</f>
        <v/>
      </c>
      <c r="N901" s="5" t="str">
        <f>IFERROR(VLOOKUP(E901,Specifications!$A$2:$D$9,3,FALSE),"")</f>
        <v/>
      </c>
      <c r="O901" s="5" t="str">
        <f>IFERROR(VLOOKUP(E901,Specifications!$A$2:$D$9,4,FALSE),"")</f>
        <v/>
      </c>
      <c r="P901" s="8" t="str">
        <f t="shared" si="45"/>
        <v/>
      </c>
      <c r="Q901" s="9"/>
    </row>
    <row r="902" spans="1:17" ht="15">
      <c r="A902" s="5" t="str">
        <f t="shared" si="43"/>
        <v/>
      </c>
      <c r="B902" s="6"/>
      <c r="C902" s="5" t="str">
        <f>IFERROR(VLOOKUP(B902,Lists!$A$2:$B$25,2,FALSE),"")</f>
        <v/>
      </c>
      <c r="D902" s="7"/>
      <c r="E902" s="6"/>
      <c r="F902" s="6" t="str">
        <f t="shared" si="44"/>
        <v/>
      </c>
      <c r="G902" s="6"/>
      <c r="H902" s="6"/>
      <c r="I902" s="6"/>
      <c r="J902" s="7"/>
      <c r="K902" s="5" t="str" cm="1">
        <f t="array" ref="K902">IF(OR(A902="",B902="",D902="",E902=""),"",A902&amp;"_"&amp;SUBSTITUTE(B902," ","-")&amp;"_"&amp;D902&amp;"_"&amp;SUBSTITUTE(SUBSTITUTE(E902," ",""),"€","Euro")&amp;"_"&amp;IF(F902="","Unknown",F902)&amp;IF(F902="Commemorative",IF(G902="","","_"&amp;SUBSTITUTE(SUBSTITUTE(SUBSTITUTE(G902," ","-"),"/","-"),CHAR(39),"")),"")&amp;IF(I902="Duplicate","_Dub"&amp;IF(SUMPRODUCT(($B$2:B902=B902)*($D$2:D902=D902)*($E$2:E902=E902)*($F$2:F902=F902)*($G$2:G902=G902)*($I$2:I902="Duplicate"))&lt;=1,"",SUMPRODUCT(($B$2:B902=B902)*($D$2:D902=D902)*($E$2:E902=E902)*($F$2:F902=F902)*($G$2:G902=G902)*($I$2:I902="Duplicate"))-1),"")&amp;".jpeg")</f>
        <v/>
      </c>
      <c r="L902" s="6"/>
      <c r="M902" s="5" t="str">
        <f>IFERROR(VLOOKUP(E902,Specifications!$A$2:$D$9,2,FALSE),"")</f>
        <v/>
      </c>
      <c r="N902" s="5" t="str">
        <f>IFERROR(VLOOKUP(E902,Specifications!$A$2:$D$9,3,FALSE),"")</f>
        <v/>
      </c>
      <c r="O902" s="5" t="str">
        <f>IFERROR(VLOOKUP(E902,Specifications!$A$2:$D$9,4,FALSE),"")</f>
        <v/>
      </c>
      <c r="P902" s="8" t="str">
        <f t="shared" si="45"/>
        <v/>
      </c>
      <c r="Q902" s="9"/>
    </row>
    <row r="903" spans="1:17" ht="15">
      <c r="A903" s="5" t="str">
        <f t="shared" si="43"/>
        <v/>
      </c>
      <c r="B903" s="6"/>
      <c r="C903" s="5" t="str">
        <f>IFERROR(VLOOKUP(B903,Lists!$A$2:$B$25,2,FALSE),"")</f>
        <v/>
      </c>
      <c r="D903" s="7"/>
      <c r="E903" s="6"/>
      <c r="F903" s="6" t="str">
        <f t="shared" si="44"/>
        <v/>
      </c>
      <c r="G903" s="6"/>
      <c r="H903" s="6"/>
      <c r="I903" s="6"/>
      <c r="J903" s="7"/>
      <c r="K903" s="5" t="str" cm="1">
        <f t="array" ref="K903">IF(OR(A903="",B903="",D903="",E903=""),"",A903&amp;"_"&amp;SUBSTITUTE(B903," ","-")&amp;"_"&amp;D903&amp;"_"&amp;SUBSTITUTE(SUBSTITUTE(E903," ",""),"€","Euro")&amp;"_"&amp;IF(F903="","Unknown",F903)&amp;IF(F903="Commemorative",IF(G903="","","_"&amp;SUBSTITUTE(SUBSTITUTE(SUBSTITUTE(G903," ","-"),"/","-"),CHAR(39),"")),"")&amp;IF(I903="Duplicate","_Dub"&amp;IF(SUMPRODUCT(($B$2:B903=B903)*($D$2:D903=D903)*($E$2:E903=E903)*($F$2:F903=F903)*($G$2:G903=G903)*($I$2:I903="Duplicate"))&lt;=1,"",SUMPRODUCT(($B$2:B903=B903)*($D$2:D903=D903)*($E$2:E903=E903)*($F$2:F903=F903)*($G$2:G903=G903)*($I$2:I903="Duplicate"))-1),"")&amp;".jpeg")</f>
        <v/>
      </c>
      <c r="L903" s="6"/>
      <c r="M903" s="5" t="str">
        <f>IFERROR(VLOOKUP(E903,Specifications!$A$2:$D$9,2,FALSE),"")</f>
        <v/>
      </c>
      <c r="N903" s="5" t="str">
        <f>IFERROR(VLOOKUP(E903,Specifications!$A$2:$D$9,3,FALSE),"")</f>
        <v/>
      </c>
      <c r="O903" s="5" t="str">
        <f>IFERROR(VLOOKUP(E903,Specifications!$A$2:$D$9,4,FALSE),"")</f>
        <v/>
      </c>
      <c r="P903" s="8" t="str">
        <f t="shared" si="45"/>
        <v/>
      </c>
      <c r="Q903" s="9"/>
    </row>
    <row r="904" spans="1:17" ht="15">
      <c r="A904" s="5" t="str">
        <f t="shared" si="43"/>
        <v/>
      </c>
      <c r="B904" s="6"/>
      <c r="C904" s="5" t="str">
        <f>IFERROR(VLOOKUP(B904,Lists!$A$2:$B$25,2,FALSE),"")</f>
        <v/>
      </c>
      <c r="D904" s="7"/>
      <c r="E904" s="6"/>
      <c r="F904" s="6" t="str">
        <f t="shared" si="44"/>
        <v/>
      </c>
      <c r="G904" s="6"/>
      <c r="H904" s="6"/>
      <c r="I904" s="6"/>
      <c r="J904" s="7"/>
      <c r="K904" s="5" t="str" cm="1">
        <f t="array" ref="K904">IF(OR(A904="",B904="",D904="",E904=""),"",A904&amp;"_"&amp;SUBSTITUTE(B904," ","-")&amp;"_"&amp;D904&amp;"_"&amp;SUBSTITUTE(SUBSTITUTE(E904," ",""),"€","Euro")&amp;"_"&amp;IF(F904="","Unknown",F904)&amp;IF(F904="Commemorative",IF(G904="","","_"&amp;SUBSTITUTE(SUBSTITUTE(SUBSTITUTE(G904," ","-"),"/","-"),CHAR(39),"")),"")&amp;IF(I904="Duplicate","_Dub"&amp;IF(SUMPRODUCT(($B$2:B904=B904)*($D$2:D904=D904)*($E$2:E904=E904)*($F$2:F904=F904)*($G$2:G904=G904)*($I$2:I904="Duplicate"))&lt;=1,"",SUMPRODUCT(($B$2:B904=B904)*($D$2:D904=D904)*($E$2:E904=E904)*($F$2:F904=F904)*($G$2:G904=G904)*($I$2:I904="Duplicate"))-1),"")&amp;".jpeg")</f>
        <v/>
      </c>
      <c r="L904" s="6"/>
      <c r="M904" s="5" t="str">
        <f>IFERROR(VLOOKUP(E904,Specifications!$A$2:$D$9,2,FALSE),"")</f>
        <v/>
      </c>
      <c r="N904" s="5" t="str">
        <f>IFERROR(VLOOKUP(E904,Specifications!$A$2:$D$9,3,FALSE),"")</f>
        <v/>
      </c>
      <c r="O904" s="5" t="str">
        <f>IFERROR(VLOOKUP(E904,Specifications!$A$2:$D$9,4,FALSE),"")</f>
        <v/>
      </c>
      <c r="P904" s="8" t="str">
        <f t="shared" si="45"/>
        <v/>
      </c>
      <c r="Q904" s="9"/>
    </row>
    <row r="905" spans="1:17" ht="15">
      <c r="A905" s="5" t="str">
        <f t="shared" si="43"/>
        <v/>
      </c>
      <c r="B905" s="6"/>
      <c r="C905" s="5" t="str">
        <f>IFERROR(VLOOKUP(B905,Lists!$A$2:$B$25,2,FALSE),"")</f>
        <v/>
      </c>
      <c r="D905" s="7"/>
      <c r="E905" s="6"/>
      <c r="F905" s="6" t="str">
        <f t="shared" si="44"/>
        <v/>
      </c>
      <c r="G905" s="6"/>
      <c r="H905" s="6"/>
      <c r="I905" s="6"/>
      <c r="J905" s="7"/>
      <c r="K905" s="5" t="str" cm="1">
        <f t="array" ref="K905">IF(OR(A905="",B905="",D905="",E905=""),"",A905&amp;"_"&amp;SUBSTITUTE(B905," ","-")&amp;"_"&amp;D905&amp;"_"&amp;SUBSTITUTE(SUBSTITUTE(E905," ",""),"€","Euro")&amp;"_"&amp;IF(F905="","Unknown",F905)&amp;IF(F905="Commemorative",IF(G905="","","_"&amp;SUBSTITUTE(SUBSTITUTE(SUBSTITUTE(G905," ","-"),"/","-"),CHAR(39),"")),"")&amp;IF(I905="Duplicate","_Dub"&amp;IF(SUMPRODUCT(($B$2:B905=B905)*($D$2:D905=D905)*($E$2:E905=E905)*($F$2:F905=F905)*($G$2:G905=G905)*($I$2:I905="Duplicate"))&lt;=1,"",SUMPRODUCT(($B$2:B905=B905)*($D$2:D905=D905)*($E$2:E905=E905)*($F$2:F905=F905)*($G$2:G905=G905)*($I$2:I905="Duplicate"))-1),"")&amp;".jpeg")</f>
        <v/>
      </c>
      <c r="L905" s="6"/>
      <c r="M905" s="5" t="str">
        <f>IFERROR(VLOOKUP(E905,Specifications!$A$2:$D$9,2,FALSE),"")</f>
        <v/>
      </c>
      <c r="N905" s="5" t="str">
        <f>IFERROR(VLOOKUP(E905,Specifications!$A$2:$D$9,3,FALSE),"")</f>
        <v/>
      </c>
      <c r="O905" s="5" t="str">
        <f>IFERROR(VLOOKUP(E905,Specifications!$A$2:$D$9,4,FALSE),"")</f>
        <v/>
      </c>
      <c r="P905" s="8" t="str">
        <f t="shared" si="45"/>
        <v/>
      </c>
      <c r="Q905" s="9"/>
    </row>
    <row r="906" spans="1:17" ht="15">
      <c r="A906" s="5" t="str">
        <f t="shared" si="43"/>
        <v/>
      </c>
      <c r="B906" s="6"/>
      <c r="C906" s="5" t="str">
        <f>IFERROR(VLOOKUP(B906,Lists!$A$2:$B$25,2,FALSE),"")</f>
        <v/>
      </c>
      <c r="D906" s="7"/>
      <c r="E906" s="6"/>
      <c r="F906" s="6" t="str">
        <f t="shared" si="44"/>
        <v/>
      </c>
      <c r="G906" s="6"/>
      <c r="H906" s="6"/>
      <c r="I906" s="6"/>
      <c r="J906" s="7"/>
      <c r="K906" s="5" t="str" cm="1">
        <f t="array" ref="K906">IF(OR(A906="",B906="",D906="",E906=""),"",A906&amp;"_"&amp;SUBSTITUTE(B906," ","-")&amp;"_"&amp;D906&amp;"_"&amp;SUBSTITUTE(SUBSTITUTE(E906," ",""),"€","Euro")&amp;"_"&amp;IF(F906="","Unknown",F906)&amp;IF(F906="Commemorative",IF(G906="","","_"&amp;SUBSTITUTE(SUBSTITUTE(SUBSTITUTE(G906," ","-"),"/","-"),CHAR(39),"")),"")&amp;IF(I906="Duplicate","_Dub"&amp;IF(SUMPRODUCT(($B$2:B906=B906)*($D$2:D906=D906)*($E$2:E906=E906)*($F$2:F906=F906)*($G$2:G906=G906)*($I$2:I906="Duplicate"))&lt;=1,"",SUMPRODUCT(($B$2:B906=B906)*($D$2:D906=D906)*($E$2:E906=E906)*($F$2:F906=F906)*($G$2:G906=G906)*($I$2:I906="Duplicate"))-1),"")&amp;".jpeg")</f>
        <v/>
      </c>
      <c r="L906" s="6"/>
      <c r="M906" s="5" t="str">
        <f>IFERROR(VLOOKUP(E906,Specifications!$A$2:$D$9,2,FALSE),"")</f>
        <v/>
      </c>
      <c r="N906" s="5" t="str">
        <f>IFERROR(VLOOKUP(E906,Specifications!$A$2:$D$9,3,FALSE),"")</f>
        <v/>
      </c>
      <c r="O906" s="5" t="str">
        <f>IFERROR(VLOOKUP(E906,Specifications!$A$2:$D$9,4,FALSE),"")</f>
        <v/>
      </c>
      <c r="P906" s="8" t="str">
        <f t="shared" si="45"/>
        <v/>
      </c>
      <c r="Q906" s="9"/>
    </row>
    <row r="907" spans="1:17" ht="15">
      <c r="A907" s="5" t="str">
        <f t="shared" si="43"/>
        <v/>
      </c>
      <c r="B907" s="6"/>
      <c r="C907" s="5" t="str">
        <f>IFERROR(VLOOKUP(B907,Lists!$A$2:$B$25,2,FALSE),"")</f>
        <v/>
      </c>
      <c r="D907" s="7"/>
      <c r="E907" s="6"/>
      <c r="F907" s="6" t="str">
        <f t="shared" si="44"/>
        <v/>
      </c>
      <c r="G907" s="6"/>
      <c r="H907" s="6"/>
      <c r="I907" s="6"/>
      <c r="J907" s="7"/>
      <c r="K907" s="5" t="str" cm="1">
        <f t="array" ref="K907">IF(OR(A907="",B907="",D907="",E907=""),"",A907&amp;"_"&amp;SUBSTITUTE(B907," ","-")&amp;"_"&amp;D907&amp;"_"&amp;SUBSTITUTE(SUBSTITUTE(E907," ",""),"€","Euro")&amp;"_"&amp;IF(F907="","Unknown",F907)&amp;IF(F907="Commemorative",IF(G907="","","_"&amp;SUBSTITUTE(SUBSTITUTE(SUBSTITUTE(G907," ","-"),"/","-"),CHAR(39),"")),"")&amp;IF(I907="Duplicate","_Dub"&amp;IF(SUMPRODUCT(($B$2:B907=B907)*($D$2:D907=D907)*($E$2:E907=E907)*($F$2:F907=F907)*($G$2:G907=G907)*($I$2:I907="Duplicate"))&lt;=1,"",SUMPRODUCT(($B$2:B907=B907)*($D$2:D907=D907)*($E$2:E907=E907)*($F$2:F907=F907)*($G$2:G907=G907)*($I$2:I907="Duplicate"))-1),"")&amp;".jpeg")</f>
        <v/>
      </c>
      <c r="L907" s="6"/>
      <c r="M907" s="5" t="str">
        <f>IFERROR(VLOOKUP(E907,Specifications!$A$2:$D$9,2,FALSE),"")</f>
        <v/>
      </c>
      <c r="N907" s="5" t="str">
        <f>IFERROR(VLOOKUP(E907,Specifications!$A$2:$D$9,3,FALSE),"")</f>
        <v/>
      </c>
      <c r="O907" s="5" t="str">
        <f>IFERROR(VLOOKUP(E907,Specifications!$A$2:$D$9,4,FALSE),"")</f>
        <v/>
      </c>
      <c r="P907" s="8" t="str">
        <f t="shared" si="45"/>
        <v/>
      </c>
      <c r="Q907" s="9"/>
    </row>
    <row r="908" spans="1:17" ht="15">
      <c r="A908" s="5" t="str">
        <f t="shared" si="43"/>
        <v/>
      </c>
      <c r="B908" s="6"/>
      <c r="C908" s="5" t="str">
        <f>IFERROR(VLOOKUP(B908,Lists!$A$2:$B$25,2,FALSE),"")</f>
        <v/>
      </c>
      <c r="D908" s="7"/>
      <c r="E908" s="6"/>
      <c r="F908" s="6" t="str">
        <f t="shared" si="44"/>
        <v/>
      </c>
      <c r="G908" s="6"/>
      <c r="H908" s="6"/>
      <c r="I908" s="6"/>
      <c r="J908" s="7"/>
      <c r="K908" s="5" t="str" cm="1">
        <f t="array" ref="K908">IF(OR(A908="",B908="",D908="",E908=""),"",A908&amp;"_"&amp;SUBSTITUTE(B908," ","-")&amp;"_"&amp;D908&amp;"_"&amp;SUBSTITUTE(SUBSTITUTE(E908," ",""),"€","Euro")&amp;"_"&amp;IF(F908="","Unknown",F908)&amp;IF(F908="Commemorative",IF(G908="","","_"&amp;SUBSTITUTE(SUBSTITUTE(SUBSTITUTE(G908," ","-"),"/","-"),CHAR(39),"")),"")&amp;IF(I908="Duplicate","_Dub"&amp;IF(SUMPRODUCT(($B$2:B908=B908)*($D$2:D908=D908)*($E$2:E908=E908)*($F$2:F908=F908)*($G$2:G908=G908)*($I$2:I908="Duplicate"))&lt;=1,"",SUMPRODUCT(($B$2:B908=B908)*($D$2:D908=D908)*($E$2:E908=E908)*($F$2:F908=F908)*($G$2:G908=G908)*($I$2:I908="Duplicate"))-1),"")&amp;".jpeg")</f>
        <v/>
      </c>
      <c r="L908" s="6"/>
      <c r="M908" s="5" t="str">
        <f>IFERROR(VLOOKUP(E908,Specifications!$A$2:$D$9,2,FALSE),"")</f>
        <v/>
      </c>
      <c r="N908" s="5" t="str">
        <f>IFERROR(VLOOKUP(E908,Specifications!$A$2:$D$9,3,FALSE),"")</f>
        <v/>
      </c>
      <c r="O908" s="5" t="str">
        <f>IFERROR(VLOOKUP(E908,Specifications!$A$2:$D$9,4,FALSE),"")</f>
        <v/>
      </c>
      <c r="P908" s="8" t="str">
        <f t="shared" si="45"/>
        <v/>
      </c>
      <c r="Q908" s="9"/>
    </row>
    <row r="909" spans="1:17" ht="15">
      <c r="A909" s="5" t="str">
        <f t="shared" si="43"/>
        <v/>
      </c>
      <c r="B909" s="6"/>
      <c r="C909" s="5" t="str">
        <f>IFERROR(VLOOKUP(B909,Lists!$A$2:$B$25,2,FALSE),"")</f>
        <v/>
      </c>
      <c r="D909" s="7"/>
      <c r="E909" s="6"/>
      <c r="F909" s="6" t="str">
        <f t="shared" si="44"/>
        <v/>
      </c>
      <c r="G909" s="6"/>
      <c r="H909" s="6"/>
      <c r="I909" s="6"/>
      <c r="J909" s="7"/>
      <c r="K909" s="5" t="str" cm="1">
        <f t="array" ref="K909">IF(OR(A909="",B909="",D909="",E909=""),"",A909&amp;"_"&amp;SUBSTITUTE(B909," ","-")&amp;"_"&amp;D909&amp;"_"&amp;SUBSTITUTE(SUBSTITUTE(E909," ",""),"€","Euro")&amp;"_"&amp;IF(F909="","Unknown",F909)&amp;IF(F909="Commemorative",IF(G909="","","_"&amp;SUBSTITUTE(SUBSTITUTE(SUBSTITUTE(G909," ","-"),"/","-"),CHAR(39),"")),"")&amp;IF(I909="Duplicate","_Dub"&amp;IF(SUMPRODUCT(($B$2:B909=B909)*($D$2:D909=D909)*($E$2:E909=E909)*($F$2:F909=F909)*($G$2:G909=G909)*($I$2:I909="Duplicate"))&lt;=1,"",SUMPRODUCT(($B$2:B909=B909)*($D$2:D909=D909)*($E$2:E909=E909)*($F$2:F909=F909)*($G$2:G909=G909)*($I$2:I909="Duplicate"))-1),"")&amp;".jpeg")</f>
        <v/>
      </c>
      <c r="L909" s="6"/>
      <c r="M909" s="5" t="str">
        <f>IFERROR(VLOOKUP(E909,Specifications!$A$2:$D$9,2,FALSE),"")</f>
        <v/>
      </c>
      <c r="N909" s="5" t="str">
        <f>IFERROR(VLOOKUP(E909,Specifications!$A$2:$D$9,3,FALSE),"")</f>
        <v/>
      </c>
      <c r="O909" s="5" t="str">
        <f>IFERROR(VLOOKUP(E909,Specifications!$A$2:$D$9,4,FALSE),"")</f>
        <v/>
      </c>
      <c r="P909" s="8" t="str">
        <f t="shared" si="45"/>
        <v/>
      </c>
      <c r="Q909" s="9"/>
    </row>
    <row r="910" spans="1:17" ht="15">
      <c r="A910" s="5" t="str">
        <f t="shared" si="43"/>
        <v/>
      </c>
      <c r="B910" s="6"/>
      <c r="C910" s="5" t="str">
        <f>IFERROR(VLOOKUP(B910,Lists!$A$2:$B$25,2,FALSE),"")</f>
        <v/>
      </c>
      <c r="D910" s="7"/>
      <c r="E910" s="6"/>
      <c r="F910" s="6" t="str">
        <f t="shared" si="44"/>
        <v/>
      </c>
      <c r="G910" s="6"/>
      <c r="H910" s="6"/>
      <c r="I910" s="6"/>
      <c r="J910" s="7"/>
      <c r="K910" s="5" t="str" cm="1">
        <f t="array" ref="K910">IF(OR(A910="",B910="",D910="",E910=""),"",A910&amp;"_"&amp;SUBSTITUTE(B910," ","-")&amp;"_"&amp;D910&amp;"_"&amp;SUBSTITUTE(SUBSTITUTE(E910," ",""),"€","Euro")&amp;"_"&amp;IF(F910="","Unknown",F910)&amp;IF(F910="Commemorative",IF(G910="","","_"&amp;SUBSTITUTE(SUBSTITUTE(SUBSTITUTE(G910," ","-"),"/","-"),CHAR(39),"")),"")&amp;IF(I910="Duplicate","_Dub"&amp;IF(SUMPRODUCT(($B$2:B910=B910)*($D$2:D910=D910)*($E$2:E910=E910)*($F$2:F910=F910)*($G$2:G910=G910)*($I$2:I910="Duplicate"))&lt;=1,"",SUMPRODUCT(($B$2:B910=B910)*($D$2:D910=D910)*($E$2:E910=E910)*($F$2:F910=F910)*($G$2:G910=G910)*($I$2:I910="Duplicate"))-1),"")&amp;".jpeg")</f>
        <v/>
      </c>
      <c r="L910" s="6"/>
      <c r="M910" s="5" t="str">
        <f>IFERROR(VLOOKUP(E910,Specifications!$A$2:$D$9,2,FALSE),"")</f>
        <v/>
      </c>
      <c r="N910" s="5" t="str">
        <f>IFERROR(VLOOKUP(E910,Specifications!$A$2:$D$9,3,FALSE),"")</f>
        <v/>
      </c>
      <c r="O910" s="5" t="str">
        <f>IFERROR(VLOOKUP(E910,Specifications!$A$2:$D$9,4,FALSE),"")</f>
        <v/>
      </c>
      <c r="P910" s="8" t="str">
        <f t="shared" si="45"/>
        <v/>
      </c>
      <c r="Q910" s="9"/>
    </row>
    <row r="911" spans="1:17" ht="15">
      <c r="A911" s="5" t="str">
        <f t="shared" si="43"/>
        <v/>
      </c>
      <c r="B911" s="6"/>
      <c r="C911" s="5" t="str">
        <f>IFERROR(VLOOKUP(B911,Lists!$A$2:$B$25,2,FALSE),"")</f>
        <v/>
      </c>
      <c r="D911" s="7"/>
      <c r="E911" s="6"/>
      <c r="F911" s="6" t="str">
        <f t="shared" si="44"/>
        <v/>
      </c>
      <c r="G911" s="6"/>
      <c r="H911" s="6"/>
      <c r="I911" s="6"/>
      <c r="J911" s="7"/>
      <c r="K911" s="5" t="str" cm="1">
        <f t="array" ref="K911">IF(OR(A911="",B911="",D911="",E911=""),"",A911&amp;"_"&amp;SUBSTITUTE(B911," ","-")&amp;"_"&amp;D911&amp;"_"&amp;SUBSTITUTE(SUBSTITUTE(E911," ",""),"€","Euro")&amp;"_"&amp;IF(F911="","Unknown",F911)&amp;IF(F911="Commemorative",IF(G911="","","_"&amp;SUBSTITUTE(SUBSTITUTE(SUBSTITUTE(G911," ","-"),"/","-"),CHAR(39),"")),"")&amp;IF(I911="Duplicate","_Dub"&amp;IF(SUMPRODUCT(($B$2:B911=B911)*($D$2:D911=D911)*($E$2:E911=E911)*($F$2:F911=F911)*($G$2:G911=G911)*($I$2:I911="Duplicate"))&lt;=1,"",SUMPRODUCT(($B$2:B911=B911)*($D$2:D911=D911)*($E$2:E911=E911)*($F$2:F911=F911)*($G$2:G911=G911)*($I$2:I911="Duplicate"))-1),"")&amp;".jpeg")</f>
        <v/>
      </c>
      <c r="L911" s="6"/>
      <c r="M911" s="5" t="str">
        <f>IFERROR(VLOOKUP(E911,Specifications!$A$2:$D$9,2,FALSE),"")</f>
        <v/>
      </c>
      <c r="N911" s="5" t="str">
        <f>IFERROR(VLOOKUP(E911,Specifications!$A$2:$D$9,3,FALSE),"")</f>
        <v/>
      </c>
      <c r="O911" s="5" t="str">
        <f>IFERROR(VLOOKUP(E911,Specifications!$A$2:$D$9,4,FALSE),"")</f>
        <v/>
      </c>
      <c r="P911" s="8" t="str">
        <f t="shared" si="45"/>
        <v/>
      </c>
      <c r="Q911" s="9"/>
    </row>
    <row r="912" spans="1:17" ht="15">
      <c r="A912" s="5" t="str">
        <f t="shared" si="43"/>
        <v/>
      </c>
      <c r="B912" s="6"/>
      <c r="C912" s="5" t="str">
        <f>IFERROR(VLOOKUP(B912,Lists!$A$2:$B$25,2,FALSE),"")</f>
        <v/>
      </c>
      <c r="D912" s="7"/>
      <c r="E912" s="6"/>
      <c r="F912" s="6" t="str">
        <f t="shared" si="44"/>
        <v/>
      </c>
      <c r="G912" s="6"/>
      <c r="H912" s="6"/>
      <c r="I912" s="6"/>
      <c r="J912" s="7"/>
      <c r="K912" s="5" t="str" cm="1">
        <f t="array" ref="K912">IF(OR(A912="",B912="",D912="",E912=""),"",A912&amp;"_"&amp;SUBSTITUTE(B912," ","-")&amp;"_"&amp;D912&amp;"_"&amp;SUBSTITUTE(SUBSTITUTE(E912," ",""),"€","Euro")&amp;"_"&amp;IF(F912="","Unknown",F912)&amp;IF(F912="Commemorative",IF(G912="","","_"&amp;SUBSTITUTE(SUBSTITUTE(SUBSTITUTE(G912," ","-"),"/","-"),CHAR(39),"")),"")&amp;IF(I912="Duplicate","_Dub"&amp;IF(SUMPRODUCT(($B$2:B912=B912)*($D$2:D912=D912)*($E$2:E912=E912)*($F$2:F912=F912)*($G$2:G912=G912)*($I$2:I912="Duplicate"))&lt;=1,"",SUMPRODUCT(($B$2:B912=B912)*($D$2:D912=D912)*($E$2:E912=E912)*($F$2:F912=F912)*($G$2:G912=G912)*($I$2:I912="Duplicate"))-1),"")&amp;".jpeg")</f>
        <v/>
      </c>
      <c r="L912" s="6"/>
      <c r="M912" s="5" t="str">
        <f>IFERROR(VLOOKUP(E912,Specifications!$A$2:$D$9,2,FALSE),"")</f>
        <v/>
      </c>
      <c r="N912" s="5" t="str">
        <f>IFERROR(VLOOKUP(E912,Specifications!$A$2:$D$9,3,FALSE),"")</f>
        <v/>
      </c>
      <c r="O912" s="5" t="str">
        <f>IFERROR(VLOOKUP(E912,Specifications!$A$2:$D$9,4,FALSE),"")</f>
        <v/>
      </c>
      <c r="P912" s="8" t="str">
        <f t="shared" si="45"/>
        <v/>
      </c>
      <c r="Q912" s="9"/>
    </row>
    <row r="913" spans="1:17" ht="15">
      <c r="A913" s="5" t="str">
        <f t="shared" si="43"/>
        <v/>
      </c>
      <c r="B913" s="6"/>
      <c r="C913" s="5" t="str">
        <f>IFERROR(VLOOKUP(B913,Lists!$A$2:$B$25,2,FALSE),"")</f>
        <v/>
      </c>
      <c r="D913" s="7"/>
      <c r="E913" s="6"/>
      <c r="F913" s="6" t="str">
        <f t="shared" si="44"/>
        <v/>
      </c>
      <c r="G913" s="6"/>
      <c r="H913" s="6"/>
      <c r="I913" s="6"/>
      <c r="J913" s="7"/>
      <c r="K913" s="5" t="str" cm="1">
        <f t="array" ref="K913">IF(OR(A913="",B913="",D913="",E913=""),"",A913&amp;"_"&amp;SUBSTITUTE(B913," ","-")&amp;"_"&amp;D913&amp;"_"&amp;SUBSTITUTE(SUBSTITUTE(E913," ",""),"€","Euro")&amp;"_"&amp;IF(F913="","Unknown",F913)&amp;IF(F913="Commemorative",IF(G913="","","_"&amp;SUBSTITUTE(SUBSTITUTE(SUBSTITUTE(G913," ","-"),"/","-"),CHAR(39),"")),"")&amp;IF(I913="Duplicate","_Dub"&amp;IF(SUMPRODUCT(($B$2:B913=B913)*($D$2:D913=D913)*($E$2:E913=E913)*($F$2:F913=F913)*($G$2:G913=G913)*($I$2:I913="Duplicate"))&lt;=1,"",SUMPRODUCT(($B$2:B913=B913)*($D$2:D913=D913)*($E$2:E913=E913)*($F$2:F913=F913)*($G$2:G913=G913)*($I$2:I913="Duplicate"))-1),"")&amp;".jpeg")</f>
        <v/>
      </c>
      <c r="L913" s="6"/>
      <c r="M913" s="5" t="str">
        <f>IFERROR(VLOOKUP(E913,Specifications!$A$2:$D$9,2,FALSE),"")</f>
        <v/>
      </c>
      <c r="N913" s="5" t="str">
        <f>IFERROR(VLOOKUP(E913,Specifications!$A$2:$D$9,3,FALSE),"")</f>
        <v/>
      </c>
      <c r="O913" s="5" t="str">
        <f>IFERROR(VLOOKUP(E913,Specifications!$A$2:$D$9,4,FALSE),"")</f>
        <v/>
      </c>
      <c r="P913" s="8" t="str">
        <f t="shared" si="45"/>
        <v/>
      </c>
      <c r="Q913" s="9"/>
    </row>
    <row r="914" spans="1:17" ht="15">
      <c r="A914" s="5" t="str">
        <f t="shared" si="43"/>
        <v/>
      </c>
      <c r="B914" s="6"/>
      <c r="C914" s="5" t="str">
        <f>IFERROR(VLOOKUP(B914,Lists!$A$2:$B$25,2,FALSE),"")</f>
        <v/>
      </c>
      <c r="D914" s="7"/>
      <c r="E914" s="6"/>
      <c r="F914" s="6" t="str">
        <f t="shared" si="44"/>
        <v/>
      </c>
      <c r="G914" s="6"/>
      <c r="H914" s="6"/>
      <c r="I914" s="6"/>
      <c r="J914" s="7"/>
      <c r="K914" s="5" t="str" cm="1">
        <f t="array" ref="K914">IF(OR(A914="",B914="",D914="",E914=""),"",A914&amp;"_"&amp;SUBSTITUTE(B914," ","-")&amp;"_"&amp;D914&amp;"_"&amp;SUBSTITUTE(SUBSTITUTE(E914," ",""),"€","Euro")&amp;"_"&amp;IF(F914="","Unknown",F914)&amp;IF(F914="Commemorative",IF(G914="","","_"&amp;SUBSTITUTE(SUBSTITUTE(SUBSTITUTE(G914," ","-"),"/","-"),CHAR(39),"")),"")&amp;IF(I914="Duplicate","_Dub"&amp;IF(SUMPRODUCT(($B$2:B914=B914)*($D$2:D914=D914)*($E$2:E914=E914)*($F$2:F914=F914)*($G$2:G914=G914)*($I$2:I914="Duplicate"))&lt;=1,"",SUMPRODUCT(($B$2:B914=B914)*($D$2:D914=D914)*($E$2:E914=E914)*($F$2:F914=F914)*($G$2:G914=G914)*($I$2:I914="Duplicate"))-1),"")&amp;".jpeg")</f>
        <v/>
      </c>
      <c r="L914" s="6"/>
      <c r="M914" s="5" t="str">
        <f>IFERROR(VLOOKUP(E914,Specifications!$A$2:$D$9,2,FALSE),"")</f>
        <v/>
      </c>
      <c r="N914" s="5" t="str">
        <f>IFERROR(VLOOKUP(E914,Specifications!$A$2:$D$9,3,FALSE),"")</f>
        <v/>
      </c>
      <c r="O914" s="5" t="str">
        <f>IFERROR(VLOOKUP(E914,Specifications!$A$2:$D$9,4,FALSE),"")</f>
        <v/>
      </c>
      <c r="P914" s="8" t="str">
        <f t="shared" si="45"/>
        <v/>
      </c>
      <c r="Q914" s="9"/>
    </row>
    <row r="915" spans="1:17" ht="15">
      <c r="A915" s="5" t="str">
        <f t="shared" si="43"/>
        <v/>
      </c>
      <c r="B915" s="6"/>
      <c r="C915" s="5" t="str">
        <f>IFERROR(VLOOKUP(B915,Lists!$A$2:$B$25,2,FALSE),"")</f>
        <v/>
      </c>
      <c r="D915" s="7"/>
      <c r="E915" s="6"/>
      <c r="F915" s="6" t="str">
        <f t="shared" si="44"/>
        <v/>
      </c>
      <c r="G915" s="6"/>
      <c r="H915" s="6"/>
      <c r="I915" s="6"/>
      <c r="J915" s="7"/>
      <c r="K915" s="5" t="str" cm="1">
        <f t="array" ref="K915">IF(OR(A915="",B915="",D915="",E915=""),"",A915&amp;"_"&amp;SUBSTITUTE(B915," ","-")&amp;"_"&amp;D915&amp;"_"&amp;SUBSTITUTE(SUBSTITUTE(E915," ",""),"€","Euro")&amp;"_"&amp;IF(F915="","Unknown",F915)&amp;IF(F915="Commemorative",IF(G915="","","_"&amp;SUBSTITUTE(SUBSTITUTE(SUBSTITUTE(G915," ","-"),"/","-"),CHAR(39),"")),"")&amp;IF(I915="Duplicate","_Dub"&amp;IF(SUMPRODUCT(($B$2:B915=B915)*($D$2:D915=D915)*($E$2:E915=E915)*($F$2:F915=F915)*($G$2:G915=G915)*($I$2:I915="Duplicate"))&lt;=1,"",SUMPRODUCT(($B$2:B915=B915)*($D$2:D915=D915)*($E$2:E915=E915)*($F$2:F915=F915)*($G$2:G915=G915)*($I$2:I915="Duplicate"))-1),"")&amp;".jpeg")</f>
        <v/>
      </c>
      <c r="L915" s="6"/>
      <c r="M915" s="5" t="str">
        <f>IFERROR(VLOOKUP(E915,Specifications!$A$2:$D$9,2,FALSE),"")</f>
        <v/>
      </c>
      <c r="N915" s="5" t="str">
        <f>IFERROR(VLOOKUP(E915,Specifications!$A$2:$D$9,3,FALSE),"")</f>
        <v/>
      </c>
      <c r="O915" s="5" t="str">
        <f>IFERROR(VLOOKUP(E915,Specifications!$A$2:$D$9,4,FALSE),"")</f>
        <v/>
      </c>
      <c r="P915" s="8" t="str">
        <f t="shared" si="45"/>
        <v/>
      </c>
      <c r="Q915" s="9"/>
    </row>
    <row r="916" spans="1:17" ht="15">
      <c r="A916" s="5" t="str">
        <f t="shared" si="43"/>
        <v/>
      </c>
      <c r="B916" s="6"/>
      <c r="C916" s="5" t="str">
        <f>IFERROR(VLOOKUP(B916,Lists!$A$2:$B$25,2,FALSE),"")</f>
        <v/>
      </c>
      <c r="D916" s="7"/>
      <c r="E916" s="6"/>
      <c r="F916" s="6" t="str">
        <f t="shared" si="44"/>
        <v/>
      </c>
      <c r="G916" s="6"/>
      <c r="H916" s="6"/>
      <c r="I916" s="6"/>
      <c r="J916" s="7"/>
      <c r="K916" s="5" t="str" cm="1">
        <f t="array" ref="K916">IF(OR(A916="",B916="",D916="",E916=""),"",A916&amp;"_"&amp;SUBSTITUTE(B916," ","-")&amp;"_"&amp;D916&amp;"_"&amp;SUBSTITUTE(SUBSTITUTE(E916," ",""),"€","Euro")&amp;"_"&amp;IF(F916="","Unknown",F916)&amp;IF(F916="Commemorative",IF(G916="","","_"&amp;SUBSTITUTE(SUBSTITUTE(SUBSTITUTE(G916," ","-"),"/","-"),CHAR(39),"")),"")&amp;IF(I916="Duplicate","_Dub"&amp;IF(SUMPRODUCT(($B$2:B916=B916)*($D$2:D916=D916)*($E$2:E916=E916)*($F$2:F916=F916)*($G$2:G916=G916)*($I$2:I916="Duplicate"))&lt;=1,"",SUMPRODUCT(($B$2:B916=B916)*($D$2:D916=D916)*($E$2:E916=E916)*($F$2:F916=F916)*($G$2:G916=G916)*($I$2:I916="Duplicate"))-1),"")&amp;".jpeg")</f>
        <v/>
      </c>
      <c r="L916" s="6"/>
      <c r="M916" s="5" t="str">
        <f>IFERROR(VLOOKUP(E916,Specifications!$A$2:$D$9,2,FALSE),"")</f>
        <v/>
      </c>
      <c r="N916" s="5" t="str">
        <f>IFERROR(VLOOKUP(E916,Specifications!$A$2:$D$9,3,FALSE),"")</f>
        <v/>
      </c>
      <c r="O916" s="5" t="str">
        <f>IFERROR(VLOOKUP(E916,Specifications!$A$2:$D$9,4,FALSE),"")</f>
        <v/>
      </c>
      <c r="P916" s="8" t="str">
        <f t="shared" si="45"/>
        <v/>
      </c>
      <c r="Q916" s="9"/>
    </row>
    <row r="917" spans="1:17" ht="15">
      <c r="A917" s="5" t="str">
        <f t="shared" si="43"/>
        <v/>
      </c>
      <c r="B917" s="6"/>
      <c r="C917" s="5" t="str">
        <f>IFERROR(VLOOKUP(B917,Lists!$A$2:$B$25,2,FALSE),"")</f>
        <v/>
      </c>
      <c r="D917" s="7"/>
      <c r="E917" s="6"/>
      <c r="F917" s="6" t="str">
        <f t="shared" si="44"/>
        <v/>
      </c>
      <c r="G917" s="6"/>
      <c r="H917" s="6"/>
      <c r="I917" s="6"/>
      <c r="J917" s="7"/>
      <c r="K917" s="5" t="str" cm="1">
        <f t="array" ref="K917">IF(OR(A917="",B917="",D917="",E917=""),"",A917&amp;"_"&amp;SUBSTITUTE(B917," ","-")&amp;"_"&amp;D917&amp;"_"&amp;SUBSTITUTE(SUBSTITUTE(E917," ",""),"€","Euro")&amp;"_"&amp;IF(F917="","Unknown",F917)&amp;IF(F917="Commemorative",IF(G917="","","_"&amp;SUBSTITUTE(SUBSTITUTE(SUBSTITUTE(G917," ","-"),"/","-"),CHAR(39),"")),"")&amp;IF(I917="Duplicate","_Dub"&amp;IF(SUMPRODUCT(($B$2:B917=B917)*($D$2:D917=D917)*($E$2:E917=E917)*($F$2:F917=F917)*($G$2:G917=G917)*($I$2:I917="Duplicate"))&lt;=1,"",SUMPRODUCT(($B$2:B917=B917)*($D$2:D917=D917)*($E$2:E917=E917)*($F$2:F917=F917)*($G$2:G917=G917)*($I$2:I917="Duplicate"))-1),"")&amp;".jpeg")</f>
        <v/>
      </c>
      <c r="L917" s="6"/>
      <c r="M917" s="5" t="str">
        <f>IFERROR(VLOOKUP(E917,Specifications!$A$2:$D$9,2,FALSE),"")</f>
        <v/>
      </c>
      <c r="N917" s="5" t="str">
        <f>IFERROR(VLOOKUP(E917,Specifications!$A$2:$D$9,3,FALSE),"")</f>
        <v/>
      </c>
      <c r="O917" s="5" t="str">
        <f>IFERROR(VLOOKUP(E917,Specifications!$A$2:$D$9,4,FALSE),"")</f>
        <v/>
      </c>
      <c r="P917" s="8" t="str">
        <f t="shared" si="45"/>
        <v/>
      </c>
      <c r="Q917" s="9"/>
    </row>
    <row r="918" spans="1:17" ht="15">
      <c r="A918" s="5" t="str">
        <f t="shared" si="43"/>
        <v/>
      </c>
      <c r="B918" s="6"/>
      <c r="C918" s="5" t="str">
        <f>IFERROR(VLOOKUP(B918,Lists!$A$2:$B$25,2,FALSE),"")</f>
        <v/>
      </c>
      <c r="D918" s="7"/>
      <c r="E918" s="6"/>
      <c r="F918" s="6" t="str">
        <f t="shared" si="44"/>
        <v/>
      </c>
      <c r="G918" s="6"/>
      <c r="H918" s="6"/>
      <c r="I918" s="6"/>
      <c r="J918" s="7"/>
      <c r="K918" s="5" t="str" cm="1">
        <f t="array" ref="K918">IF(OR(A918="",B918="",D918="",E918=""),"",A918&amp;"_"&amp;SUBSTITUTE(B918," ","-")&amp;"_"&amp;D918&amp;"_"&amp;SUBSTITUTE(SUBSTITUTE(E918," ",""),"€","Euro")&amp;"_"&amp;IF(F918="","Unknown",F918)&amp;IF(F918="Commemorative",IF(G918="","","_"&amp;SUBSTITUTE(SUBSTITUTE(SUBSTITUTE(G918," ","-"),"/","-"),CHAR(39),"")),"")&amp;IF(I918="Duplicate","_Dub"&amp;IF(SUMPRODUCT(($B$2:B918=B918)*($D$2:D918=D918)*($E$2:E918=E918)*($F$2:F918=F918)*($G$2:G918=G918)*($I$2:I918="Duplicate"))&lt;=1,"",SUMPRODUCT(($B$2:B918=B918)*($D$2:D918=D918)*($E$2:E918=E918)*($F$2:F918=F918)*($G$2:G918=G918)*($I$2:I918="Duplicate"))-1),"")&amp;".jpeg")</f>
        <v/>
      </c>
      <c r="L918" s="6"/>
      <c r="M918" s="5" t="str">
        <f>IFERROR(VLOOKUP(E918,Specifications!$A$2:$D$9,2,FALSE),"")</f>
        <v/>
      </c>
      <c r="N918" s="5" t="str">
        <f>IFERROR(VLOOKUP(E918,Specifications!$A$2:$D$9,3,FALSE),"")</f>
        <v/>
      </c>
      <c r="O918" s="5" t="str">
        <f>IFERROR(VLOOKUP(E918,Specifications!$A$2:$D$9,4,FALSE),"")</f>
        <v/>
      </c>
      <c r="P918" s="8" t="str">
        <f t="shared" si="45"/>
        <v/>
      </c>
      <c r="Q918" s="9"/>
    </row>
    <row r="919" spans="1:17" ht="15">
      <c r="A919" s="5" t="str">
        <f t="shared" si="43"/>
        <v/>
      </c>
      <c r="B919" s="6"/>
      <c r="C919" s="5" t="str">
        <f>IFERROR(VLOOKUP(B919,Lists!$A$2:$B$25,2,FALSE),"")</f>
        <v/>
      </c>
      <c r="D919" s="7"/>
      <c r="E919" s="6"/>
      <c r="F919" s="6" t="str">
        <f t="shared" si="44"/>
        <v/>
      </c>
      <c r="G919" s="6"/>
      <c r="H919" s="6"/>
      <c r="I919" s="6"/>
      <c r="J919" s="7"/>
      <c r="K919" s="5" t="str" cm="1">
        <f t="array" ref="K919">IF(OR(A919="",B919="",D919="",E919=""),"",A919&amp;"_"&amp;SUBSTITUTE(B919," ","-")&amp;"_"&amp;D919&amp;"_"&amp;SUBSTITUTE(SUBSTITUTE(E919," ",""),"€","Euro")&amp;"_"&amp;IF(F919="","Unknown",F919)&amp;IF(F919="Commemorative",IF(G919="","","_"&amp;SUBSTITUTE(SUBSTITUTE(SUBSTITUTE(G919," ","-"),"/","-"),CHAR(39),"")),"")&amp;IF(I919="Duplicate","_Dub"&amp;IF(SUMPRODUCT(($B$2:B919=B919)*($D$2:D919=D919)*($E$2:E919=E919)*($F$2:F919=F919)*($G$2:G919=G919)*($I$2:I919="Duplicate"))&lt;=1,"",SUMPRODUCT(($B$2:B919=B919)*($D$2:D919=D919)*($E$2:E919=E919)*($F$2:F919=F919)*($G$2:G919=G919)*($I$2:I919="Duplicate"))-1),"")&amp;".jpeg")</f>
        <v/>
      </c>
      <c r="L919" s="6"/>
      <c r="M919" s="5" t="str">
        <f>IFERROR(VLOOKUP(E919,Specifications!$A$2:$D$9,2,FALSE),"")</f>
        <v/>
      </c>
      <c r="N919" s="5" t="str">
        <f>IFERROR(VLOOKUP(E919,Specifications!$A$2:$D$9,3,FALSE),"")</f>
        <v/>
      </c>
      <c r="O919" s="5" t="str">
        <f>IFERROR(VLOOKUP(E919,Specifications!$A$2:$D$9,4,FALSE),"")</f>
        <v/>
      </c>
      <c r="P919" s="8" t="str">
        <f t="shared" si="45"/>
        <v/>
      </c>
      <c r="Q919" s="9"/>
    </row>
    <row r="920" spans="1:17" ht="15">
      <c r="A920" s="5" t="str">
        <f t="shared" si="43"/>
        <v/>
      </c>
      <c r="B920" s="6"/>
      <c r="C920" s="5" t="str">
        <f>IFERROR(VLOOKUP(B920,Lists!$A$2:$B$25,2,FALSE),"")</f>
        <v/>
      </c>
      <c r="D920" s="7"/>
      <c r="E920" s="6"/>
      <c r="F920" s="6" t="str">
        <f t="shared" si="44"/>
        <v/>
      </c>
      <c r="G920" s="6"/>
      <c r="H920" s="6"/>
      <c r="I920" s="6"/>
      <c r="J920" s="7"/>
      <c r="K920" s="5" t="str" cm="1">
        <f t="array" ref="K920">IF(OR(A920="",B920="",D920="",E920=""),"",A920&amp;"_"&amp;SUBSTITUTE(B920," ","-")&amp;"_"&amp;D920&amp;"_"&amp;SUBSTITUTE(SUBSTITUTE(E920," ",""),"€","Euro")&amp;"_"&amp;IF(F920="","Unknown",F920)&amp;IF(F920="Commemorative",IF(G920="","","_"&amp;SUBSTITUTE(SUBSTITUTE(SUBSTITUTE(G920," ","-"),"/","-"),CHAR(39),"")),"")&amp;IF(I920="Duplicate","_Dub"&amp;IF(SUMPRODUCT(($B$2:B920=B920)*($D$2:D920=D920)*($E$2:E920=E920)*($F$2:F920=F920)*($G$2:G920=G920)*($I$2:I920="Duplicate"))&lt;=1,"",SUMPRODUCT(($B$2:B920=B920)*($D$2:D920=D920)*($E$2:E920=E920)*($F$2:F920=F920)*($G$2:G920=G920)*($I$2:I920="Duplicate"))-1),"")&amp;".jpeg")</f>
        <v/>
      </c>
      <c r="L920" s="6"/>
      <c r="M920" s="5" t="str">
        <f>IFERROR(VLOOKUP(E920,Specifications!$A$2:$D$9,2,FALSE),"")</f>
        <v/>
      </c>
      <c r="N920" s="5" t="str">
        <f>IFERROR(VLOOKUP(E920,Specifications!$A$2:$D$9,3,FALSE),"")</f>
        <v/>
      </c>
      <c r="O920" s="5" t="str">
        <f>IFERROR(VLOOKUP(E920,Specifications!$A$2:$D$9,4,FALSE),"")</f>
        <v/>
      </c>
      <c r="P920" s="8" t="str">
        <f t="shared" si="45"/>
        <v/>
      </c>
      <c r="Q920" s="9"/>
    </row>
    <row r="921" spans="1:17" ht="15">
      <c r="A921" s="5" t="str">
        <f t="shared" si="43"/>
        <v/>
      </c>
      <c r="B921" s="6"/>
      <c r="C921" s="5" t="str">
        <f>IFERROR(VLOOKUP(B921,Lists!$A$2:$B$25,2,FALSE),"")</f>
        <v/>
      </c>
      <c r="D921" s="7"/>
      <c r="E921" s="6"/>
      <c r="F921" s="6" t="str">
        <f t="shared" si="44"/>
        <v/>
      </c>
      <c r="G921" s="6"/>
      <c r="H921" s="6"/>
      <c r="I921" s="6"/>
      <c r="J921" s="7"/>
      <c r="K921" s="5" t="str" cm="1">
        <f t="array" ref="K921">IF(OR(A921="",B921="",D921="",E921=""),"",A921&amp;"_"&amp;SUBSTITUTE(B921," ","-")&amp;"_"&amp;D921&amp;"_"&amp;SUBSTITUTE(SUBSTITUTE(E921," ",""),"€","Euro")&amp;"_"&amp;IF(F921="","Unknown",F921)&amp;IF(F921="Commemorative",IF(G921="","","_"&amp;SUBSTITUTE(SUBSTITUTE(SUBSTITUTE(G921," ","-"),"/","-"),CHAR(39),"")),"")&amp;IF(I921="Duplicate","_Dub"&amp;IF(SUMPRODUCT(($B$2:B921=B921)*($D$2:D921=D921)*($E$2:E921=E921)*($F$2:F921=F921)*($G$2:G921=G921)*($I$2:I921="Duplicate"))&lt;=1,"",SUMPRODUCT(($B$2:B921=B921)*($D$2:D921=D921)*($E$2:E921=E921)*($F$2:F921=F921)*($G$2:G921=G921)*($I$2:I921="Duplicate"))-1),"")&amp;".jpeg")</f>
        <v/>
      </c>
      <c r="L921" s="6"/>
      <c r="M921" s="5" t="str">
        <f>IFERROR(VLOOKUP(E921,Specifications!$A$2:$D$9,2,FALSE),"")</f>
        <v/>
      </c>
      <c r="N921" s="5" t="str">
        <f>IFERROR(VLOOKUP(E921,Specifications!$A$2:$D$9,3,FALSE),"")</f>
        <v/>
      </c>
      <c r="O921" s="5" t="str">
        <f>IFERROR(VLOOKUP(E921,Specifications!$A$2:$D$9,4,FALSE),"")</f>
        <v/>
      </c>
      <c r="P921" s="8" t="str">
        <f t="shared" si="45"/>
        <v/>
      </c>
      <c r="Q921" s="9"/>
    </row>
    <row r="922" spans="1:17" ht="15">
      <c r="A922" s="5" t="str">
        <f t="shared" si="43"/>
        <v/>
      </c>
      <c r="B922" s="6"/>
      <c r="C922" s="5" t="str">
        <f>IFERROR(VLOOKUP(B922,Lists!$A$2:$B$25,2,FALSE),"")</f>
        <v/>
      </c>
      <c r="D922" s="7"/>
      <c r="E922" s="6"/>
      <c r="F922" s="6" t="str">
        <f t="shared" si="44"/>
        <v/>
      </c>
      <c r="G922" s="6"/>
      <c r="H922" s="6"/>
      <c r="I922" s="6"/>
      <c r="J922" s="7"/>
      <c r="K922" s="5" t="str" cm="1">
        <f t="array" ref="K922">IF(OR(A922="",B922="",D922="",E922=""),"",A922&amp;"_"&amp;SUBSTITUTE(B922," ","-")&amp;"_"&amp;D922&amp;"_"&amp;SUBSTITUTE(SUBSTITUTE(E922," ",""),"€","Euro")&amp;"_"&amp;IF(F922="","Unknown",F922)&amp;IF(F922="Commemorative",IF(G922="","","_"&amp;SUBSTITUTE(SUBSTITUTE(SUBSTITUTE(G922," ","-"),"/","-"),CHAR(39),"")),"")&amp;IF(I922="Duplicate","_Dub"&amp;IF(SUMPRODUCT(($B$2:B922=B922)*($D$2:D922=D922)*($E$2:E922=E922)*($F$2:F922=F922)*($G$2:G922=G922)*($I$2:I922="Duplicate"))&lt;=1,"",SUMPRODUCT(($B$2:B922=B922)*($D$2:D922=D922)*($E$2:E922=E922)*($F$2:F922=F922)*($G$2:G922=G922)*($I$2:I922="Duplicate"))-1),"")&amp;".jpeg")</f>
        <v/>
      </c>
      <c r="L922" s="6"/>
      <c r="M922" s="5" t="str">
        <f>IFERROR(VLOOKUP(E922,Specifications!$A$2:$D$9,2,FALSE),"")</f>
        <v/>
      </c>
      <c r="N922" s="5" t="str">
        <f>IFERROR(VLOOKUP(E922,Specifications!$A$2:$D$9,3,FALSE),"")</f>
        <v/>
      </c>
      <c r="O922" s="5" t="str">
        <f>IFERROR(VLOOKUP(E922,Specifications!$A$2:$D$9,4,FALSE),"")</f>
        <v/>
      </c>
      <c r="P922" s="8" t="str">
        <f t="shared" si="45"/>
        <v/>
      </c>
      <c r="Q922" s="9"/>
    </row>
    <row r="923" spans="1:17" ht="15">
      <c r="A923" s="5" t="str">
        <f t="shared" si="43"/>
        <v/>
      </c>
      <c r="B923" s="6"/>
      <c r="C923" s="5" t="str">
        <f>IFERROR(VLOOKUP(B923,Lists!$A$2:$B$25,2,FALSE),"")</f>
        <v/>
      </c>
      <c r="D923" s="7"/>
      <c r="E923" s="6"/>
      <c r="F923" s="6" t="str">
        <f t="shared" si="44"/>
        <v/>
      </c>
      <c r="G923" s="6"/>
      <c r="H923" s="6"/>
      <c r="I923" s="6"/>
      <c r="J923" s="7"/>
      <c r="K923" s="5" t="str" cm="1">
        <f t="array" ref="K923">IF(OR(A923="",B923="",D923="",E923=""),"",A923&amp;"_"&amp;SUBSTITUTE(B923," ","-")&amp;"_"&amp;D923&amp;"_"&amp;SUBSTITUTE(SUBSTITUTE(E923," ",""),"€","Euro")&amp;"_"&amp;IF(F923="","Unknown",F923)&amp;IF(F923="Commemorative",IF(G923="","","_"&amp;SUBSTITUTE(SUBSTITUTE(SUBSTITUTE(G923," ","-"),"/","-"),CHAR(39),"")),"")&amp;IF(I923="Duplicate","_Dub"&amp;IF(SUMPRODUCT(($B$2:B923=B923)*($D$2:D923=D923)*($E$2:E923=E923)*($F$2:F923=F923)*($G$2:G923=G923)*($I$2:I923="Duplicate"))&lt;=1,"",SUMPRODUCT(($B$2:B923=B923)*($D$2:D923=D923)*($E$2:E923=E923)*($F$2:F923=F923)*($G$2:G923=G923)*($I$2:I923="Duplicate"))-1),"")&amp;".jpeg")</f>
        <v/>
      </c>
      <c r="L923" s="6"/>
      <c r="M923" s="5" t="str">
        <f>IFERROR(VLOOKUP(E923,Specifications!$A$2:$D$9,2,FALSE),"")</f>
        <v/>
      </c>
      <c r="N923" s="5" t="str">
        <f>IFERROR(VLOOKUP(E923,Specifications!$A$2:$D$9,3,FALSE),"")</f>
        <v/>
      </c>
      <c r="O923" s="5" t="str">
        <f>IFERROR(VLOOKUP(E923,Specifications!$A$2:$D$9,4,FALSE),"")</f>
        <v/>
      </c>
      <c r="P923" s="8" t="str">
        <f t="shared" si="45"/>
        <v/>
      </c>
      <c r="Q923" s="9"/>
    </row>
    <row r="924" spans="1:17" ht="15">
      <c r="A924" s="5" t="str">
        <f t="shared" si="43"/>
        <v/>
      </c>
      <c r="B924" s="6"/>
      <c r="C924" s="5" t="str">
        <f>IFERROR(VLOOKUP(B924,Lists!$A$2:$B$25,2,FALSE),"")</f>
        <v/>
      </c>
      <c r="D924" s="7"/>
      <c r="E924" s="6"/>
      <c r="F924" s="6" t="str">
        <f t="shared" si="44"/>
        <v/>
      </c>
      <c r="G924" s="6"/>
      <c r="H924" s="6"/>
      <c r="I924" s="6"/>
      <c r="J924" s="7"/>
      <c r="K924" s="5" t="str" cm="1">
        <f t="array" ref="K924">IF(OR(A924="",B924="",D924="",E924=""),"",A924&amp;"_"&amp;SUBSTITUTE(B924," ","-")&amp;"_"&amp;D924&amp;"_"&amp;SUBSTITUTE(SUBSTITUTE(E924," ",""),"€","Euro")&amp;"_"&amp;IF(F924="","Unknown",F924)&amp;IF(F924="Commemorative",IF(G924="","","_"&amp;SUBSTITUTE(SUBSTITUTE(SUBSTITUTE(G924," ","-"),"/","-"),CHAR(39),"")),"")&amp;IF(I924="Duplicate","_Dub"&amp;IF(SUMPRODUCT(($B$2:B924=B924)*($D$2:D924=D924)*($E$2:E924=E924)*($F$2:F924=F924)*($G$2:G924=G924)*($I$2:I924="Duplicate"))&lt;=1,"",SUMPRODUCT(($B$2:B924=B924)*($D$2:D924=D924)*($E$2:E924=E924)*($F$2:F924=F924)*($G$2:G924=G924)*($I$2:I924="Duplicate"))-1),"")&amp;".jpeg")</f>
        <v/>
      </c>
      <c r="L924" s="6"/>
      <c r="M924" s="5" t="str">
        <f>IFERROR(VLOOKUP(E924,Specifications!$A$2:$D$9,2,FALSE),"")</f>
        <v/>
      </c>
      <c r="N924" s="5" t="str">
        <f>IFERROR(VLOOKUP(E924,Specifications!$A$2:$D$9,3,FALSE),"")</f>
        <v/>
      </c>
      <c r="O924" s="5" t="str">
        <f>IFERROR(VLOOKUP(E924,Specifications!$A$2:$D$9,4,FALSE),"")</f>
        <v/>
      </c>
      <c r="P924" s="8" t="str">
        <f t="shared" si="45"/>
        <v/>
      </c>
      <c r="Q924" s="9"/>
    </row>
    <row r="925" spans="1:17" ht="15">
      <c r="A925" s="5" t="str">
        <f t="shared" si="43"/>
        <v/>
      </c>
      <c r="B925" s="6"/>
      <c r="C925" s="5" t="str">
        <f>IFERROR(VLOOKUP(B925,Lists!$A$2:$B$25,2,FALSE),"")</f>
        <v/>
      </c>
      <c r="D925" s="7"/>
      <c r="E925" s="6"/>
      <c r="F925" s="6" t="str">
        <f t="shared" si="44"/>
        <v/>
      </c>
      <c r="G925" s="6"/>
      <c r="H925" s="6"/>
      <c r="I925" s="6"/>
      <c r="J925" s="7"/>
      <c r="K925" s="5" t="str" cm="1">
        <f t="array" ref="K925">IF(OR(A925="",B925="",D925="",E925=""),"",A925&amp;"_"&amp;SUBSTITUTE(B925," ","-")&amp;"_"&amp;D925&amp;"_"&amp;SUBSTITUTE(SUBSTITUTE(E925," ",""),"€","Euro")&amp;"_"&amp;IF(F925="","Unknown",F925)&amp;IF(F925="Commemorative",IF(G925="","","_"&amp;SUBSTITUTE(SUBSTITUTE(SUBSTITUTE(G925," ","-"),"/","-"),CHAR(39),"")),"")&amp;IF(I925="Duplicate","_Dub"&amp;IF(SUMPRODUCT(($B$2:B925=B925)*($D$2:D925=D925)*($E$2:E925=E925)*($F$2:F925=F925)*($G$2:G925=G925)*($I$2:I925="Duplicate"))&lt;=1,"",SUMPRODUCT(($B$2:B925=B925)*($D$2:D925=D925)*($E$2:E925=E925)*($F$2:F925=F925)*($G$2:G925=G925)*($I$2:I925="Duplicate"))-1),"")&amp;".jpeg")</f>
        <v/>
      </c>
      <c r="L925" s="6"/>
      <c r="M925" s="5" t="str">
        <f>IFERROR(VLOOKUP(E925,Specifications!$A$2:$D$9,2,FALSE),"")</f>
        <v/>
      </c>
      <c r="N925" s="5" t="str">
        <f>IFERROR(VLOOKUP(E925,Specifications!$A$2:$D$9,3,FALSE),"")</f>
        <v/>
      </c>
      <c r="O925" s="5" t="str">
        <f>IFERROR(VLOOKUP(E925,Specifications!$A$2:$D$9,4,FALSE),"")</f>
        <v/>
      </c>
      <c r="P925" s="8" t="str">
        <f t="shared" si="45"/>
        <v/>
      </c>
      <c r="Q925" s="9"/>
    </row>
    <row r="926" spans="1:17" ht="15">
      <c r="A926" s="5" t="str">
        <f t="shared" si="43"/>
        <v/>
      </c>
      <c r="B926" s="6"/>
      <c r="C926" s="5" t="str">
        <f>IFERROR(VLOOKUP(B926,Lists!$A$2:$B$25,2,FALSE),"")</f>
        <v/>
      </c>
      <c r="D926" s="7"/>
      <c r="E926" s="6"/>
      <c r="F926" s="6" t="str">
        <f t="shared" si="44"/>
        <v/>
      </c>
      <c r="G926" s="6"/>
      <c r="H926" s="6"/>
      <c r="I926" s="6"/>
      <c r="J926" s="7"/>
      <c r="K926" s="5" t="str" cm="1">
        <f t="array" ref="K926">IF(OR(A926="",B926="",D926="",E926=""),"",A926&amp;"_"&amp;SUBSTITUTE(B926," ","-")&amp;"_"&amp;D926&amp;"_"&amp;SUBSTITUTE(SUBSTITUTE(E926," ",""),"€","Euro")&amp;"_"&amp;IF(F926="","Unknown",F926)&amp;IF(F926="Commemorative",IF(G926="","","_"&amp;SUBSTITUTE(SUBSTITUTE(SUBSTITUTE(G926," ","-"),"/","-"),CHAR(39),"")),"")&amp;IF(I926="Duplicate","_Dub"&amp;IF(SUMPRODUCT(($B$2:B926=B926)*($D$2:D926=D926)*($E$2:E926=E926)*($F$2:F926=F926)*($G$2:G926=G926)*($I$2:I926="Duplicate"))&lt;=1,"",SUMPRODUCT(($B$2:B926=B926)*($D$2:D926=D926)*($E$2:E926=E926)*($F$2:F926=F926)*($G$2:G926=G926)*($I$2:I926="Duplicate"))-1),"")&amp;".jpeg")</f>
        <v/>
      </c>
      <c r="L926" s="6"/>
      <c r="M926" s="5" t="str">
        <f>IFERROR(VLOOKUP(E926,Specifications!$A$2:$D$9,2,FALSE),"")</f>
        <v/>
      </c>
      <c r="N926" s="5" t="str">
        <f>IFERROR(VLOOKUP(E926,Specifications!$A$2:$D$9,3,FALSE),"")</f>
        <v/>
      </c>
      <c r="O926" s="5" t="str">
        <f>IFERROR(VLOOKUP(E926,Specifications!$A$2:$D$9,4,FALSE),"")</f>
        <v/>
      </c>
      <c r="P926" s="8" t="str">
        <f t="shared" si="45"/>
        <v/>
      </c>
      <c r="Q926" s="9"/>
    </row>
    <row r="927" spans="1:17" ht="15">
      <c r="A927" s="5" t="str">
        <f t="shared" si="43"/>
        <v/>
      </c>
      <c r="B927" s="6"/>
      <c r="C927" s="5" t="str">
        <f>IFERROR(VLOOKUP(B927,Lists!$A$2:$B$25,2,FALSE),"")</f>
        <v/>
      </c>
      <c r="D927" s="7"/>
      <c r="E927" s="6"/>
      <c r="F927" s="6" t="str">
        <f t="shared" si="44"/>
        <v/>
      </c>
      <c r="G927" s="6"/>
      <c r="H927" s="6"/>
      <c r="I927" s="6"/>
      <c r="J927" s="7"/>
      <c r="K927" s="5" t="str" cm="1">
        <f t="array" ref="K927">IF(OR(A927="",B927="",D927="",E927=""),"",A927&amp;"_"&amp;SUBSTITUTE(B927," ","-")&amp;"_"&amp;D927&amp;"_"&amp;SUBSTITUTE(SUBSTITUTE(E927," ",""),"€","Euro")&amp;"_"&amp;IF(F927="","Unknown",F927)&amp;IF(F927="Commemorative",IF(G927="","","_"&amp;SUBSTITUTE(SUBSTITUTE(SUBSTITUTE(G927," ","-"),"/","-"),CHAR(39),"")),"")&amp;IF(I927="Duplicate","_Dub"&amp;IF(SUMPRODUCT(($B$2:B927=B927)*($D$2:D927=D927)*($E$2:E927=E927)*($F$2:F927=F927)*($G$2:G927=G927)*($I$2:I927="Duplicate"))&lt;=1,"",SUMPRODUCT(($B$2:B927=B927)*($D$2:D927=D927)*($E$2:E927=E927)*($F$2:F927=F927)*($G$2:G927=G927)*($I$2:I927="Duplicate"))-1),"")&amp;".jpeg")</f>
        <v/>
      </c>
      <c r="L927" s="6"/>
      <c r="M927" s="5" t="str">
        <f>IFERROR(VLOOKUP(E927,Specifications!$A$2:$D$9,2,FALSE),"")</f>
        <v/>
      </c>
      <c r="N927" s="5" t="str">
        <f>IFERROR(VLOOKUP(E927,Specifications!$A$2:$D$9,3,FALSE),"")</f>
        <v/>
      </c>
      <c r="O927" s="5" t="str">
        <f>IFERROR(VLOOKUP(E927,Specifications!$A$2:$D$9,4,FALSE),"")</f>
        <v/>
      </c>
      <c r="P927" s="8" t="str">
        <f t="shared" si="45"/>
        <v/>
      </c>
      <c r="Q927" s="9"/>
    </row>
    <row r="928" spans="1:17" ht="15">
      <c r="A928" s="5" t="str">
        <f t="shared" si="43"/>
        <v/>
      </c>
      <c r="B928" s="6"/>
      <c r="C928" s="5" t="str">
        <f>IFERROR(VLOOKUP(B928,Lists!$A$2:$B$25,2,FALSE),"")</f>
        <v/>
      </c>
      <c r="D928" s="7"/>
      <c r="E928" s="6"/>
      <c r="F928" s="6" t="str">
        <f t="shared" si="44"/>
        <v/>
      </c>
      <c r="G928" s="6"/>
      <c r="H928" s="6"/>
      <c r="I928" s="6"/>
      <c r="J928" s="7"/>
      <c r="K928" s="5" t="str" cm="1">
        <f t="array" ref="K928">IF(OR(A928="",B928="",D928="",E928=""),"",A928&amp;"_"&amp;SUBSTITUTE(B928," ","-")&amp;"_"&amp;D928&amp;"_"&amp;SUBSTITUTE(SUBSTITUTE(E928," ",""),"€","Euro")&amp;"_"&amp;IF(F928="","Unknown",F928)&amp;IF(F928="Commemorative",IF(G928="","","_"&amp;SUBSTITUTE(SUBSTITUTE(SUBSTITUTE(G928," ","-"),"/","-"),CHAR(39),"")),"")&amp;IF(I928="Duplicate","_Dub"&amp;IF(SUMPRODUCT(($B$2:B928=B928)*($D$2:D928=D928)*($E$2:E928=E928)*($F$2:F928=F928)*($G$2:G928=G928)*($I$2:I928="Duplicate"))&lt;=1,"",SUMPRODUCT(($B$2:B928=B928)*($D$2:D928=D928)*($E$2:E928=E928)*($F$2:F928=F928)*($G$2:G928=G928)*($I$2:I928="Duplicate"))-1),"")&amp;".jpeg")</f>
        <v/>
      </c>
      <c r="L928" s="6"/>
      <c r="M928" s="5" t="str">
        <f>IFERROR(VLOOKUP(E928,Specifications!$A$2:$D$9,2,FALSE),"")</f>
        <v/>
      </c>
      <c r="N928" s="5" t="str">
        <f>IFERROR(VLOOKUP(E928,Specifications!$A$2:$D$9,3,FALSE),"")</f>
        <v/>
      </c>
      <c r="O928" s="5" t="str">
        <f>IFERROR(VLOOKUP(E928,Specifications!$A$2:$D$9,4,FALSE),"")</f>
        <v/>
      </c>
      <c r="P928" s="8" t="str">
        <f t="shared" si="45"/>
        <v/>
      </c>
      <c r="Q928" s="9"/>
    </row>
    <row r="929" spans="1:17" ht="15">
      <c r="A929" s="5" t="str">
        <f t="shared" si="43"/>
        <v/>
      </c>
      <c r="B929" s="6"/>
      <c r="C929" s="5" t="str">
        <f>IFERROR(VLOOKUP(B929,Lists!$A$2:$B$25,2,FALSE),"")</f>
        <v/>
      </c>
      <c r="D929" s="7"/>
      <c r="E929" s="6"/>
      <c r="F929" s="6" t="str">
        <f t="shared" si="44"/>
        <v/>
      </c>
      <c r="G929" s="6"/>
      <c r="H929" s="6"/>
      <c r="I929" s="6"/>
      <c r="J929" s="7"/>
      <c r="K929" s="5" t="str" cm="1">
        <f t="array" ref="K929">IF(OR(A929="",B929="",D929="",E929=""),"",A929&amp;"_"&amp;SUBSTITUTE(B929," ","-")&amp;"_"&amp;D929&amp;"_"&amp;SUBSTITUTE(SUBSTITUTE(E929," ",""),"€","Euro")&amp;"_"&amp;IF(F929="","Unknown",F929)&amp;IF(F929="Commemorative",IF(G929="","","_"&amp;SUBSTITUTE(SUBSTITUTE(SUBSTITUTE(G929," ","-"),"/","-"),CHAR(39),"")),"")&amp;IF(I929="Duplicate","_Dub"&amp;IF(SUMPRODUCT(($B$2:B929=B929)*($D$2:D929=D929)*($E$2:E929=E929)*($F$2:F929=F929)*($G$2:G929=G929)*($I$2:I929="Duplicate"))&lt;=1,"",SUMPRODUCT(($B$2:B929=B929)*($D$2:D929=D929)*($E$2:E929=E929)*($F$2:F929=F929)*($G$2:G929=G929)*($I$2:I929="Duplicate"))-1),"")&amp;".jpeg")</f>
        <v/>
      </c>
      <c r="L929" s="6"/>
      <c r="M929" s="5" t="str">
        <f>IFERROR(VLOOKUP(E929,Specifications!$A$2:$D$9,2,FALSE),"")</f>
        <v/>
      </c>
      <c r="N929" s="5" t="str">
        <f>IFERROR(VLOOKUP(E929,Specifications!$A$2:$D$9,3,FALSE),"")</f>
        <v/>
      </c>
      <c r="O929" s="5" t="str">
        <f>IFERROR(VLOOKUP(E929,Specifications!$A$2:$D$9,4,FALSE),"")</f>
        <v/>
      </c>
      <c r="P929" s="8" t="str">
        <f t="shared" si="45"/>
        <v/>
      </c>
      <c r="Q929" s="9"/>
    </row>
    <row r="930" spans="1:17" ht="15">
      <c r="A930" s="5" t="str">
        <f t="shared" si="43"/>
        <v/>
      </c>
      <c r="B930" s="6"/>
      <c r="C930" s="5" t="str">
        <f>IFERROR(VLOOKUP(B930,Lists!$A$2:$B$25,2,FALSE),"")</f>
        <v/>
      </c>
      <c r="D930" s="7"/>
      <c r="E930" s="6"/>
      <c r="F930" s="6" t="str">
        <f t="shared" si="44"/>
        <v/>
      </c>
      <c r="G930" s="6"/>
      <c r="H930" s="6"/>
      <c r="I930" s="6"/>
      <c r="J930" s="7"/>
      <c r="K930" s="5" t="str" cm="1">
        <f t="array" ref="K930">IF(OR(A930="",B930="",D930="",E930=""),"",A930&amp;"_"&amp;SUBSTITUTE(B930," ","-")&amp;"_"&amp;D930&amp;"_"&amp;SUBSTITUTE(SUBSTITUTE(E930," ",""),"€","Euro")&amp;"_"&amp;IF(F930="","Unknown",F930)&amp;IF(F930="Commemorative",IF(G930="","","_"&amp;SUBSTITUTE(SUBSTITUTE(SUBSTITUTE(G930," ","-"),"/","-"),CHAR(39),"")),"")&amp;IF(I930="Duplicate","_Dub"&amp;IF(SUMPRODUCT(($B$2:B930=B930)*($D$2:D930=D930)*($E$2:E930=E930)*($F$2:F930=F930)*($G$2:G930=G930)*($I$2:I930="Duplicate"))&lt;=1,"",SUMPRODUCT(($B$2:B930=B930)*($D$2:D930=D930)*($E$2:E930=E930)*($F$2:F930=F930)*($G$2:G930=G930)*($I$2:I930="Duplicate"))-1),"")&amp;".jpeg")</f>
        <v/>
      </c>
      <c r="L930" s="6"/>
      <c r="M930" s="5" t="str">
        <f>IFERROR(VLOOKUP(E930,Specifications!$A$2:$D$9,2,FALSE),"")</f>
        <v/>
      </c>
      <c r="N930" s="5" t="str">
        <f>IFERROR(VLOOKUP(E930,Specifications!$A$2:$D$9,3,FALSE),"")</f>
        <v/>
      </c>
      <c r="O930" s="5" t="str">
        <f>IFERROR(VLOOKUP(E930,Specifications!$A$2:$D$9,4,FALSE),"")</f>
        <v/>
      </c>
      <c r="P930" s="8" t="str">
        <f t="shared" si="45"/>
        <v/>
      </c>
      <c r="Q930" s="9"/>
    </row>
    <row r="931" spans="1:17" ht="15">
      <c r="A931" s="5" t="str">
        <f t="shared" si="43"/>
        <v/>
      </c>
      <c r="B931" s="6"/>
      <c r="C931" s="5" t="str">
        <f>IFERROR(VLOOKUP(B931,Lists!$A$2:$B$25,2,FALSE),"")</f>
        <v/>
      </c>
      <c r="D931" s="7"/>
      <c r="E931" s="6"/>
      <c r="F931" s="6" t="str">
        <f t="shared" si="44"/>
        <v/>
      </c>
      <c r="G931" s="6"/>
      <c r="H931" s="6"/>
      <c r="I931" s="6"/>
      <c r="J931" s="7"/>
      <c r="K931" s="5" t="str" cm="1">
        <f t="array" ref="K931">IF(OR(A931="",B931="",D931="",E931=""),"",A931&amp;"_"&amp;SUBSTITUTE(B931," ","-")&amp;"_"&amp;D931&amp;"_"&amp;SUBSTITUTE(SUBSTITUTE(E931," ",""),"€","Euro")&amp;"_"&amp;IF(F931="","Unknown",F931)&amp;IF(F931="Commemorative",IF(G931="","","_"&amp;SUBSTITUTE(SUBSTITUTE(SUBSTITUTE(G931," ","-"),"/","-"),CHAR(39),"")),"")&amp;IF(I931="Duplicate","_Dub"&amp;IF(SUMPRODUCT(($B$2:B931=B931)*($D$2:D931=D931)*($E$2:E931=E931)*($F$2:F931=F931)*($G$2:G931=G931)*($I$2:I931="Duplicate"))&lt;=1,"",SUMPRODUCT(($B$2:B931=B931)*($D$2:D931=D931)*($E$2:E931=E931)*($F$2:F931=F931)*($G$2:G931=G931)*($I$2:I931="Duplicate"))-1),"")&amp;".jpeg")</f>
        <v/>
      </c>
      <c r="L931" s="6"/>
      <c r="M931" s="5" t="str">
        <f>IFERROR(VLOOKUP(E931,Specifications!$A$2:$D$9,2,FALSE),"")</f>
        <v/>
      </c>
      <c r="N931" s="5" t="str">
        <f>IFERROR(VLOOKUP(E931,Specifications!$A$2:$D$9,3,FALSE),"")</f>
        <v/>
      </c>
      <c r="O931" s="5" t="str">
        <f>IFERROR(VLOOKUP(E931,Specifications!$A$2:$D$9,4,FALSE),"")</f>
        <v/>
      </c>
      <c r="P931" s="8" t="str">
        <f t="shared" si="45"/>
        <v/>
      </c>
      <c r="Q931" s="9"/>
    </row>
    <row r="932" spans="1:17" ht="15">
      <c r="A932" s="5" t="str">
        <f t="shared" si="43"/>
        <v/>
      </c>
      <c r="B932" s="6"/>
      <c r="C932" s="5" t="str">
        <f>IFERROR(VLOOKUP(B932,Lists!$A$2:$B$25,2,FALSE),"")</f>
        <v/>
      </c>
      <c r="D932" s="7"/>
      <c r="E932" s="6"/>
      <c r="F932" s="6" t="str">
        <f t="shared" si="44"/>
        <v/>
      </c>
      <c r="G932" s="6"/>
      <c r="H932" s="6"/>
      <c r="I932" s="6"/>
      <c r="J932" s="7"/>
      <c r="K932" s="5" t="str" cm="1">
        <f t="array" ref="K932">IF(OR(A932="",B932="",D932="",E932=""),"",A932&amp;"_"&amp;SUBSTITUTE(B932," ","-")&amp;"_"&amp;D932&amp;"_"&amp;SUBSTITUTE(SUBSTITUTE(E932," ",""),"€","Euro")&amp;"_"&amp;IF(F932="","Unknown",F932)&amp;IF(F932="Commemorative",IF(G932="","","_"&amp;SUBSTITUTE(SUBSTITUTE(SUBSTITUTE(G932," ","-"),"/","-"),CHAR(39),"")),"")&amp;IF(I932="Duplicate","_Dub"&amp;IF(SUMPRODUCT(($B$2:B932=B932)*($D$2:D932=D932)*($E$2:E932=E932)*($F$2:F932=F932)*($G$2:G932=G932)*($I$2:I932="Duplicate"))&lt;=1,"",SUMPRODUCT(($B$2:B932=B932)*($D$2:D932=D932)*($E$2:E932=E932)*($F$2:F932=F932)*($G$2:G932=G932)*($I$2:I932="Duplicate"))-1),"")&amp;".jpeg")</f>
        <v/>
      </c>
      <c r="L932" s="6"/>
      <c r="M932" s="5" t="str">
        <f>IFERROR(VLOOKUP(E932,Specifications!$A$2:$D$9,2,FALSE),"")</f>
        <v/>
      </c>
      <c r="N932" s="5" t="str">
        <f>IFERROR(VLOOKUP(E932,Specifications!$A$2:$D$9,3,FALSE),"")</f>
        <v/>
      </c>
      <c r="O932" s="5" t="str">
        <f>IFERROR(VLOOKUP(E932,Specifications!$A$2:$D$9,4,FALSE),"")</f>
        <v/>
      </c>
      <c r="P932" s="8" t="str">
        <f t="shared" si="45"/>
        <v/>
      </c>
      <c r="Q932" s="9"/>
    </row>
    <row r="933" spans="1:17" ht="15">
      <c r="A933" s="5" t="str">
        <f t="shared" si="43"/>
        <v/>
      </c>
      <c r="B933" s="6"/>
      <c r="C933" s="5" t="str">
        <f>IFERROR(VLOOKUP(B933,Lists!$A$2:$B$25,2,FALSE),"")</f>
        <v/>
      </c>
      <c r="D933" s="7"/>
      <c r="E933" s="6"/>
      <c r="F933" s="6" t="str">
        <f t="shared" si="44"/>
        <v/>
      </c>
      <c r="G933" s="6"/>
      <c r="H933" s="6"/>
      <c r="I933" s="6"/>
      <c r="J933" s="7"/>
      <c r="K933" s="5" t="str" cm="1">
        <f t="array" ref="K933">IF(OR(A933="",B933="",D933="",E933=""),"",A933&amp;"_"&amp;SUBSTITUTE(B933," ","-")&amp;"_"&amp;D933&amp;"_"&amp;SUBSTITUTE(SUBSTITUTE(E933," ",""),"€","Euro")&amp;"_"&amp;IF(F933="","Unknown",F933)&amp;IF(F933="Commemorative",IF(G933="","","_"&amp;SUBSTITUTE(SUBSTITUTE(SUBSTITUTE(G933," ","-"),"/","-"),CHAR(39),"")),"")&amp;IF(I933="Duplicate","_Dub"&amp;IF(SUMPRODUCT(($B$2:B933=B933)*($D$2:D933=D933)*($E$2:E933=E933)*($F$2:F933=F933)*($G$2:G933=G933)*($I$2:I933="Duplicate"))&lt;=1,"",SUMPRODUCT(($B$2:B933=B933)*($D$2:D933=D933)*($E$2:E933=E933)*($F$2:F933=F933)*($G$2:G933=G933)*($I$2:I933="Duplicate"))-1),"")&amp;".jpeg")</f>
        <v/>
      </c>
      <c r="L933" s="6"/>
      <c r="M933" s="5" t="str">
        <f>IFERROR(VLOOKUP(E933,Specifications!$A$2:$D$9,2,FALSE),"")</f>
        <v/>
      </c>
      <c r="N933" s="5" t="str">
        <f>IFERROR(VLOOKUP(E933,Specifications!$A$2:$D$9,3,FALSE),"")</f>
        <v/>
      </c>
      <c r="O933" s="5" t="str">
        <f>IFERROR(VLOOKUP(E933,Specifications!$A$2:$D$9,4,FALSE),"")</f>
        <v/>
      </c>
      <c r="P933" s="8" t="str">
        <f t="shared" si="45"/>
        <v/>
      </c>
      <c r="Q933" s="9"/>
    </row>
    <row r="934" spans="1:17" ht="15">
      <c r="A934" s="5" t="str">
        <f t="shared" si="43"/>
        <v/>
      </c>
      <c r="B934" s="6"/>
      <c r="C934" s="5" t="str">
        <f>IFERROR(VLOOKUP(B934,Lists!$A$2:$B$25,2,FALSE),"")</f>
        <v/>
      </c>
      <c r="D934" s="7"/>
      <c r="E934" s="6"/>
      <c r="F934" s="6" t="str">
        <f t="shared" si="44"/>
        <v/>
      </c>
      <c r="G934" s="6"/>
      <c r="H934" s="6"/>
      <c r="I934" s="6"/>
      <c r="J934" s="7"/>
      <c r="K934" s="5" t="str" cm="1">
        <f t="array" ref="K934">IF(OR(A934="",B934="",D934="",E934=""),"",A934&amp;"_"&amp;SUBSTITUTE(B934," ","-")&amp;"_"&amp;D934&amp;"_"&amp;SUBSTITUTE(SUBSTITUTE(E934," ",""),"€","Euro")&amp;"_"&amp;IF(F934="","Unknown",F934)&amp;IF(F934="Commemorative",IF(G934="","","_"&amp;SUBSTITUTE(SUBSTITUTE(SUBSTITUTE(G934," ","-"),"/","-"),CHAR(39),"")),"")&amp;IF(I934="Duplicate","_Dub"&amp;IF(SUMPRODUCT(($B$2:B934=B934)*($D$2:D934=D934)*($E$2:E934=E934)*($F$2:F934=F934)*($G$2:G934=G934)*($I$2:I934="Duplicate"))&lt;=1,"",SUMPRODUCT(($B$2:B934=B934)*($D$2:D934=D934)*($E$2:E934=E934)*($F$2:F934=F934)*($G$2:G934=G934)*($I$2:I934="Duplicate"))-1),"")&amp;".jpeg")</f>
        <v/>
      </c>
      <c r="L934" s="6"/>
      <c r="M934" s="5" t="str">
        <f>IFERROR(VLOOKUP(E934,Specifications!$A$2:$D$9,2,FALSE),"")</f>
        <v/>
      </c>
      <c r="N934" s="5" t="str">
        <f>IFERROR(VLOOKUP(E934,Specifications!$A$2:$D$9,3,FALSE),"")</f>
        <v/>
      </c>
      <c r="O934" s="5" t="str">
        <f>IFERROR(VLOOKUP(E934,Specifications!$A$2:$D$9,4,FALSE),"")</f>
        <v/>
      </c>
      <c r="P934" s="8" t="str">
        <f t="shared" si="45"/>
        <v/>
      </c>
      <c r="Q934" s="9"/>
    </row>
    <row r="935" spans="1:17" ht="15">
      <c r="A935" s="5" t="str">
        <f t="shared" si="43"/>
        <v/>
      </c>
      <c r="B935" s="6"/>
      <c r="C935" s="5" t="str">
        <f>IFERROR(VLOOKUP(B935,Lists!$A$2:$B$25,2,FALSE),"")</f>
        <v/>
      </c>
      <c r="D935" s="7"/>
      <c r="E935" s="6"/>
      <c r="F935" s="6" t="str">
        <f t="shared" si="44"/>
        <v/>
      </c>
      <c r="G935" s="6"/>
      <c r="H935" s="6"/>
      <c r="I935" s="6"/>
      <c r="J935" s="7"/>
      <c r="K935" s="5" t="str" cm="1">
        <f t="array" ref="K935">IF(OR(A935="",B935="",D935="",E935=""),"",A935&amp;"_"&amp;SUBSTITUTE(B935," ","-")&amp;"_"&amp;D935&amp;"_"&amp;SUBSTITUTE(SUBSTITUTE(E935," ",""),"€","Euro")&amp;"_"&amp;IF(F935="","Unknown",F935)&amp;IF(F935="Commemorative",IF(G935="","","_"&amp;SUBSTITUTE(SUBSTITUTE(SUBSTITUTE(G935," ","-"),"/","-"),CHAR(39),"")),"")&amp;IF(I935="Duplicate","_Dub"&amp;IF(SUMPRODUCT(($B$2:B935=B935)*($D$2:D935=D935)*($E$2:E935=E935)*($F$2:F935=F935)*($G$2:G935=G935)*($I$2:I935="Duplicate"))&lt;=1,"",SUMPRODUCT(($B$2:B935=B935)*($D$2:D935=D935)*($E$2:E935=E935)*($F$2:F935=F935)*($G$2:G935=G935)*($I$2:I935="Duplicate"))-1),"")&amp;".jpeg")</f>
        <v/>
      </c>
      <c r="L935" s="6"/>
      <c r="M935" s="5" t="str">
        <f>IFERROR(VLOOKUP(E935,Specifications!$A$2:$D$9,2,FALSE),"")</f>
        <v/>
      </c>
      <c r="N935" s="5" t="str">
        <f>IFERROR(VLOOKUP(E935,Specifications!$A$2:$D$9,3,FALSE),"")</f>
        <v/>
      </c>
      <c r="O935" s="5" t="str">
        <f>IFERROR(VLOOKUP(E935,Specifications!$A$2:$D$9,4,FALSE),"")</f>
        <v/>
      </c>
      <c r="P935" s="8" t="str">
        <f t="shared" si="45"/>
        <v/>
      </c>
      <c r="Q935" s="9"/>
    </row>
    <row r="936" spans="1:17" ht="15">
      <c r="A936" s="5" t="str">
        <f t="shared" si="43"/>
        <v/>
      </c>
      <c r="B936" s="6"/>
      <c r="C936" s="5" t="str">
        <f>IFERROR(VLOOKUP(B936,Lists!$A$2:$B$25,2,FALSE),"")</f>
        <v/>
      </c>
      <c r="D936" s="7"/>
      <c r="E936" s="6"/>
      <c r="F936" s="6" t="str">
        <f t="shared" si="44"/>
        <v/>
      </c>
      <c r="G936" s="6"/>
      <c r="H936" s="6"/>
      <c r="I936" s="6"/>
      <c r="J936" s="7"/>
      <c r="K936" s="5" t="str" cm="1">
        <f t="array" ref="K936">IF(OR(A936="",B936="",D936="",E936=""),"",A936&amp;"_"&amp;SUBSTITUTE(B936," ","-")&amp;"_"&amp;D936&amp;"_"&amp;SUBSTITUTE(SUBSTITUTE(E936," ",""),"€","Euro")&amp;"_"&amp;IF(F936="","Unknown",F936)&amp;IF(F936="Commemorative",IF(G936="","","_"&amp;SUBSTITUTE(SUBSTITUTE(SUBSTITUTE(G936," ","-"),"/","-"),CHAR(39),"")),"")&amp;IF(I936="Duplicate","_Dub"&amp;IF(SUMPRODUCT(($B$2:B936=B936)*($D$2:D936=D936)*($E$2:E936=E936)*($F$2:F936=F936)*($G$2:G936=G936)*($I$2:I936="Duplicate"))&lt;=1,"",SUMPRODUCT(($B$2:B936=B936)*($D$2:D936=D936)*($E$2:E936=E936)*($F$2:F936=F936)*($G$2:G936=G936)*($I$2:I936="Duplicate"))-1),"")&amp;".jpeg")</f>
        <v/>
      </c>
      <c r="L936" s="6"/>
      <c r="M936" s="5" t="str">
        <f>IFERROR(VLOOKUP(E936,Specifications!$A$2:$D$9,2,FALSE),"")</f>
        <v/>
      </c>
      <c r="N936" s="5" t="str">
        <f>IFERROR(VLOOKUP(E936,Specifications!$A$2:$D$9,3,FALSE),"")</f>
        <v/>
      </c>
      <c r="O936" s="5" t="str">
        <f>IFERROR(VLOOKUP(E936,Specifications!$A$2:$D$9,4,FALSE),"")</f>
        <v/>
      </c>
      <c r="P936" s="8" t="str">
        <f t="shared" si="45"/>
        <v/>
      </c>
      <c r="Q936" s="9"/>
    </row>
    <row r="937" spans="1:17" ht="15">
      <c r="A937" s="5" t="str">
        <f t="shared" si="43"/>
        <v/>
      </c>
      <c r="B937" s="6"/>
      <c r="C937" s="5" t="str">
        <f>IFERROR(VLOOKUP(B937,Lists!$A$2:$B$25,2,FALSE),"")</f>
        <v/>
      </c>
      <c r="D937" s="7"/>
      <c r="E937" s="6"/>
      <c r="F937" s="6" t="str">
        <f t="shared" si="44"/>
        <v/>
      </c>
      <c r="G937" s="6"/>
      <c r="H937" s="6"/>
      <c r="I937" s="6"/>
      <c r="J937" s="7"/>
      <c r="K937" s="5" t="str" cm="1">
        <f t="array" ref="K937">IF(OR(A937="",B937="",D937="",E937=""),"",A937&amp;"_"&amp;SUBSTITUTE(B937," ","-")&amp;"_"&amp;D937&amp;"_"&amp;SUBSTITUTE(SUBSTITUTE(E937," ",""),"€","Euro")&amp;"_"&amp;IF(F937="","Unknown",F937)&amp;IF(F937="Commemorative",IF(G937="","","_"&amp;SUBSTITUTE(SUBSTITUTE(SUBSTITUTE(G937," ","-"),"/","-"),CHAR(39),"")),"")&amp;IF(I937="Duplicate","_Dub"&amp;IF(SUMPRODUCT(($B$2:B937=B937)*($D$2:D937=D937)*($E$2:E937=E937)*($F$2:F937=F937)*($G$2:G937=G937)*($I$2:I937="Duplicate"))&lt;=1,"",SUMPRODUCT(($B$2:B937=B937)*($D$2:D937=D937)*($E$2:E937=E937)*($F$2:F937=F937)*($G$2:G937=G937)*($I$2:I937="Duplicate"))-1),"")&amp;".jpeg")</f>
        <v/>
      </c>
      <c r="L937" s="6"/>
      <c r="M937" s="5" t="str">
        <f>IFERROR(VLOOKUP(E937,Specifications!$A$2:$D$9,2,FALSE),"")</f>
        <v/>
      </c>
      <c r="N937" s="5" t="str">
        <f>IFERROR(VLOOKUP(E937,Specifications!$A$2:$D$9,3,FALSE),"")</f>
        <v/>
      </c>
      <c r="O937" s="5" t="str">
        <f>IFERROR(VLOOKUP(E937,Specifications!$A$2:$D$9,4,FALSE),"")</f>
        <v/>
      </c>
      <c r="P937" s="8" t="str">
        <f t="shared" si="45"/>
        <v/>
      </c>
      <c r="Q937" s="9"/>
    </row>
    <row r="938" spans="1:17" ht="15">
      <c r="A938" s="5" t="str">
        <f t="shared" si="43"/>
        <v/>
      </c>
      <c r="B938" s="6"/>
      <c r="C938" s="5" t="str">
        <f>IFERROR(VLOOKUP(B938,Lists!$A$2:$B$25,2,FALSE),"")</f>
        <v/>
      </c>
      <c r="D938" s="7"/>
      <c r="E938" s="6"/>
      <c r="F938" s="6" t="str">
        <f t="shared" si="44"/>
        <v/>
      </c>
      <c r="G938" s="6"/>
      <c r="H938" s="6"/>
      <c r="I938" s="6"/>
      <c r="J938" s="7"/>
      <c r="K938" s="5" t="str" cm="1">
        <f t="array" ref="K938">IF(OR(A938="",B938="",D938="",E938=""),"",A938&amp;"_"&amp;SUBSTITUTE(B938," ","-")&amp;"_"&amp;D938&amp;"_"&amp;SUBSTITUTE(SUBSTITUTE(E938," ",""),"€","Euro")&amp;"_"&amp;IF(F938="","Unknown",F938)&amp;IF(F938="Commemorative",IF(G938="","","_"&amp;SUBSTITUTE(SUBSTITUTE(SUBSTITUTE(G938," ","-"),"/","-"),CHAR(39),"")),"")&amp;IF(I938="Duplicate","_Dub"&amp;IF(SUMPRODUCT(($B$2:B938=B938)*($D$2:D938=D938)*($E$2:E938=E938)*($F$2:F938=F938)*($G$2:G938=G938)*($I$2:I938="Duplicate"))&lt;=1,"",SUMPRODUCT(($B$2:B938=B938)*($D$2:D938=D938)*($E$2:E938=E938)*($F$2:F938=F938)*($G$2:G938=G938)*($I$2:I938="Duplicate"))-1),"")&amp;".jpeg")</f>
        <v/>
      </c>
      <c r="L938" s="6"/>
      <c r="M938" s="5" t="str">
        <f>IFERROR(VLOOKUP(E938,Specifications!$A$2:$D$9,2,FALSE),"")</f>
        <v/>
      </c>
      <c r="N938" s="5" t="str">
        <f>IFERROR(VLOOKUP(E938,Specifications!$A$2:$D$9,3,FALSE),"")</f>
        <v/>
      </c>
      <c r="O938" s="5" t="str">
        <f>IFERROR(VLOOKUP(E938,Specifications!$A$2:$D$9,4,FALSE),"")</f>
        <v/>
      </c>
      <c r="P938" s="8" t="str">
        <f t="shared" si="45"/>
        <v/>
      </c>
      <c r="Q938" s="9"/>
    </row>
    <row r="939" spans="1:17" ht="15">
      <c r="A939" s="5" t="str">
        <f t="shared" si="43"/>
        <v/>
      </c>
      <c r="B939" s="6"/>
      <c r="C939" s="5" t="str">
        <f>IFERROR(VLOOKUP(B939,Lists!$A$2:$B$25,2,FALSE),"")</f>
        <v/>
      </c>
      <c r="D939" s="7"/>
      <c r="E939" s="6"/>
      <c r="F939" s="6" t="str">
        <f t="shared" si="44"/>
        <v/>
      </c>
      <c r="G939" s="6"/>
      <c r="H939" s="6"/>
      <c r="I939" s="6"/>
      <c r="J939" s="7"/>
      <c r="K939" s="5" t="str" cm="1">
        <f t="array" ref="K939">IF(OR(A939="",B939="",D939="",E939=""),"",A939&amp;"_"&amp;SUBSTITUTE(B939," ","-")&amp;"_"&amp;D939&amp;"_"&amp;SUBSTITUTE(SUBSTITUTE(E939," ",""),"€","Euro")&amp;"_"&amp;IF(F939="","Unknown",F939)&amp;IF(F939="Commemorative",IF(G939="","","_"&amp;SUBSTITUTE(SUBSTITUTE(SUBSTITUTE(G939," ","-"),"/","-"),CHAR(39),"")),"")&amp;IF(I939="Duplicate","_Dub"&amp;IF(SUMPRODUCT(($B$2:B939=B939)*($D$2:D939=D939)*($E$2:E939=E939)*($F$2:F939=F939)*($G$2:G939=G939)*($I$2:I939="Duplicate"))&lt;=1,"",SUMPRODUCT(($B$2:B939=B939)*($D$2:D939=D939)*($E$2:E939=E939)*($F$2:F939=F939)*($G$2:G939=G939)*($I$2:I939="Duplicate"))-1),"")&amp;".jpeg")</f>
        <v/>
      </c>
      <c r="L939" s="6"/>
      <c r="M939" s="5" t="str">
        <f>IFERROR(VLOOKUP(E939,Specifications!$A$2:$D$9,2,FALSE),"")</f>
        <v/>
      </c>
      <c r="N939" s="5" t="str">
        <f>IFERROR(VLOOKUP(E939,Specifications!$A$2:$D$9,3,FALSE),"")</f>
        <v/>
      </c>
      <c r="O939" s="5" t="str">
        <f>IFERROR(VLOOKUP(E939,Specifications!$A$2:$D$9,4,FALSE),"")</f>
        <v/>
      </c>
      <c r="P939" s="8" t="str">
        <f t="shared" si="45"/>
        <v/>
      </c>
      <c r="Q939" s="9"/>
    </row>
    <row r="940" spans="1:17" ht="15">
      <c r="A940" s="5" t="str">
        <f t="shared" si="43"/>
        <v/>
      </c>
      <c r="B940" s="6"/>
      <c r="C940" s="5" t="str">
        <f>IFERROR(VLOOKUP(B940,Lists!$A$2:$B$25,2,FALSE),"")</f>
        <v/>
      </c>
      <c r="D940" s="7"/>
      <c r="E940" s="6"/>
      <c r="F940" s="6" t="str">
        <f t="shared" si="44"/>
        <v/>
      </c>
      <c r="G940" s="6"/>
      <c r="H940" s="6"/>
      <c r="I940" s="6"/>
      <c r="J940" s="7"/>
      <c r="K940" s="5" t="str" cm="1">
        <f t="array" ref="K940">IF(OR(A940="",B940="",D940="",E940=""),"",A940&amp;"_"&amp;SUBSTITUTE(B940," ","-")&amp;"_"&amp;D940&amp;"_"&amp;SUBSTITUTE(SUBSTITUTE(E940," ",""),"€","Euro")&amp;"_"&amp;IF(F940="","Unknown",F940)&amp;IF(F940="Commemorative",IF(G940="","","_"&amp;SUBSTITUTE(SUBSTITUTE(SUBSTITUTE(G940," ","-"),"/","-"),CHAR(39),"")),"")&amp;IF(I940="Duplicate","_Dub"&amp;IF(SUMPRODUCT(($B$2:B940=B940)*($D$2:D940=D940)*($E$2:E940=E940)*($F$2:F940=F940)*($G$2:G940=G940)*($I$2:I940="Duplicate"))&lt;=1,"",SUMPRODUCT(($B$2:B940=B940)*($D$2:D940=D940)*($E$2:E940=E940)*($F$2:F940=F940)*($G$2:G940=G940)*($I$2:I940="Duplicate"))-1),"")&amp;".jpeg")</f>
        <v/>
      </c>
      <c r="L940" s="6"/>
      <c r="M940" s="5" t="str">
        <f>IFERROR(VLOOKUP(E940,Specifications!$A$2:$D$9,2,FALSE),"")</f>
        <v/>
      </c>
      <c r="N940" s="5" t="str">
        <f>IFERROR(VLOOKUP(E940,Specifications!$A$2:$D$9,3,FALSE),"")</f>
        <v/>
      </c>
      <c r="O940" s="5" t="str">
        <f>IFERROR(VLOOKUP(E940,Specifications!$A$2:$D$9,4,FALSE),"")</f>
        <v/>
      </c>
      <c r="P940" s="8" t="str">
        <f t="shared" si="45"/>
        <v/>
      </c>
      <c r="Q940" s="9"/>
    </row>
    <row r="941" spans="1:17" ht="15">
      <c r="A941" s="5" t="str">
        <f t="shared" si="43"/>
        <v/>
      </c>
      <c r="B941" s="6"/>
      <c r="C941" s="5" t="str">
        <f>IFERROR(VLOOKUP(B941,Lists!$A$2:$B$25,2,FALSE),"")</f>
        <v/>
      </c>
      <c r="D941" s="7"/>
      <c r="E941" s="6"/>
      <c r="F941" s="6" t="str">
        <f t="shared" si="44"/>
        <v/>
      </c>
      <c r="G941" s="6"/>
      <c r="H941" s="6"/>
      <c r="I941" s="6"/>
      <c r="J941" s="7"/>
      <c r="K941" s="5" t="str" cm="1">
        <f t="array" ref="K941">IF(OR(A941="",B941="",D941="",E941=""),"",A941&amp;"_"&amp;SUBSTITUTE(B941," ","-")&amp;"_"&amp;D941&amp;"_"&amp;SUBSTITUTE(SUBSTITUTE(E941," ",""),"€","Euro")&amp;"_"&amp;IF(F941="","Unknown",F941)&amp;IF(F941="Commemorative",IF(G941="","","_"&amp;SUBSTITUTE(SUBSTITUTE(SUBSTITUTE(G941," ","-"),"/","-"),CHAR(39),"")),"")&amp;IF(I941="Duplicate","_Dub"&amp;IF(SUMPRODUCT(($B$2:B941=B941)*($D$2:D941=D941)*($E$2:E941=E941)*($F$2:F941=F941)*($G$2:G941=G941)*($I$2:I941="Duplicate"))&lt;=1,"",SUMPRODUCT(($B$2:B941=B941)*($D$2:D941=D941)*($E$2:E941=E941)*($F$2:F941=F941)*($G$2:G941=G941)*($I$2:I941="Duplicate"))-1),"")&amp;".jpeg")</f>
        <v/>
      </c>
      <c r="L941" s="6"/>
      <c r="M941" s="5" t="str">
        <f>IFERROR(VLOOKUP(E941,Specifications!$A$2:$D$9,2,FALSE),"")</f>
        <v/>
      </c>
      <c r="N941" s="5" t="str">
        <f>IFERROR(VLOOKUP(E941,Specifications!$A$2:$D$9,3,FALSE),"")</f>
        <v/>
      </c>
      <c r="O941" s="5" t="str">
        <f>IFERROR(VLOOKUP(E941,Specifications!$A$2:$D$9,4,FALSE),"")</f>
        <v/>
      </c>
      <c r="P941" s="8" t="str">
        <f t="shared" si="45"/>
        <v/>
      </c>
      <c r="Q941" s="9"/>
    </row>
    <row r="942" spans="1:17" ht="15">
      <c r="A942" s="5" t="str">
        <f t="shared" si="43"/>
        <v/>
      </c>
      <c r="B942" s="6"/>
      <c r="C942" s="5" t="str">
        <f>IFERROR(VLOOKUP(B942,Lists!$A$2:$B$25,2,FALSE),"")</f>
        <v/>
      </c>
      <c r="D942" s="7"/>
      <c r="E942" s="6"/>
      <c r="F942" s="6" t="str">
        <f t="shared" si="44"/>
        <v/>
      </c>
      <c r="G942" s="6"/>
      <c r="H942" s="6"/>
      <c r="I942" s="6"/>
      <c r="J942" s="7"/>
      <c r="K942" s="5" t="str" cm="1">
        <f t="array" ref="K942">IF(OR(A942="",B942="",D942="",E942=""),"",A942&amp;"_"&amp;SUBSTITUTE(B942," ","-")&amp;"_"&amp;D942&amp;"_"&amp;SUBSTITUTE(SUBSTITUTE(E942," ",""),"€","Euro")&amp;"_"&amp;IF(F942="","Unknown",F942)&amp;IF(F942="Commemorative",IF(G942="","","_"&amp;SUBSTITUTE(SUBSTITUTE(SUBSTITUTE(G942," ","-"),"/","-"),CHAR(39),"")),"")&amp;IF(I942="Duplicate","_Dub"&amp;IF(SUMPRODUCT(($B$2:B942=B942)*($D$2:D942=D942)*($E$2:E942=E942)*($F$2:F942=F942)*($G$2:G942=G942)*($I$2:I942="Duplicate"))&lt;=1,"",SUMPRODUCT(($B$2:B942=B942)*($D$2:D942=D942)*($E$2:E942=E942)*($F$2:F942=F942)*($G$2:G942=G942)*($I$2:I942="Duplicate"))-1),"")&amp;".jpeg")</f>
        <v/>
      </c>
      <c r="L942" s="6"/>
      <c r="M942" s="5" t="str">
        <f>IFERROR(VLOOKUP(E942,Specifications!$A$2:$D$9,2,FALSE),"")</f>
        <v/>
      </c>
      <c r="N942" s="5" t="str">
        <f>IFERROR(VLOOKUP(E942,Specifications!$A$2:$D$9,3,FALSE),"")</f>
        <v/>
      </c>
      <c r="O942" s="5" t="str">
        <f>IFERROR(VLOOKUP(E942,Specifications!$A$2:$D$9,4,FALSE),"")</f>
        <v/>
      </c>
      <c r="P942" s="8" t="str">
        <f t="shared" si="45"/>
        <v/>
      </c>
      <c r="Q942" s="9"/>
    </row>
    <row r="943" spans="1:17" ht="15">
      <c r="A943" s="5" t="str">
        <f t="shared" si="43"/>
        <v/>
      </c>
      <c r="B943" s="6"/>
      <c r="C943" s="5" t="str">
        <f>IFERROR(VLOOKUP(B943,Lists!$A$2:$B$25,2,FALSE),"")</f>
        <v/>
      </c>
      <c r="D943" s="7"/>
      <c r="E943" s="6"/>
      <c r="F943" s="6" t="str">
        <f t="shared" si="44"/>
        <v/>
      </c>
      <c r="G943" s="6"/>
      <c r="H943" s="6"/>
      <c r="I943" s="6"/>
      <c r="J943" s="7"/>
      <c r="K943" s="5" t="str" cm="1">
        <f t="array" ref="K943">IF(OR(A943="",B943="",D943="",E943=""),"",A943&amp;"_"&amp;SUBSTITUTE(B943," ","-")&amp;"_"&amp;D943&amp;"_"&amp;SUBSTITUTE(SUBSTITUTE(E943," ",""),"€","Euro")&amp;"_"&amp;IF(F943="","Unknown",F943)&amp;IF(F943="Commemorative",IF(G943="","","_"&amp;SUBSTITUTE(SUBSTITUTE(SUBSTITUTE(G943," ","-"),"/","-"),CHAR(39),"")),"")&amp;IF(I943="Duplicate","_Dub"&amp;IF(SUMPRODUCT(($B$2:B943=B943)*($D$2:D943=D943)*($E$2:E943=E943)*($F$2:F943=F943)*($G$2:G943=G943)*($I$2:I943="Duplicate"))&lt;=1,"",SUMPRODUCT(($B$2:B943=B943)*($D$2:D943=D943)*($E$2:E943=E943)*($F$2:F943=F943)*($G$2:G943=G943)*($I$2:I943="Duplicate"))-1),"")&amp;".jpeg")</f>
        <v/>
      </c>
      <c r="L943" s="6"/>
      <c r="M943" s="5" t="str">
        <f>IFERROR(VLOOKUP(E943,Specifications!$A$2:$D$9,2,FALSE),"")</f>
        <v/>
      </c>
      <c r="N943" s="5" t="str">
        <f>IFERROR(VLOOKUP(E943,Specifications!$A$2:$D$9,3,FALSE),"")</f>
        <v/>
      </c>
      <c r="O943" s="5" t="str">
        <f>IFERROR(VLOOKUP(E943,Specifications!$A$2:$D$9,4,FALSE),"")</f>
        <v/>
      </c>
      <c r="P943" s="8" t="str">
        <f t="shared" si="45"/>
        <v/>
      </c>
      <c r="Q943" s="9"/>
    </row>
    <row r="944" spans="1:17" ht="15">
      <c r="A944" s="5" t="str">
        <f t="shared" si="43"/>
        <v/>
      </c>
      <c r="B944" s="6"/>
      <c r="C944" s="5" t="str">
        <f>IFERROR(VLOOKUP(B944,Lists!$A$2:$B$25,2,FALSE),"")</f>
        <v/>
      </c>
      <c r="D944" s="7"/>
      <c r="E944" s="6"/>
      <c r="F944" s="6" t="str">
        <f t="shared" si="44"/>
        <v/>
      </c>
      <c r="G944" s="6"/>
      <c r="H944" s="6"/>
      <c r="I944" s="6"/>
      <c r="J944" s="7"/>
      <c r="K944" s="5" t="str" cm="1">
        <f t="array" ref="K944">IF(OR(A944="",B944="",D944="",E944=""),"",A944&amp;"_"&amp;SUBSTITUTE(B944," ","-")&amp;"_"&amp;D944&amp;"_"&amp;SUBSTITUTE(SUBSTITUTE(E944," ",""),"€","Euro")&amp;"_"&amp;IF(F944="","Unknown",F944)&amp;IF(F944="Commemorative",IF(G944="","","_"&amp;SUBSTITUTE(SUBSTITUTE(SUBSTITUTE(G944," ","-"),"/","-"),CHAR(39),"")),"")&amp;IF(I944="Duplicate","_Dub"&amp;IF(SUMPRODUCT(($B$2:B944=B944)*($D$2:D944=D944)*($E$2:E944=E944)*($F$2:F944=F944)*($G$2:G944=G944)*($I$2:I944="Duplicate"))&lt;=1,"",SUMPRODUCT(($B$2:B944=B944)*($D$2:D944=D944)*($E$2:E944=E944)*($F$2:F944=F944)*($G$2:G944=G944)*($I$2:I944="Duplicate"))-1),"")&amp;".jpeg")</f>
        <v/>
      </c>
      <c r="L944" s="6"/>
      <c r="M944" s="5" t="str">
        <f>IFERROR(VLOOKUP(E944,Specifications!$A$2:$D$9,2,FALSE),"")</f>
        <v/>
      </c>
      <c r="N944" s="5" t="str">
        <f>IFERROR(VLOOKUP(E944,Specifications!$A$2:$D$9,3,FALSE),"")</f>
        <v/>
      </c>
      <c r="O944" s="5" t="str">
        <f>IFERROR(VLOOKUP(E944,Specifications!$A$2:$D$9,4,FALSE),"")</f>
        <v/>
      </c>
      <c r="P944" s="8" t="str">
        <f t="shared" si="45"/>
        <v/>
      </c>
      <c r="Q944" s="9"/>
    </row>
    <row r="945" spans="1:17" ht="15">
      <c r="A945" s="5" t="str">
        <f t="shared" si="43"/>
        <v/>
      </c>
      <c r="B945" s="6"/>
      <c r="C945" s="5" t="str">
        <f>IFERROR(VLOOKUP(B945,Lists!$A$2:$B$25,2,FALSE),"")</f>
        <v/>
      </c>
      <c r="D945" s="7"/>
      <c r="E945" s="6"/>
      <c r="F945" s="6" t="str">
        <f t="shared" si="44"/>
        <v/>
      </c>
      <c r="G945" s="6"/>
      <c r="H945" s="6"/>
      <c r="I945" s="6"/>
      <c r="J945" s="7"/>
      <c r="K945" s="5" t="str" cm="1">
        <f t="array" ref="K945">IF(OR(A945="",B945="",D945="",E945=""),"",A945&amp;"_"&amp;SUBSTITUTE(B945," ","-")&amp;"_"&amp;D945&amp;"_"&amp;SUBSTITUTE(SUBSTITUTE(E945," ",""),"€","Euro")&amp;"_"&amp;IF(F945="","Unknown",F945)&amp;IF(F945="Commemorative",IF(G945="","","_"&amp;SUBSTITUTE(SUBSTITUTE(SUBSTITUTE(G945," ","-"),"/","-"),CHAR(39),"")),"")&amp;IF(I945="Duplicate","_Dub"&amp;IF(SUMPRODUCT(($B$2:B945=B945)*($D$2:D945=D945)*($E$2:E945=E945)*($F$2:F945=F945)*($G$2:G945=G945)*($I$2:I945="Duplicate"))&lt;=1,"",SUMPRODUCT(($B$2:B945=B945)*($D$2:D945=D945)*($E$2:E945=E945)*($F$2:F945=F945)*($G$2:G945=G945)*($I$2:I945="Duplicate"))-1),"")&amp;".jpeg")</f>
        <v/>
      </c>
      <c r="L945" s="6"/>
      <c r="M945" s="5" t="str">
        <f>IFERROR(VLOOKUP(E945,Specifications!$A$2:$D$9,2,FALSE),"")</f>
        <v/>
      </c>
      <c r="N945" s="5" t="str">
        <f>IFERROR(VLOOKUP(E945,Specifications!$A$2:$D$9,3,FALSE),"")</f>
        <v/>
      </c>
      <c r="O945" s="5" t="str">
        <f>IFERROR(VLOOKUP(E945,Specifications!$A$2:$D$9,4,FALSE),"")</f>
        <v/>
      </c>
      <c r="P945" s="8" t="str">
        <f t="shared" si="45"/>
        <v/>
      </c>
      <c r="Q945" s="9"/>
    </row>
    <row r="946" spans="1:17" ht="15">
      <c r="A946" s="5" t="str">
        <f t="shared" si="43"/>
        <v/>
      </c>
      <c r="B946" s="6"/>
      <c r="C946" s="5" t="str">
        <f>IFERROR(VLOOKUP(B946,Lists!$A$2:$B$25,2,FALSE),"")</f>
        <v/>
      </c>
      <c r="D946" s="7"/>
      <c r="E946" s="6"/>
      <c r="F946" s="6" t="str">
        <f t="shared" si="44"/>
        <v/>
      </c>
      <c r="G946" s="6"/>
      <c r="H946" s="6"/>
      <c r="I946" s="6"/>
      <c r="J946" s="7"/>
      <c r="K946" s="5" t="str" cm="1">
        <f t="array" ref="K946">IF(OR(A946="",B946="",D946="",E946=""),"",A946&amp;"_"&amp;SUBSTITUTE(B946," ","-")&amp;"_"&amp;D946&amp;"_"&amp;SUBSTITUTE(SUBSTITUTE(E946," ",""),"€","Euro")&amp;"_"&amp;IF(F946="","Unknown",F946)&amp;IF(F946="Commemorative",IF(G946="","","_"&amp;SUBSTITUTE(SUBSTITUTE(SUBSTITUTE(G946," ","-"),"/","-"),CHAR(39),"")),"")&amp;IF(I946="Duplicate","_Dub"&amp;IF(SUMPRODUCT(($B$2:B946=B946)*($D$2:D946=D946)*($E$2:E946=E946)*($F$2:F946=F946)*($G$2:G946=G946)*($I$2:I946="Duplicate"))&lt;=1,"",SUMPRODUCT(($B$2:B946=B946)*($D$2:D946=D946)*($E$2:E946=E946)*($F$2:F946=F946)*($G$2:G946=G946)*($I$2:I946="Duplicate"))-1),"")&amp;".jpeg")</f>
        <v/>
      </c>
      <c r="L946" s="6"/>
      <c r="M946" s="5" t="str">
        <f>IFERROR(VLOOKUP(E946,Specifications!$A$2:$D$9,2,FALSE),"")</f>
        <v/>
      </c>
      <c r="N946" s="5" t="str">
        <f>IFERROR(VLOOKUP(E946,Specifications!$A$2:$D$9,3,FALSE),"")</f>
        <v/>
      </c>
      <c r="O946" s="5" t="str">
        <f>IFERROR(VLOOKUP(E946,Specifications!$A$2:$D$9,4,FALSE),"")</f>
        <v/>
      </c>
      <c r="P946" s="8" t="str">
        <f t="shared" si="45"/>
        <v/>
      </c>
      <c r="Q946" s="9"/>
    </row>
    <row r="947" spans="1:17" ht="15">
      <c r="A947" s="5" t="str">
        <f t="shared" si="43"/>
        <v/>
      </c>
      <c r="B947" s="6"/>
      <c r="C947" s="5" t="str">
        <f>IFERROR(VLOOKUP(B947,Lists!$A$2:$B$25,2,FALSE),"")</f>
        <v/>
      </c>
      <c r="D947" s="7"/>
      <c r="E947" s="6"/>
      <c r="F947" s="6" t="str">
        <f t="shared" si="44"/>
        <v/>
      </c>
      <c r="G947" s="6"/>
      <c r="H947" s="6"/>
      <c r="I947" s="6"/>
      <c r="J947" s="7"/>
      <c r="K947" s="5" t="str" cm="1">
        <f t="array" ref="K947">IF(OR(A947="",B947="",D947="",E947=""),"",A947&amp;"_"&amp;SUBSTITUTE(B947," ","-")&amp;"_"&amp;D947&amp;"_"&amp;SUBSTITUTE(SUBSTITUTE(E947," ",""),"€","Euro")&amp;"_"&amp;IF(F947="","Unknown",F947)&amp;IF(F947="Commemorative",IF(G947="","","_"&amp;SUBSTITUTE(SUBSTITUTE(SUBSTITUTE(G947," ","-"),"/","-"),CHAR(39),"")),"")&amp;IF(I947="Duplicate","_Dub"&amp;IF(SUMPRODUCT(($B$2:B947=B947)*($D$2:D947=D947)*($E$2:E947=E947)*($F$2:F947=F947)*($G$2:G947=G947)*($I$2:I947="Duplicate"))&lt;=1,"",SUMPRODUCT(($B$2:B947=B947)*($D$2:D947=D947)*($E$2:E947=E947)*($F$2:F947=F947)*($G$2:G947=G947)*($I$2:I947="Duplicate"))-1),"")&amp;".jpeg")</f>
        <v/>
      </c>
      <c r="L947" s="6"/>
      <c r="M947" s="5" t="str">
        <f>IFERROR(VLOOKUP(E947,Specifications!$A$2:$D$9,2,FALSE),"")</f>
        <v/>
      </c>
      <c r="N947" s="5" t="str">
        <f>IFERROR(VLOOKUP(E947,Specifications!$A$2:$D$9,3,FALSE),"")</f>
        <v/>
      </c>
      <c r="O947" s="5" t="str">
        <f>IFERROR(VLOOKUP(E947,Specifications!$A$2:$D$9,4,FALSE),"")</f>
        <v/>
      </c>
      <c r="P947" s="8" t="str">
        <f t="shared" si="45"/>
        <v/>
      </c>
      <c r="Q947" s="9"/>
    </row>
    <row r="948" spans="1:17" ht="15">
      <c r="A948" s="5" t="str">
        <f t="shared" si="43"/>
        <v/>
      </c>
      <c r="B948" s="6"/>
      <c r="C948" s="5" t="str">
        <f>IFERROR(VLOOKUP(B948,Lists!$A$2:$B$25,2,FALSE),"")</f>
        <v/>
      </c>
      <c r="D948" s="7"/>
      <c r="E948" s="6"/>
      <c r="F948" s="6" t="str">
        <f t="shared" si="44"/>
        <v/>
      </c>
      <c r="G948" s="6"/>
      <c r="H948" s="6"/>
      <c r="I948" s="6"/>
      <c r="J948" s="7"/>
      <c r="K948" s="5" t="str" cm="1">
        <f t="array" ref="K948">IF(OR(A948="",B948="",D948="",E948=""),"",A948&amp;"_"&amp;SUBSTITUTE(B948," ","-")&amp;"_"&amp;D948&amp;"_"&amp;SUBSTITUTE(SUBSTITUTE(E948," ",""),"€","Euro")&amp;"_"&amp;IF(F948="","Unknown",F948)&amp;IF(F948="Commemorative",IF(G948="","","_"&amp;SUBSTITUTE(SUBSTITUTE(SUBSTITUTE(G948," ","-"),"/","-"),CHAR(39),"")),"")&amp;IF(I948="Duplicate","_Dub"&amp;IF(SUMPRODUCT(($B$2:B948=B948)*($D$2:D948=D948)*($E$2:E948=E948)*($F$2:F948=F948)*($G$2:G948=G948)*($I$2:I948="Duplicate"))&lt;=1,"",SUMPRODUCT(($B$2:B948=B948)*($D$2:D948=D948)*($E$2:E948=E948)*($F$2:F948=F948)*($G$2:G948=G948)*($I$2:I948="Duplicate"))-1),"")&amp;".jpeg")</f>
        <v/>
      </c>
      <c r="L948" s="6"/>
      <c r="M948" s="5" t="str">
        <f>IFERROR(VLOOKUP(E948,Specifications!$A$2:$D$9,2,FALSE),"")</f>
        <v/>
      </c>
      <c r="N948" s="5" t="str">
        <f>IFERROR(VLOOKUP(E948,Specifications!$A$2:$D$9,3,FALSE),"")</f>
        <v/>
      </c>
      <c r="O948" s="5" t="str">
        <f>IFERROR(VLOOKUP(E948,Specifications!$A$2:$D$9,4,FALSE),"")</f>
        <v/>
      </c>
      <c r="P948" s="8" t="str">
        <f t="shared" si="45"/>
        <v/>
      </c>
      <c r="Q948" s="9"/>
    </row>
    <row r="949" spans="1:17" ht="15">
      <c r="A949" s="5" t="str">
        <f t="shared" si="43"/>
        <v/>
      </c>
      <c r="B949" s="6"/>
      <c r="C949" s="5" t="str">
        <f>IFERROR(VLOOKUP(B949,Lists!$A$2:$B$25,2,FALSE),"")</f>
        <v/>
      </c>
      <c r="D949" s="7"/>
      <c r="E949" s="6"/>
      <c r="F949" s="6" t="str">
        <f t="shared" si="44"/>
        <v/>
      </c>
      <c r="G949" s="6"/>
      <c r="H949" s="6"/>
      <c r="I949" s="6"/>
      <c r="J949" s="7"/>
      <c r="K949" s="5" t="str" cm="1">
        <f t="array" ref="K949">IF(OR(A949="",B949="",D949="",E949=""),"",A949&amp;"_"&amp;SUBSTITUTE(B949," ","-")&amp;"_"&amp;D949&amp;"_"&amp;SUBSTITUTE(SUBSTITUTE(E949," ",""),"€","Euro")&amp;"_"&amp;IF(F949="","Unknown",F949)&amp;IF(F949="Commemorative",IF(G949="","","_"&amp;SUBSTITUTE(SUBSTITUTE(SUBSTITUTE(G949," ","-"),"/","-"),CHAR(39),"")),"")&amp;IF(I949="Duplicate","_Dub"&amp;IF(SUMPRODUCT(($B$2:B949=B949)*($D$2:D949=D949)*($E$2:E949=E949)*($F$2:F949=F949)*($G$2:G949=G949)*($I$2:I949="Duplicate"))&lt;=1,"",SUMPRODUCT(($B$2:B949=B949)*($D$2:D949=D949)*($E$2:E949=E949)*($F$2:F949=F949)*($G$2:G949=G949)*($I$2:I949="Duplicate"))-1),"")&amp;".jpeg")</f>
        <v/>
      </c>
      <c r="L949" s="6"/>
      <c r="M949" s="5" t="str">
        <f>IFERROR(VLOOKUP(E949,Specifications!$A$2:$D$9,2,FALSE),"")</f>
        <v/>
      </c>
      <c r="N949" s="5" t="str">
        <f>IFERROR(VLOOKUP(E949,Specifications!$A$2:$D$9,3,FALSE),"")</f>
        <v/>
      </c>
      <c r="O949" s="5" t="str">
        <f>IFERROR(VLOOKUP(E949,Specifications!$A$2:$D$9,4,FALSE),"")</f>
        <v/>
      </c>
      <c r="P949" s="8" t="str">
        <f t="shared" si="45"/>
        <v/>
      </c>
      <c r="Q949" s="9"/>
    </row>
    <row r="950" spans="1:17" ht="15">
      <c r="A950" s="5" t="str">
        <f t="shared" si="43"/>
        <v/>
      </c>
      <c r="B950" s="6"/>
      <c r="C950" s="5" t="str">
        <f>IFERROR(VLOOKUP(B950,Lists!$A$2:$B$25,2,FALSE),"")</f>
        <v/>
      </c>
      <c r="D950" s="7"/>
      <c r="E950" s="6"/>
      <c r="F950" s="6" t="str">
        <f t="shared" si="44"/>
        <v/>
      </c>
      <c r="G950" s="6"/>
      <c r="H950" s="6"/>
      <c r="I950" s="6"/>
      <c r="J950" s="7"/>
      <c r="K950" s="5" t="str" cm="1">
        <f t="array" ref="K950">IF(OR(A950="",B950="",D950="",E950=""),"",A950&amp;"_"&amp;SUBSTITUTE(B950," ","-")&amp;"_"&amp;D950&amp;"_"&amp;SUBSTITUTE(SUBSTITUTE(E950," ",""),"€","Euro")&amp;"_"&amp;IF(F950="","Unknown",F950)&amp;IF(F950="Commemorative",IF(G950="","","_"&amp;SUBSTITUTE(SUBSTITUTE(SUBSTITUTE(G950," ","-"),"/","-"),CHAR(39),"")),"")&amp;IF(I950="Duplicate","_Dub"&amp;IF(SUMPRODUCT(($B$2:B950=B950)*($D$2:D950=D950)*($E$2:E950=E950)*($F$2:F950=F950)*($G$2:G950=G950)*($I$2:I950="Duplicate"))&lt;=1,"",SUMPRODUCT(($B$2:B950=B950)*($D$2:D950=D950)*($E$2:E950=E950)*($F$2:F950=F950)*($G$2:G950=G950)*($I$2:I950="Duplicate"))-1),"")&amp;".jpeg")</f>
        <v/>
      </c>
      <c r="L950" s="6"/>
      <c r="M950" s="5" t="str">
        <f>IFERROR(VLOOKUP(E950,Specifications!$A$2:$D$9,2,FALSE),"")</f>
        <v/>
      </c>
      <c r="N950" s="5" t="str">
        <f>IFERROR(VLOOKUP(E950,Specifications!$A$2:$D$9,3,FALSE),"")</f>
        <v/>
      </c>
      <c r="O950" s="5" t="str">
        <f>IFERROR(VLOOKUP(E950,Specifications!$A$2:$D$9,4,FALSE),"")</f>
        <v/>
      </c>
      <c r="P950" s="8" t="str">
        <f t="shared" si="45"/>
        <v/>
      </c>
      <c r="Q950" s="9"/>
    </row>
    <row r="951" spans="1:17" ht="15">
      <c r="A951" s="5" t="str">
        <f t="shared" si="43"/>
        <v/>
      </c>
      <c r="B951" s="6"/>
      <c r="C951" s="5" t="str">
        <f>IFERROR(VLOOKUP(B951,Lists!$A$2:$B$25,2,FALSE),"")</f>
        <v/>
      </c>
      <c r="D951" s="7"/>
      <c r="E951" s="6"/>
      <c r="F951" s="6" t="str">
        <f t="shared" si="44"/>
        <v/>
      </c>
      <c r="G951" s="6"/>
      <c r="H951" s="6"/>
      <c r="I951" s="6"/>
      <c r="J951" s="7"/>
      <c r="K951" s="5" t="str" cm="1">
        <f t="array" ref="K951">IF(OR(A951="",B951="",D951="",E951=""),"",A951&amp;"_"&amp;SUBSTITUTE(B951," ","-")&amp;"_"&amp;D951&amp;"_"&amp;SUBSTITUTE(SUBSTITUTE(E951," ",""),"€","Euro")&amp;"_"&amp;IF(F951="","Unknown",F951)&amp;IF(F951="Commemorative",IF(G951="","","_"&amp;SUBSTITUTE(SUBSTITUTE(SUBSTITUTE(G951," ","-"),"/","-"),CHAR(39),"")),"")&amp;IF(I951="Duplicate","_Dub"&amp;IF(SUMPRODUCT(($B$2:B951=B951)*($D$2:D951=D951)*($E$2:E951=E951)*($F$2:F951=F951)*($G$2:G951=G951)*($I$2:I951="Duplicate"))&lt;=1,"",SUMPRODUCT(($B$2:B951=B951)*($D$2:D951=D951)*($E$2:E951=E951)*($F$2:F951=F951)*($G$2:G951=G951)*($I$2:I951="Duplicate"))-1),"")&amp;".jpeg")</f>
        <v/>
      </c>
      <c r="L951" s="6"/>
      <c r="M951" s="5" t="str">
        <f>IFERROR(VLOOKUP(E951,Specifications!$A$2:$D$9,2,FALSE),"")</f>
        <v/>
      </c>
      <c r="N951" s="5" t="str">
        <f>IFERROR(VLOOKUP(E951,Specifications!$A$2:$D$9,3,FALSE),"")</f>
        <v/>
      </c>
      <c r="O951" s="5" t="str">
        <f>IFERROR(VLOOKUP(E951,Specifications!$A$2:$D$9,4,FALSE),"")</f>
        <v/>
      </c>
      <c r="P951" s="8" t="str">
        <f t="shared" si="45"/>
        <v/>
      </c>
      <c r="Q951" s="9"/>
    </row>
    <row r="952" spans="1:17" ht="15">
      <c r="A952" s="5" t="str">
        <f t="shared" si="43"/>
        <v/>
      </c>
      <c r="B952" s="6"/>
      <c r="C952" s="5" t="str">
        <f>IFERROR(VLOOKUP(B952,Lists!$A$2:$B$25,2,FALSE),"")</f>
        <v/>
      </c>
      <c r="D952" s="7"/>
      <c r="E952" s="6"/>
      <c r="F952" s="6" t="str">
        <f t="shared" si="44"/>
        <v/>
      </c>
      <c r="G952" s="6"/>
      <c r="H952" s="6"/>
      <c r="I952" s="6"/>
      <c r="J952" s="7"/>
      <c r="K952" s="5" t="str" cm="1">
        <f t="array" ref="K952">IF(OR(A952="",B952="",D952="",E952=""),"",A952&amp;"_"&amp;SUBSTITUTE(B952," ","-")&amp;"_"&amp;D952&amp;"_"&amp;SUBSTITUTE(SUBSTITUTE(E952," ",""),"€","Euro")&amp;"_"&amp;IF(F952="","Unknown",F952)&amp;IF(F952="Commemorative",IF(G952="","","_"&amp;SUBSTITUTE(SUBSTITUTE(SUBSTITUTE(G952," ","-"),"/","-"),CHAR(39),"")),"")&amp;IF(I952="Duplicate","_Dub"&amp;IF(SUMPRODUCT(($B$2:B952=B952)*($D$2:D952=D952)*($E$2:E952=E952)*($F$2:F952=F952)*($G$2:G952=G952)*($I$2:I952="Duplicate"))&lt;=1,"",SUMPRODUCT(($B$2:B952=B952)*($D$2:D952=D952)*($E$2:E952=E952)*($F$2:F952=F952)*($G$2:G952=G952)*($I$2:I952="Duplicate"))-1),"")&amp;".jpeg")</f>
        <v/>
      </c>
      <c r="L952" s="6"/>
      <c r="M952" s="5" t="str">
        <f>IFERROR(VLOOKUP(E952,Specifications!$A$2:$D$9,2,FALSE),"")</f>
        <v/>
      </c>
      <c r="N952" s="5" t="str">
        <f>IFERROR(VLOOKUP(E952,Specifications!$A$2:$D$9,3,FALSE),"")</f>
        <v/>
      </c>
      <c r="O952" s="5" t="str">
        <f>IFERROR(VLOOKUP(E952,Specifications!$A$2:$D$9,4,FALSE),"")</f>
        <v/>
      </c>
      <c r="P952" s="8" t="str">
        <f t="shared" si="45"/>
        <v/>
      </c>
      <c r="Q952" s="9"/>
    </row>
    <row r="953" spans="1:17" ht="15">
      <c r="A953" s="5" t="str">
        <f t="shared" si="43"/>
        <v/>
      </c>
      <c r="B953" s="6"/>
      <c r="C953" s="5" t="str">
        <f>IFERROR(VLOOKUP(B953,Lists!$A$2:$B$25,2,FALSE),"")</f>
        <v/>
      </c>
      <c r="D953" s="7"/>
      <c r="E953" s="6"/>
      <c r="F953" s="6" t="str">
        <f t="shared" si="44"/>
        <v/>
      </c>
      <c r="G953" s="6"/>
      <c r="H953" s="6"/>
      <c r="I953" s="6"/>
      <c r="J953" s="7"/>
      <c r="K953" s="5" t="str" cm="1">
        <f t="array" ref="K953">IF(OR(A953="",B953="",D953="",E953=""),"",A953&amp;"_"&amp;SUBSTITUTE(B953," ","-")&amp;"_"&amp;D953&amp;"_"&amp;SUBSTITUTE(SUBSTITUTE(E953," ",""),"€","Euro")&amp;"_"&amp;IF(F953="","Unknown",F953)&amp;IF(F953="Commemorative",IF(G953="","","_"&amp;SUBSTITUTE(SUBSTITUTE(SUBSTITUTE(G953," ","-"),"/","-"),CHAR(39),"")),"")&amp;IF(I953="Duplicate","_Dub"&amp;IF(SUMPRODUCT(($B$2:B953=B953)*($D$2:D953=D953)*($E$2:E953=E953)*($F$2:F953=F953)*($G$2:G953=G953)*($I$2:I953="Duplicate"))&lt;=1,"",SUMPRODUCT(($B$2:B953=B953)*($D$2:D953=D953)*($E$2:E953=E953)*($F$2:F953=F953)*($G$2:G953=G953)*($I$2:I953="Duplicate"))-1),"")&amp;".jpeg")</f>
        <v/>
      </c>
      <c r="L953" s="6"/>
      <c r="M953" s="5" t="str">
        <f>IFERROR(VLOOKUP(E953,Specifications!$A$2:$D$9,2,FALSE),"")</f>
        <v/>
      </c>
      <c r="N953" s="5" t="str">
        <f>IFERROR(VLOOKUP(E953,Specifications!$A$2:$D$9,3,FALSE),"")</f>
        <v/>
      </c>
      <c r="O953" s="5" t="str">
        <f>IFERROR(VLOOKUP(E953,Specifications!$A$2:$D$9,4,FALSE),"")</f>
        <v/>
      </c>
      <c r="P953" s="8" t="str">
        <f t="shared" si="45"/>
        <v/>
      </c>
      <c r="Q953" s="9"/>
    </row>
    <row r="954" spans="1:17" ht="15">
      <c r="A954" s="5" t="str">
        <f t="shared" si="43"/>
        <v/>
      </c>
      <c r="B954" s="6"/>
      <c r="C954" s="5" t="str">
        <f>IFERROR(VLOOKUP(B954,Lists!$A$2:$B$25,2,FALSE),"")</f>
        <v/>
      </c>
      <c r="D954" s="7"/>
      <c r="E954" s="6"/>
      <c r="F954" s="6" t="str">
        <f t="shared" si="44"/>
        <v/>
      </c>
      <c r="G954" s="6"/>
      <c r="H954" s="6"/>
      <c r="I954" s="6"/>
      <c r="J954" s="7"/>
      <c r="K954" s="5" t="str" cm="1">
        <f t="array" ref="K954">IF(OR(A954="",B954="",D954="",E954=""),"",A954&amp;"_"&amp;SUBSTITUTE(B954," ","-")&amp;"_"&amp;D954&amp;"_"&amp;SUBSTITUTE(SUBSTITUTE(E954," ",""),"€","Euro")&amp;"_"&amp;IF(F954="","Unknown",F954)&amp;IF(F954="Commemorative",IF(G954="","","_"&amp;SUBSTITUTE(SUBSTITUTE(SUBSTITUTE(G954," ","-"),"/","-"),CHAR(39),"")),"")&amp;IF(I954="Duplicate","_Dub"&amp;IF(SUMPRODUCT(($B$2:B954=B954)*($D$2:D954=D954)*($E$2:E954=E954)*($F$2:F954=F954)*($G$2:G954=G954)*($I$2:I954="Duplicate"))&lt;=1,"",SUMPRODUCT(($B$2:B954=B954)*($D$2:D954=D954)*($E$2:E954=E954)*($F$2:F954=F954)*($G$2:G954=G954)*($I$2:I954="Duplicate"))-1),"")&amp;".jpeg")</f>
        <v/>
      </c>
      <c r="L954" s="6"/>
      <c r="M954" s="5" t="str">
        <f>IFERROR(VLOOKUP(E954,Specifications!$A$2:$D$9,2,FALSE),"")</f>
        <v/>
      </c>
      <c r="N954" s="5" t="str">
        <f>IFERROR(VLOOKUP(E954,Specifications!$A$2:$D$9,3,FALSE),"")</f>
        <v/>
      </c>
      <c r="O954" s="5" t="str">
        <f>IFERROR(VLOOKUP(E954,Specifications!$A$2:$D$9,4,FALSE),"")</f>
        <v/>
      </c>
      <c r="P954" s="8" t="str">
        <f t="shared" si="45"/>
        <v/>
      </c>
      <c r="Q954" s="9"/>
    </row>
    <row r="955" spans="1:17" ht="15">
      <c r="A955" s="5" t="str">
        <f t="shared" si="43"/>
        <v/>
      </c>
      <c r="B955" s="6"/>
      <c r="C955" s="5" t="str">
        <f>IFERROR(VLOOKUP(B955,Lists!$A$2:$B$25,2,FALSE),"")</f>
        <v/>
      </c>
      <c r="D955" s="7"/>
      <c r="E955" s="6"/>
      <c r="F955" s="6" t="str">
        <f t="shared" si="44"/>
        <v/>
      </c>
      <c r="G955" s="6"/>
      <c r="H955" s="6"/>
      <c r="I955" s="6"/>
      <c r="J955" s="7"/>
      <c r="K955" s="5" t="str" cm="1">
        <f t="array" ref="K955">IF(OR(A955="",B955="",D955="",E955=""),"",A955&amp;"_"&amp;SUBSTITUTE(B955," ","-")&amp;"_"&amp;D955&amp;"_"&amp;SUBSTITUTE(SUBSTITUTE(E955," ",""),"€","Euro")&amp;"_"&amp;IF(F955="","Unknown",F955)&amp;IF(F955="Commemorative",IF(G955="","","_"&amp;SUBSTITUTE(SUBSTITUTE(SUBSTITUTE(G955," ","-"),"/","-"),CHAR(39),"")),"")&amp;IF(I955="Duplicate","_Dub"&amp;IF(SUMPRODUCT(($B$2:B955=B955)*($D$2:D955=D955)*($E$2:E955=E955)*($F$2:F955=F955)*($G$2:G955=G955)*($I$2:I955="Duplicate"))&lt;=1,"",SUMPRODUCT(($B$2:B955=B955)*($D$2:D955=D955)*($E$2:E955=E955)*($F$2:F955=F955)*($G$2:G955=G955)*($I$2:I955="Duplicate"))-1),"")&amp;".jpeg")</f>
        <v/>
      </c>
      <c r="L955" s="6"/>
      <c r="M955" s="5" t="str">
        <f>IFERROR(VLOOKUP(E955,Specifications!$A$2:$D$9,2,FALSE),"")</f>
        <v/>
      </c>
      <c r="N955" s="5" t="str">
        <f>IFERROR(VLOOKUP(E955,Specifications!$A$2:$D$9,3,FALSE),"")</f>
        <v/>
      </c>
      <c r="O955" s="5" t="str">
        <f>IFERROR(VLOOKUP(E955,Specifications!$A$2:$D$9,4,FALSE),"")</f>
        <v/>
      </c>
      <c r="P955" s="8" t="str">
        <f t="shared" si="45"/>
        <v/>
      </c>
      <c r="Q955" s="9"/>
    </row>
    <row r="956" spans="1:17" ht="15">
      <c r="A956" s="5" t="str">
        <f t="shared" si="43"/>
        <v/>
      </c>
      <c r="B956" s="6"/>
      <c r="C956" s="5" t="str">
        <f>IFERROR(VLOOKUP(B956,Lists!$A$2:$B$25,2,FALSE),"")</f>
        <v/>
      </c>
      <c r="D956" s="7"/>
      <c r="E956" s="6"/>
      <c r="F956" s="6" t="str">
        <f t="shared" si="44"/>
        <v/>
      </c>
      <c r="G956" s="6"/>
      <c r="H956" s="6"/>
      <c r="I956" s="6"/>
      <c r="J956" s="7"/>
      <c r="K956" s="5" t="str" cm="1">
        <f t="array" ref="K956">IF(OR(A956="",B956="",D956="",E956=""),"",A956&amp;"_"&amp;SUBSTITUTE(B956," ","-")&amp;"_"&amp;D956&amp;"_"&amp;SUBSTITUTE(SUBSTITUTE(E956," ",""),"€","Euro")&amp;"_"&amp;IF(F956="","Unknown",F956)&amp;IF(F956="Commemorative",IF(G956="","","_"&amp;SUBSTITUTE(SUBSTITUTE(SUBSTITUTE(G956," ","-"),"/","-"),CHAR(39),"")),"")&amp;IF(I956="Duplicate","_Dub"&amp;IF(SUMPRODUCT(($B$2:B956=B956)*($D$2:D956=D956)*($E$2:E956=E956)*($F$2:F956=F956)*($G$2:G956=G956)*($I$2:I956="Duplicate"))&lt;=1,"",SUMPRODUCT(($B$2:B956=B956)*($D$2:D956=D956)*($E$2:E956=E956)*($F$2:F956=F956)*($G$2:G956=G956)*($I$2:I956="Duplicate"))-1),"")&amp;".jpeg")</f>
        <v/>
      </c>
      <c r="L956" s="6"/>
      <c r="M956" s="5" t="str">
        <f>IFERROR(VLOOKUP(E956,Specifications!$A$2:$D$9,2,FALSE),"")</f>
        <v/>
      </c>
      <c r="N956" s="5" t="str">
        <f>IFERROR(VLOOKUP(E956,Specifications!$A$2:$D$9,3,FALSE),"")</f>
        <v/>
      </c>
      <c r="O956" s="5" t="str">
        <f>IFERROR(VLOOKUP(E956,Specifications!$A$2:$D$9,4,FALSE),"")</f>
        <v/>
      </c>
      <c r="P956" s="8" t="str">
        <f t="shared" si="45"/>
        <v/>
      </c>
      <c r="Q956" s="9"/>
    </row>
    <row r="957" spans="1:17" ht="15">
      <c r="A957" s="5" t="str">
        <f t="shared" si="43"/>
        <v/>
      </c>
      <c r="B957" s="6"/>
      <c r="C957" s="5" t="str">
        <f>IFERROR(VLOOKUP(B957,Lists!$A$2:$B$25,2,FALSE),"")</f>
        <v/>
      </c>
      <c r="D957" s="7"/>
      <c r="E957" s="6"/>
      <c r="F957" s="6" t="str">
        <f t="shared" si="44"/>
        <v/>
      </c>
      <c r="G957" s="6"/>
      <c r="H957" s="6"/>
      <c r="I957" s="6"/>
      <c r="J957" s="7"/>
      <c r="K957" s="5" t="str" cm="1">
        <f t="array" ref="K957">IF(OR(A957="",B957="",D957="",E957=""),"",A957&amp;"_"&amp;SUBSTITUTE(B957," ","-")&amp;"_"&amp;D957&amp;"_"&amp;SUBSTITUTE(SUBSTITUTE(E957," ",""),"€","Euro")&amp;"_"&amp;IF(F957="","Unknown",F957)&amp;IF(F957="Commemorative",IF(G957="","","_"&amp;SUBSTITUTE(SUBSTITUTE(SUBSTITUTE(G957," ","-"),"/","-"),CHAR(39),"")),"")&amp;IF(I957="Duplicate","_Dub"&amp;IF(SUMPRODUCT(($B$2:B957=B957)*($D$2:D957=D957)*($E$2:E957=E957)*($F$2:F957=F957)*($G$2:G957=G957)*($I$2:I957="Duplicate"))&lt;=1,"",SUMPRODUCT(($B$2:B957=B957)*($D$2:D957=D957)*($E$2:E957=E957)*($F$2:F957=F957)*($G$2:G957=G957)*($I$2:I957="Duplicate"))-1),"")&amp;".jpeg")</f>
        <v/>
      </c>
      <c r="L957" s="6"/>
      <c r="M957" s="5" t="str">
        <f>IFERROR(VLOOKUP(E957,Specifications!$A$2:$D$9,2,FALSE),"")</f>
        <v/>
      </c>
      <c r="N957" s="5" t="str">
        <f>IFERROR(VLOOKUP(E957,Specifications!$A$2:$D$9,3,FALSE),"")</f>
        <v/>
      </c>
      <c r="O957" s="5" t="str">
        <f>IFERROR(VLOOKUP(E957,Specifications!$A$2:$D$9,4,FALSE),"")</f>
        <v/>
      </c>
      <c r="P957" s="8" t="str">
        <f t="shared" si="45"/>
        <v/>
      </c>
      <c r="Q957" s="9"/>
    </row>
    <row r="958" spans="1:17" ht="15">
      <c r="A958" s="5" t="str">
        <f t="shared" si="43"/>
        <v/>
      </c>
      <c r="B958" s="6"/>
      <c r="C958" s="5" t="str">
        <f>IFERROR(VLOOKUP(B958,Lists!$A$2:$B$25,2,FALSE),"")</f>
        <v/>
      </c>
      <c r="D958" s="7"/>
      <c r="E958" s="6"/>
      <c r="F958" s="6" t="str">
        <f t="shared" si="44"/>
        <v/>
      </c>
      <c r="G958" s="6"/>
      <c r="H958" s="6"/>
      <c r="I958" s="6"/>
      <c r="J958" s="7"/>
      <c r="K958" s="5" t="str" cm="1">
        <f t="array" ref="K958">IF(OR(A958="",B958="",D958="",E958=""),"",A958&amp;"_"&amp;SUBSTITUTE(B958," ","-")&amp;"_"&amp;D958&amp;"_"&amp;SUBSTITUTE(SUBSTITUTE(E958," ",""),"€","Euro")&amp;"_"&amp;IF(F958="","Unknown",F958)&amp;IF(F958="Commemorative",IF(G958="","","_"&amp;SUBSTITUTE(SUBSTITUTE(SUBSTITUTE(G958," ","-"),"/","-"),CHAR(39),"")),"")&amp;IF(I958="Duplicate","_Dub"&amp;IF(SUMPRODUCT(($B$2:B958=B958)*($D$2:D958=D958)*($E$2:E958=E958)*($F$2:F958=F958)*($G$2:G958=G958)*($I$2:I958="Duplicate"))&lt;=1,"",SUMPRODUCT(($B$2:B958=B958)*($D$2:D958=D958)*($E$2:E958=E958)*($F$2:F958=F958)*($G$2:G958=G958)*($I$2:I958="Duplicate"))-1),"")&amp;".jpeg")</f>
        <v/>
      </c>
      <c r="L958" s="6"/>
      <c r="M958" s="5" t="str">
        <f>IFERROR(VLOOKUP(E958,Specifications!$A$2:$D$9,2,FALSE),"")</f>
        <v/>
      </c>
      <c r="N958" s="5" t="str">
        <f>IFERROR(VLOOKUP(E958,Specifications!$A$2:$D$9,3,FALSE),"")</f>
        <v/>
      </c>
      <c r="O958" s="5" t="str">
        <f>IFERROR(VLOOKUP(E958,Specifications!$A$2:$D$9,4,FALSE),"")</f>
        <v/>
      </c>
      <c r="P958" s="8" t="str">
        <f t="shared" si="45"/>
        <v/>
      </c>
      <c r="Q958" s="9"/>
    </row>
    <row r="959" spans="1:17" ht="15">
      <c r="A959" s="5" t="str">
        <f t="shared" si="43"/>
        <v/>
      </c>
      <c r="B959" s="6"/>
      <c r="C959" s="5" t="str">
        <f>IFERROR(VLOOKUP(B959,Lists!$A$2:$B$25,2,FALSE),"")</f>
        <v/>
      </c>
      <c r="D959" s="7"/>
      <c r="E959" s="6"/>
      <c r="F959" s="6" t="str">
        <f t="shared" si="44"/>
        <v/>
      </c>
      <c r="G959" s="6"/>
      <c r="H959" s="6"/>
      <c r="I959" s="6"/>
      <c r="J959" s="7"/>
      <c r="K959" s="5" t="str" cm="1">
        <f t="array" ref="K959">IF(OR(A959="",B959="",D959="",E959=""),"",A959&amp;"_"&amp;SUBSTITUTE(B959," ","-")&amp;"_"&amp;D959&amp;"_"&amp;SUBSTITUTE(SUBSTITUTE(E959," ",""),"€","Euro")&amp;"_"&amp;IF(F959="","Unknown",F959)&amp;IF(F959="Commemorative",IF(G959="","","_"&amp;SUBSTITUTE(SUBSTITUTE(SUBSTITUTE(G959," ","-"),"/","-"),CHAR(39),"")),"")&amp;IF(I959="Duplicate","_Dub"&amp;IF(SUMPRODUCT(($B$2:B959=B959)*($D$2:D959=D959)*($E$2:E959=E959)*($F$2:F959=F959)*($G$2:G959=G959)*($I$2:I959="Duplicate"))&lt;=1,"",SUMPRODUCT(($B$2:B959=B959)*($D$2:D959=D959)*($E$2:E959=E959)*($F$2:F959=F959)*($G$2:G959=G959)*($I$2:I959="Duplicate"))-1),"")&amp;".jpeg")</f>
        <v/>
      </c>
      <c r="L959" s="6"/>
      <c r="M959" s="5" t="str">
        <f>IFERROR(VLOOKUP(E959,Specifications!$A$2:$D$9,2,FALSE),"")</f>
        <v/>
      </c>
      <c r="N959" s="5" t="str">
        <f>IFERROR(VLOOKUP(E959,Specifications!$A$2:$D$9,3,FALSE),"")</f>
        <v/>
      </c>
      <c r="O959" s="5" t="str">
        <f>IFERROR(VLOOKUP(E959,Specifications!$A$2:$D$9,4,FALSE),"")</f>
        <v/>
      </c>
      <c r="P959" s="8" t="str">
        <f t="shared" si="45"/>
        <v/>
      </c>
      <c r="Q959" s="9"/>
    </row>
    <row r="960" spans="1:17" ht="15">
      <c r="A960" s="5" t="str">
        <f t="shared" si="43"/>
        <v/>
      </c>
      <c r="B960" s="6"/>
      <c r="C960" s="5" t="str">
        <f>IFERROR(VLOOKUP(B960,Lists!$A$2:$B$25,2,FALSE),"")</f>
        <v/>
      </c>
      <c r="D960" s="7"/>
      <c r="E960" s="6"/>
      <c r="F960" s="6" t="str">
        <f t="shared" si="44"/>
        <v/>
      </c>
      <c r="G960" s="6"/>
      <c r="H960" s="6"/>
      <c r="I960" s="6"/>
      <c r="J960" s="7"/>
      <c r="K960" s="5" t="str" cm="1">
        <f t="array" ref="K960">IF(OR(A960="",B960="",D960="",E960=""),"",A960&amp;"_"&amp;SUBSTITUTE(B960," ","-")&amp;"_"&amp;D960&amp;"_"&amp;SUBSTITUTE(SUBSTITUTE(E960," ",""),"€","Euro")&amp;"_"&amp;IF(F960="","Unknown",F960)&amp;IF(F960="Commemorative",IF(G960="","","_"&amp;SUBSTITUTE(SUBSTITUTE(SUBSTITUTE(G960," ","-"),"/","-"),CHAR(39),"")),"")&amp;IF(I960="Duplicate","_Dub"&amp;IF(SUMPRODUCT(($B$2:B960=B960)*($D$2:D960=D960)*($E$2:E960=E960)*($F$2:F960=F960)*($G$2:G960=G960)*($I$2:I960="Duplicate"))&lt;=1,"",SUMPRODUCT(($B$2:B960=B960)*($D$2:D960=D960)*($E$2:E960=E960)*($F$2:F960=F960)*($G$2:G960=G960)*($I$2:I960="Duplicate"))-1),"")&amp;".jpeg")</f>
        <v/>
      </c>
      <c r="L960" s="6"/>
      <c r="M960" s="5" t="str">
        <f>IFERROR(VLOOKUP(E960,Specifications!$A$2:$D$9,2,FALSE),"")</f>
        <v/>
      </c>
      <c r="N960" s="5" t="str">
        <f>IFERROR(VLOOKUP(E960,Specifications!$A$2:$D$9,3,FALSE),"")</f>
        <v/>
      </c>
      <c r="O960" s="5" t="str">
        <f>IFERROR(VLOOKUP(E960,Specifications!$A$2:$D$9,4,FALSE),"")</f>
        <v/>
      </c>
      <c r="P960" s="8" t="str">
        <f t="shared" si="45"/>
        <v/>
      </c>
      <c r="Q960" s="9"/>
    </row>
    <row r="961" spans="1:17" ht="15">
      <c r="A961" s="5" t="str">
        <f t="shared" si="43"/>
        <v/>
      </c>
      <c r="B961" s="6"/>
      <c r="C961" s="5" t="str">
        <f>IFERROR(VLOOKUP(B961,Lists!$A$2:$B$25,2,FALSE),"")</f>
        <v/>
      </c>
      <c r="D961" s="7"/>
      <c r="E961" s="6"/>
      <c r="F961" s="6" t="str">
        <f t="shared" si="44"/>
        <v/>
      </c>
      <c r="G961" s="6"/>
      <c r="H961" s="6"/>
      <c r="I961" s="6"/>
      <c r="J961" s="7"/>
      <c r="K961" s="5" t="str" cm="1">
        <f t="array" ref="K961">IF(OR(A961="",B961="",D961="",E961=""),"",A961&amp;"_"&amp;SUBSTITUTE(B961," ","-")&amp;"_"&amp;D961&amp;"_"&amp;SUBSTITUTE(SUBSTITUTE(E961," ",""),"€","Euro")&amp;"_"&amp;IF(F961="","Unknown",F961)&amp;IF(F961="Commemorative",IF(G961="","","_"&amp;SUBSTITUTE(SUBSTITUTE(SUBSTITUTE(G961," ","-"),"/","-"),CHAR(39),"")),"")&amp;IF(I961="Duplicate","_Dub"&amp;IF(SUMPRODUCT(($B$2:B961=B961)*($D$2:D961=D961)*($E$2:E961=E961)*($F$2:F961=F961)*($G$2:G961=G961)*($I$2:I961="Duplicate"))&lt;=1,"",SUMPRODUCT(($B$2:B961=B961)*($D$2:D961=D961)*($E$2:E961=E961)*($F$2:F961=F961)*($G$2:G961=G961)*($I$2:I961="Duplicate"))-1),"")&amp;".jpeg")</f>
        <v/>
      </c>
      <c r="L961" s="6"/>
      <c r="M961" s="5" t="str">
        <f>IFERROR(VLOOKUP(E961,Specifications!$A$2:$D$9,2,FALSE),"")</f>
        <v/>
      </c>
      <c r="N961" s="5" t="str">
        <f>IFERROR(VLOOKUP(E961,Specifications!$A$2:$D$9,3,FALSE),"")</f>
        <v/>
      </c>
      <c r="O961" s="5" t="str">
        <f>IFERROR(VLOOKUP(E961,Specifications!$A$2:$D$9,4,FALSE),"")</f>
        <v/>
      </c>
      <c r="P961" s="8" t="str">
        <f t="shared" si="45"/>
        <v/>
      </c>
      <c r="Q961" s="9"/>
    </row>
    <row r="962" spans="1:17" ht="15">
      <c r="A962" s="5" t="str">
        <f t="shared" ref="A962:A1025" si="46">IF(B962="","",TEXT(ROW()-1,"000"))</f>
        <v/>
      </c>
      <c r="B962" s="6"/>
      <c r="C962" s="5" t="str">
        <f>IFERROR(VLOOKUP(B962,Lists!$A$2:$B$25,2,FALSE),"")</f>
        <v/>
      </c>
      <c r="D962" s="7"/>
      <c r="E962" s="6"/>
      <c r="F962" s="6" t="str">
        <f t="shared" ref="F962:F1025" si="47">IF(E962="","",IF(E962="2 €","", "Regular"))</f>
        <v/>
      </c>
      <c r="G962" s="6"/>
      <c r="H962" s="6"/>
      <c r="I962" s="6"/>
      <c r="J962" s="7"/>
      <c r="K962" s="5" t="str" cm="1">
        <f t="array" ref="K962">IF(OR(A962="",B962="",D962="",E962=""),"",A962&amp;"_"&amp;SUBSTITUTE(B962," ","-")&amp;"_"&amp;D962&amp;"_"&amp;SUBSTITUTE(SUBSTITUTE(E962," ",""),"€","Euro")&amp;"_"&amp;IF(F962="","Unknown",F962)&amp;IF(F962="Commemorative",IF(G962="","","_"&amp;SUBSTITUTE(SUBSTITUTE(SUBSTITUTE(G962," ","-"),"/","-"),CHAR(39),"")),"")&amp;IF(I962="Duplicate","_Dub"&amp;IF(SUMPRODUCT(($B$2:B962=B962)*($D$2:D962=D962)*($E$2:E962=E962)*($F$2:F962=F962)*($G$2:G962=G962)*($I$2:I962="Duplicate"))&lt;=1,"",SUMPRODUCT(($B$2:B962=B962)*($D$2:D962=D962)*($E$2:E962=E962)*($F$2:F962=F962)*($G$2:G962=G962)*($I$2:I962="Duplicate"))-1),"")&amp;".jpeg")</f>
        <v/>
      </c>
      <c r="L962" s="6"/>
      <c r="M962" s="5" t="str">
        <f>IFERROR(VLOOKUP(E962,Specifications!$A$2:$D$9,2,FALSE),"")</f>
        <v/>
      </c>
      <c r="N962" s="5" t="str">
        <f>IFERROR(VLOOKUP(E962,Specifications!$A$2:$D$9,3,FALSE),"")</f>
        <v/>
      </c>
      <c r="O962" s="5" t="str">
        <f>IFERROR(VLOOKUP(E962,Specifications!$A$2:$D$9,4,FALSE),"")</f>
        <v/>
      </c>
      <c r="P962" s="8" t="str">
        <f t="shared" ref="P962:P1025" si="48">IF(OR(B962="",E962="",F962=""),"",IF(F962="Regular","Regular "&amp;E962&amp;" circulation coin of "&amp;B962&amp;".",IF(F962="Commemorative",IF(G962="","",E962&amp;" commemorative coin of "&amp;B962&amp;" – "&amp;G962&amp;"."),"")))</f>
        <v/>
      </c>
      <c r="Q962" s="9"/>
    </row>
    <row r="963" spans="1:17" ht="15">
      <c r="A963" s="5" t="str">
        <f t="shared" si="46"/>
        <v/>
      </c>
      <c r="B963" s="6"/>
      <c r="C963" s="5" t="str">
        <f>IFERROR(VLOOKUP(B963,Lists!$A$2:$B$25,2,FALSE),"")</f>
        <v/>
      </c>
      <c r="D963" s="7"/>
      <c r="E963" s="6"/>
      <c r="F963" s="6" t="str">
        <f t="shared" si="47"/>
        <v/>
      </c>
      <c r="G963" s="6"/>
      <c r="H963" s="6"/>
      <c r="I963" s="6"/>
      <c r="J963" s="7"/>
      <c r="K963" s="5" t="str" cm="1">
        <f t="array" ref="K963">IF(OR(A963="",B963="",D963="",E963=""),"",A963&amp;"_"&amp;SUBSTITUTE(B963," ","-")&amp;"_"&amp;D963&amp;"_"&amp;SUBSTITUTE(SUBSTITUTE(E963," ",""),"€","Euro")&amp;"_"&amp;IF(F963="","Unknown",F963)&amp;IF(F963="Commemorative",IF(G963="","","_"&amp;SUBSTITUTE(SUBSTITUTE(SUBSTITUTE(G963," ","-"),"/","-"),CHAR(39),"")),"")&amp;IF(I963="Duplicate","_Dub"&amp;IF(SUMPRODUCT(($B$2:B963=B963)*($D$2:D963=D963)*($E$2:E963=E963)*($F$2:F963=F963)*($G$2:G963=G963)*($I$2:I963="Duplicate"))&lt;=1,"",SUMPRODUCT(($B$2:B963=B963)*($D$2:D963=D963)*($E$2:E963=E963)*($F$2:F963=F963)*($G$2:G963=G963)*($I$2:I963="Duplicate"))-1),"")&amp;".jpeg")</f>
        <v/>
      </c>
      <c r="L963" s="6"/>
      <c r="M963" s="5" t="str">
        <f>IFERROR(VLOOKUP(E963,Specifications!$A$2:$D$9,2,FALSE),"")</f>
        <v/>
      </c>
      <c r="N963" s="5" t="str">
        <f>IFERROR(VLOOKUP(E963,Specifications!$A$2:$D$9,3,FALSE),"")</f>
        <v/>
      </c>
      <c r="O963" s="5" t="str">
        <f>IFERROR(VLOOKUP(E963,Specifications!$A$2:$D$9,4,FALSE),"")</f>
        <v/>
      </c>
      <c r="P963" s="8" t="str">
        <f t="shared" si="48"/>
        <v/>
      </c>
      <c r="Q963" s="9"/>
    </row>
    <row r="964" spans="1:17" ht="15">
      <c r="A964" s="5" t="str">
        <f t="shared" si="46"/>
        <v/>
      </c>
      <c r="B964" s="6"/>
      <c r="C964" s="5" t="str">
        <f>IFERROR(VLOOKUP(B964,Lists!$A$2:$B$25,2,FALSE),"")</f>
        <v/>
      </c>
      <c r="D964" s="7"/>
      <c r="E964" s="6"/>
      <c r="F964" s="6" t="str">
        <f t="shared" si="47"/>
        <v/>
      </c>
      <c r="G964" s="6"/>
      <c r="H964" s="6"/>
      <c r="I964" s="6"/>
      <c r="J964" s="7"/>
      <c r="K964" s="5" t="str" cm="1">
        <f t="array" ref="K964">IF(OR(A964="",B964="",D964="",E964=""),"",A964&amp;"_"&amp;SUBSTITUTE(B964," ","-")&amp;"_"&amp;D964&amp;"_"&amp;SUBSTITUTE(SUBSTITUTE(E964," ",""),"€","Euro")&amp;"_"&amp;IF(F964="","Unknown",F964)&amp;IF(F964="Commemorative",IF(G964="","","_"&amp;SUBSTITUTE(SUBSTITUTE(SUBSTITUTE(G964," ","-"),"/","-"),CHAR(39),"")),"")&amp;IF(I964="Duplicate","_Dub"&amp;IF(SUMPRODUCT(($B$2:B964=B964)*($D$2:D964=D964)*($E$2:E964=E964)*($F$2:F964=F964)*($G$2:G964=G964)*($I$2:I964="Duplicate"))&lt;=1,"",SUMPRODUCT(($B$2:B964=B964)*($D$2:D964=D964)*($E$2:E964=E964)*($F$2:F964=F964)*($G$2:G964=G964)*($I$2:I964="Duplicate"))-1),"")&amp;".jpeg")</f>
        <v/>
      </c>
      <c r="L964" s="6"/>
      <c r="M964" s="5" t="str">
        <f>IFERROR(VLOOKUP(E964,Specifications!$A$2:$D$9,2,FALSE),"")</f>
        <v/>
      </c>
      <c r="N964" s="5" t="str">
        <f>IFERROR(VLOOKUP(E964,Specifications!$A$2:$D$9,3,FALSE),"")</f>
        <v/>
      </c>
      <c r="O964" s="5" t="str">
        <f>IFERROR(VLOOKUP(E964,Specifications!$A$2:$D$9,4,FALSE),"")</f>
        <v/>
      </c>
      <c r="P964" s="8" t="str">
        <f t="shared" si="48"/>
        <v/>
      </c>
      <c r="Q964" s="9"/>
    </row>
    <row r="965" spans="1:17" ht="15">
      <c r="A965" s="5" t="str">
        <f t="shared" si="46"/>
        <v/>
      </c>
      <c r="B965" s="6"/>
      <c r="C965" s="5" t="str">
        <f>IFERROR(VLOOKUP(B965,Lists!$A$2:$B$25,2,FALSE),"")</f>
        <v/>
      </c>
      <c r="D965" s="7"/>
      <c r="E965" s="6"/>
      <c r="F965" s="6" t="str">
        <f t="shared" si="47"/>
        <v/>
      </c>
      <c r="G965" s="6"/>
      <c r="H965" s="6"/>
      <c r="I965" s="6"/>
      <c r="J965" s="7"/>
      <c r="K965" s="5" t="str" cm="1">
        <f t="array" ref="K965">IF(OR(A965="",B965="",D965="",E965=""),"",A965&amp;"_"&amp;SUBSTITUTE(B965," ","-")&amp;"_"&amp;D965&amp;"_"&amp;SUBSTITUTE(SUBSTITUTE(E965," ",""),"€","Euro")&amp;"_"&amp;IF(F965="","Unknown",F965)&amp;IF(F965="Commemorative",IF(G965="","","_"&amp;SUBSTITUTE(SUBSTITUTE(SUBSTITUTE(G965," ","-"),"/","-"),CHAR(39),"")),"")&amp;IF(I965="Duplicate","_Dub"&amp;IF(SUMPRODUCT(($B$2:B965=B965)*($D$2:D965=D965)*($E$2:E965=E965)*($F$2:F965=F965)*($G$2:G965=G965)*($I$2:I965="Duplicate"))&lt;=1,"",SUMPRODUCT(($B$2:B965=B965)*($D$2:D965=D965)*($E$2:E965=E965)*($F$2:F965=F965)*($G$2:G965=G965)*($I$2:I965="Duplicate"))-1),"")&amp;".jpeg")</f>
        <v/>
      </c>
      <c r="L965" s="6"/>
      <c r="M965" s="5" t="str">
        <f>IFERROR(VLOOKUP(E965,Specifications!$A$2:$D$9,2,FALSE),"")</f>
        <v/>
      </c>
      <c r="N965" s="5" t="str">
        <f>IFERROR(VLOOKUP(E965,Specifications!$A$2:$D$9,3,FALSE),"")</f>
        <v/>
      </c>
      <c r="O965" s="5" t="str">
        <f>IFERROR(VLOOKUP(E965,Specifications!$A$2:$D$9,4,FALSE),"")</f>
        <v/>
      </c>
      <c r="P965" s="8" t="str">
        <f t="shared" si="48"/>
        <v/>
      </c>
      <c r="Q965" s="9"/>
    </row>
    <row r="966" spans="1:17" ht="15">
      <c r="A966" s="5" t="str">
        <f t="shared" si="46"/>
        <v/>
      </c>
      <c r="B966" s="6"/>
      <c r="C966" s="5" t="str">
        <f>IFERROR(VLOOKUP(B966,Lists!$A$2:$B$25,2,FALSE),"")</f>
        <v/>
      </c>
      <c r="D966" s="7"/>
      <c r="E966" s="6"/>
      <c r="F966" s="6" t="str">
        <f t="shared" si="47"/>
        <v/>
      </c>
      <c r="G966" s="6"/>
      <c r="H966" s="6"/>
      <c r="I966" s="6"/>
      <c r="J966" s="7"/>
      <c r="K966" s="5" t="str" cm="1">
        <f t="array" ref="K966">IF(OR(A966="",B966="",D966="",E966=""),"",A966&amp;"_"&amp;SUBSTITUTE(B966," ","-")&amp;"_"&amp;D966&amp;"_"&amp;SUBSTITUTE(SUBSTITUTE(E966," ",""),"€","Euro")&amp;"_"&amp;IF(F966="","Unknown",F966)&amp;IF(F966="Commemorative",IF(G966="","","_"&amp;SUBSTITUTE(SUBSTITUTE(SUBSTITUTE(G966," ","-"),"/","-"),CHAR(39),"")),"")&amp;IF(I966="Duplicate","_Dub"&amp;IF(SUMPRODUCT(($B$2:B966=B966)*($D$2:D966=D966)*($E$2:E966=E966)*($F$2:F966=F966)*($G$2:G966=G966)*($I$2:I966="Duplicate"))&lt;=1,"",SUMPRODUCT(($B$2:B966=B966)*($D$2:D966=D966)*($E$2:E966=E966)*($F$2:F966=F966)*($G$2:G966=G966)*($I$2:I966="Duplicate"))-1),"")&amp;".jpeg")</f>
        <v/>
      </c>
      <c r="L966" s="6"/>
      <c r="M966" s="5" t="str">
        <f>IFERROR(VLOOKUP(E966,Specifications!$A$2:$D$9,2,FALSE),"")</f>
        <v/>
      </c>
      <c r="N966" s="5" t="str">
        <f>IFERROR(VLOOKUP(E966,Specifications!$A$2:$D$9,3,FALSE),"")</f>
        <v/>
      </c>
      <c r="O966" s="5" t="str">
        <f>IFERROR(VLOOKUP(E966,Specifications!$A$2:$D$9,4,FALSE),"")</f>
        <v/>
      </c>
      <c r="P966" s="8" t="str">
        <f t="shared" si="48"/>
        <v/>
      </c>
      <c r="Q966" s="9"/>
    </row>
    <row r="967" spans="1:17" ht="15">
      <c r="A967" s="5" t="str">
        <f t="shared" si="46"/>
        <v/>
      </c>
      <c r="B967" s="6"/>
      <c r="C967" s="5" t="str">
        <f>IFERROR(VLOOKUP(B967,Lists!$A$2:$B$25,2,FALSE),"")</f>
        <v/>
      </c>
      <c r="D967" s="7"/>
      <c r="E967" s="6"/>
      <c r="F967" s="6" t="str">
        <f t="shared" si="47"/>
        <v/>
      </c>
      <c r="G967" s="6"/>
      <c r="H967" s="6"/>
      <c r="I967" s="6"/>
      <c r="J967" s="7"/>
      <c r="K967" s="5" t="str" cm="1">
        <f t="array" ref="K967">IF(OR(A967="",B967="",D967="",E967=""),"",A967&amp;"_"&amp;SUBSTITUTE(B967," ","-")&amp;"_"&amp;D967&amp;"_"&amp;SUBSTITUTE(SUBSTITUTE(E967," ",""),"€","Euro")&amp;"_"&amp;IF(F967="","Unknown",F967)&amp;IF(F967="Commemorative",IF(G967="","","_"&amp;SUBSTITUTE(SUBSTITUTE(SUBSTITUTE(G967," ","-"),"/","-"),CHAR(39),"")),"")&amp;IF(I967="Duplicate","_Dub"&amp;IF(SUMPRODUCT(($B$2:B967=B967)*($D$2:D967=D967)*($E$2:E967=E967)*($F$2:F967=F967)*($G$2:G967=G967)*($I$2:I967="Duplicate"))&lt;=1,"",SUMPRODUCT(($B$2:B967=B967)*($D$2:D967=D967)*($E$2:E967=E967)*($F$2:F967=F967)*($G$2:G967=G967)*($I$2:I967="Duplicate"))-1),"")&amp;".jpeg")</f>
        <v/>
      </c>
      <c r="L967" s="6"/>
      <c r="M967" s="5" t="str">
        <f>IFERROR(VLOOKUP(E967,Specifications!$A$2:$D$9,2,FALSE),"")</f>
        <v/>
      </c>
      <c r="N967" s="5" t="str">
        <f>IFERROR(VLOOKUP(E967,Specifications!$A$2:$D$9,3,FALSE),"")</f>
        <v/>
      </c>
      <c r="O967" s="5" t="str">
        <f>IFERROR(VLOOKUP(E967,Specifications!$A$2:$D$9,4,FALSE),"")</f>
        <v/>
      </c>
      <c r="P967" s="8" t="str">
        <f t="shared" si="48"/>
        <v/>
      </c>
      <c r="Q967" s="9"/>
    </row>
    <row r="968" spans="1:17" ht="15">
      <c r="A968" s="5" t="str">
        <f t="shared" si="46"/>
        <v/>
      </c>
      <c r="B968" s="6"/>
      <c r="C968" s="5" t="str">
        <f>IFERROR(VLOOKUP(B968,Lists!$A$2:$B$25,2,FALSE),"")</f>
        <v/>
      </c>
      <c r="D968" s="7"/>
      <c r="E968" s="6"/>
      <c r="F968" s="6" t="str">
        <f t="shared" si="47"/>
        <v/>
      </c>
      <c r="G968" s="6"/>
      <c r="H968" s="6"/>
      <c r="I968" s="6"/>
      <c r="J968" s="7"/>
      <c r="K968" s="5" t="str" cm="1">
        <f t="array" ref="K968">IF(OR(A968="",B968="",D968="",E968=""),"",A968&amp;"_"&amp;SUBSTITUTE(B968," ","-")&amp;"_"&amp;D968&amp;"_"&amp;SUBSTITUTE(SUBSTITUTE(E968," ",""),"€","Euro")&amp;"_"&amp;IF(F968="","Unknown",F968)&amp;IF(F968="Commemorative",IF(G968="","","_"&amp;SUBSTITUTE(SUBSTITUTE(SUBSTITUTE(G968," ","-"),"/","-"),CHAR(39),"")),"")&amp;IF(I968="Duplicate","_Dub"&amp;IF(SUMPRODUCT(($B$2:B968=B968)*($D$2:D968=D968)*($E$2:E968=E968)*($F$2:F968=F968)*($G$2:G968=G968)*($I$2:I968="Duplicate"))&lt;=1,"",SUMPRODUCT(($B$2:B968=B968)*($D$2:D968=D968)*($E$2:E968=E968)*($F$2:F968=F968)*($G$2:G968=G968)*($I$2:I968="Duplicate"))-1),"")&amp;".jpeg")</f>
        <v/>
      </c>
      <c r="L968" s="6"/>
      <c r="M968" s="5" t="str">
        <f>IFERROR(VLOOKUP(E968,Specifications!$A$2:$D$9,2,FALSE),"")</f>
        <v/>
      </c>
      <c r="N968" s="5" t="str">
        <f>IFERROR(VLOOKUP(E968,Specifications!$A$2:$D$9,3,FALSE),"")</f>
        <v/>
      </c>
      <c r="O968" s="5" t="str">
        <f>IFERROR(VLOOKUP(E968,Specifications!$A$2:$D$9,4,FALSE),"")</f>
        <v/>
      </c>
      <c r="P968" s="8" t="str">
        <f t="shared" si="48"/>
        <v/>
      </c>
      <c r="Q968" s="9"/>
    </row>
    <row r="969" spans="1:17" ht="15">
      <c r="A969" s="5" t="str">
        <f t="shared" si="46"/>
        <v/>
      </c>
      <c r="B969" s="6"/>
      <c r="C969" s="5" t="str">
        <f>IFERROR(VLOOKUP(B969,Lists!$A$2:$B$25,2,FALSE),"")</f>
        <v/>
      </c>
      <c r="D969" s="7"/>
      <c r="E969" s="6"/>
      <c r="F969" s="6" t="str">
        <f t="shared" si="47"/>
        <v/>
      </c>
      <c r="G969" s="6"/>
      <c r="H969" s="6"/>
      <c r="I969" s="6"/>
      <c r="J969" s="7"/>
      <c r="K969" s="5" t="str" cm="1">
        <f t="array" ref="K969">IF(OR(A969="",B969="",D969="",E969=""),"",A969&amp;"_"&amp;SUBSTITUTE(B969," ","-")&amp;"_"&amp;D969&amp;"_"&amp;SUBSTITUTE(SUBSTITUTE(E969," ",""),"€","Euro")&amp;"_"&amp;IF(F969="","Unknown",F969)&amp;IF(F969="Commemorative",IF(G969="","","_"&amp;SUBSTITUTE(SUBSTITUTE(SUBSTITUTE(G969," ","-"),"/","-"),CHAR(39),"")),"")&amp;IF(I969="Duplicate","_Dub"&amp;IF(SUMPRODUCT(($B$2:B969=B969)*($D$2:D969=D969)*($E$2:E969=E969)*($F$2:F969=F969)*($G$2:G969=G969)*($I$2:I969="Duplicate"))&lt;=1,"",SUMPRODUCT(($B$2:B969=B969)*($D$2:D969=D969)*($E$2:E969=E969)*($F$2:F969=F969)*($G$2:G969=G969)*($I$2:I969="Duplicate"))-1),"")&amp;".jpeg")</f>
        <v/>
      </c>
      <c r="L969" s="6"/>
      <c r="M969" s="5" t="str">
        <f>IFERROR(VLOOKUP(E969,Specifications!$A$2:$D$9,2,FALSE),"")</f>
        <v/>
      </c>
      <c r="N969" s="5" t="str">
        <f>IFERROR(VLOOKUP(E969,Specifications!$A$2:$D$9,3,FALSE),"")</f>
        <v/>
      </c>
      <c r="O969" s="5" t="str">
        <f>IFERROR(VLOOKUP(E969,Specifications!$A$2:$D$9,4,FALSE),"")</f>
        <v/>
      </c>
      <c r="P969" s="8" t="str">
        <f t="shared" si="48"/>
        <v/>
      </c>
      <c r="Q969" s="9"/>
    </row>
    <row r="970" spans="1:17" ht="15">
      <c r="A970" s="5" t="str">
        <f t="shared" si="46"/>
        <v/>
      </c>
      <c r="B970" s="6"/>
      <c r="C970" s="5" t="str">
        <f>IFERROR(VLOOKUP(B970,Lists!$A$2:$B$25,2,FALSE),"")</f>
        <v/>
      </c>
      <c r="D970" s="7"/>
      <c r="E970" s="6"/>
      <c r="F970" s="6" t="str">
        <f t="shared" si="47"/>
        <v/>
      </c>
      <c r="G970" s="6"/>
      <c r="H970" s="6"/>
      <c r="I970" s="6"/>
      <c r="J970" s="7"/>
      <c r="K970" s="5" t="str" cm="1">
        <f t="array" ref="K970">IF(OR(A970="",B970="",D970="",E970=""),"",A970&amp;"_"&amp;SUBSTITUTE(B970," ","-")&amp;"_"&amp;D970&amp;"_"&amp;SUBSTITUTE(SUBSTITUTE(E970," ",""),"€","Euro")&amp;"_"&amp;IF(F970="","Unknown",F970)&amp;IF(F970="Commemorative",IF(G970="","","_"&amp;SUBSTITUTE(SUBSTITUTE(SUBSTITUTE(G970," ","-"),"/","-"),CHAR(39),"")),"")&amp;IF(I970="Duplicate","_Dub"&amp;IF(SUMPRODUCT(($B$2:B970=B970)*($D$2:D970=D970)*($E$2:E970=E970)*($F$2:F970=F970)*($G$2:G970=G970)*($I$2:I970="Duplicate"))&lt;=1,"",SUMPRODUCT(($B$2:B970=B970)*($D$2:D970=D970)*($E$2:E970=E970)*($F$2:F970=F970)*($G$2:G970=G970)*($I$2:I970="Duplicate"))-1),"")&amp;".jpeg")</f>
        <v/>
      </c>
      <c r="L970" s="6"/>
      <c r="M970" s="5" t="str">
        <f>IFERROR(VLOOKUP(E970,Specifications!$A$2:$D$9,2,FALSE),"")</f>
        <v/>
      </c>
      <c r="N970" s="5" t="str">
        <f>IFERROR(VLOOKUP(E970,Specifications!$A$2:$D$9,3,FALSE),"")</f>
        <v/>
      </c>
      <c r="O970" s="5" t="str">
        <f>IFERROR(VLOOKUP(E970,Specifications!$A$2:$D$9,4,FALSE),"")</f>
        <v/>
      </c>
      <c r="P970" s="8" t="str">
        <f t="shared" si="48"/>
        <v/>
      </c>
      <c r="Q970" s="9"/>
    </row>
    <row r="971" spans="1:17" ht="15">
      <c r="A971" s="5" t="str">
        <f t="shared" si="46"/>
        <v/>
      </c>
      <c r="B971" s="6"/>
      <c r="C971" s="5" t="str">
        <f>IFERROR(VLOOKUP(B971,Lists!$A$2:$B$25,2,FALSE),"")</f>
        <v/>
      </c>
      <c r="D971" s="7"/>
      <c r="E971" s="6"/>
      <c r="F971" s="6" t="str">
        <f t="shared" si="47"/>
        <v/>
      </c>
      <c r="G971" s="6"/>
      <c r="H971" s="6"/>
      <c r="I971" s="6"/>
      <c r="J971" s="7"/>
      <c r="K971" s="5" t="str" cm="1">
        <f t="array" ref="K971">IF(OR(A971="",B971="",D971="",E971=""),"",A971&amp;"_"&amp;SUBSTITUTE(B971," ","-")&amp;"_"&amp;D971&amp;"_"&amp;SUBSTITUTE(SUBSTITUTE(E971," ",""),"€","Euro")&amp;"_"&amp;IF(F971="","Unknown",F971)&amp;IF(F971="Commemorative",IF(G971="","","_"&amp;SUBSTITUTE(SUBSTITUTE(SUBSTITUTE(G971," ","-"),"/","-"),CHAR(39),"")),"")&amp;IF(I971="Duplicate","_Dub"&amp;IF(SUMPRODUCT(($B$2:B971=B971)*($D$2:D971=D971)*($E$2:E971=E971)*($F$2:F971=F971)*($G$2:G971=G971)*($I$2:I971="Duplicate"))&lt;=1,"",SUMPRODUCT(($B$2:B971=B971)*($D$2:D971=D971)*($E$2:E971=E971)*($F$2:F971=F971)*($G$2:G971=G971)*($I$2:I971="Duplicate"))-1),"")&amp;".jpeg")</f>
        <v/>
      </c>
      <c r="L971" s="6"/>
      <c r="M971" s="5" t="str">
        <f>IFERROR(VLOOKUP(E971,Specifications!$A$2:$D$9,2,FALSE),"")</f>
        <v/>
      </c>
      <c r="N971" s="5" t="str">
        <f>IFERROR(VLOOKUP(E971,Specifications!$A$2:$D$9,3,FALSE),"")</f>
        <v/>
      </c>
      <c r="O971" s="5" t="str">
        <f>IFERROR(VLOOKUP(E971,Specifications!$A$2:$D$9,4,FALSE),"")</f>
        <v/>
      </c>
      <c r="P971" s="8" t="str">
        <f t="shared" si="48"/>
        <v/>
      </c>
      <c r="Q971" s="9"/>
    </row>
    <row r="972" spans="1:17" ht="15">
      <c r="A972" s="5" t="str">
        <f t="shared" si="46"/>
        <v/>
      </c>
      <c r="B972" s="6"/>
      <c r="C972" s="5" t="str">
        <f>IFERROR(VLOOKUP(B972,Lists!$A$2:$B$25,2,FALSE),"")</f>
        <v/>
      </c>
      <c r="D972" s="7"/>
      <c r="E972" s="6"/>
      <c r="F972" s="6" t="str">
        <f t="shared" si="47"/>
        <v/>
      </c>
      <c r="G972" s="6"/>
      <c r="H972" s="6"/>
      <c r="I972" s="6"/>
      <c r="J972" s="7"/>
      <c r="K972" s="5" t="str" cm="1">
        <f t="array" ref="K972">IF(OR(A972="",B972="",D972="",E972=""),"",A972&amp;"_"&amp;SUBSTITUTE(B972," ","-")&amp;"_"&amp;D972&amp;"_"&amp;SUBSTITUTE(SUBSTITUTE(E972," ",""),"€","Euro")&amp;"_"&amp;IF(F972="","Unknown",F972)&amp;IF(F972="Commemorative",IF(G972="","","_"&amp;SUBSTITUTE(SUBSTITUTE(SUBSTITUTE(G972," ","-"),"/","-"),CHAR(39),"")),"")&amp;IF(I972="Duplicate","_Dub"&amp;IF(SUMPRODUCT(($B$2:B972=B972)*($D$2:D972=D972)*($E$2:E972=E972)*($F$2:F972=F972)*($G$2:G972=G972)*($I$2:I972="Duplicate"))&lt;=1,"",SUMPRODUCT(($B$2:B972=B972)*($D$2:D972=D972)*($E$2:E972=E972)*($F$2:F972=F972)*($G$2:G972=G972)*($I$2:I972="Duplicate"))-1),"")&amp;".jpeg")</f>
        <v/>
      </c>
      <c r="L972" s="6"/>
      <c r="M972" s="5" t="str">
        <f>IFERROR(VLOOKUP(E972,Specifications!$A$2:$D$9,2,FALSE),"")</f>
        <v/>
      </c>
      <c r="N972" s="5" t="str">
        <f>IFERROR(VLOOKUP(E972,Specifications!$A$2:$D$9,3,FALSE),"")</f>
        <v/>
      </c>
      <c r="O972" s="5" t="str">
        <f>IFERROR(VLOOKUP(E972,Specifications!$A$2:$D$9,4,FALSE),"")</f>
        <v/>
      </c>
      <c r="P972" s="8" t="str">
        <f t="shared" si="48"/>
        <v/>
      </c>
      <c r="Q972" s="9"/>
    </row>
    <row r="973" spans="1:17" ht="15">
      <c r="A973" s="5" t="str">
        <f t="shared" si="46"/>
        <v/>
      </c>
      <c r="B973" s="6"/>
      <c r="C973" s="5" t="str">
        <f>IFERROR(VLOOKUP(B973,Lists!$A$2:$B$25,2,FALSE),"")</f>
        <v/>
      </c>
      <c r="D973" s="7"/>
      <c r="E973" s="6"/>
      <c r="F973" s="6" t="str">
        <f t="shared" si="47"/>
        <v/>
      </c>
      <c r="G973" s="6"/>
      <c r="H973" s="6"/>
      <c r="I973" s="6"/>
      <c r="J973" s="7"/>
      <c r="K973" s="5" t="str" cm="1">
        <f t="array" ref="K973">IF(OR(A973="",B973="",D973="",E973=""),"",A973&amp;"_"&amp;SUBSTITUTE(B973," ","-")&amp;"_"&amp;D973&amp;"_"&amp;SUBSTITUTE(SUBSTITUTE(E973," ",""),"€","Euro")&amp;"_"&amp;IF(F973="","Unknown",F973)&amp;IF(F973="Commemorative",IF(G973="","","_"&amp;SUBSTITUTE(SUBSTITUTE(SUBSTITUTE(G973," ","-"),"/","-"),CHAR(39),"")),"")&amp;IF(I973="Duplicate","_Dub"&amp;IF(SUMPRODUCT(($B$2:B973=B973)*($D$2:D973=D973)*($E$2:E973=E973)*($F$2:F973=F973)*($G$2:G973=G973)*($I$2:I973="Duplicate"))&lt;=1,"",SUMPRODUCT(($B$2:B973=B973)*($D$2:D973=D973)*($E$2:E973=E973)*($F$2:F973=F973)*($G$2:G973=G973)*($I$2:I973="Duplicate"))-1),"")&amp;".jpeg")</f>
        <v/>
      </c>
      <c r="L973" s="6"/>
      <c r="M973" s="5" t="str">
        <f>IFERROR(VLOOKUP(E973,Specifications!$A$2:$D$9,2,FALSE),"")</f>
        <v/>
      </c>
      <c r="N973" s="5" t="str">
        <f>IFERROR(VLOOKUP(E973,Specifications!$A$2:$D$9,3,FALSE),"")</f>
        <v/>
      </c>
      <c r="O973" s="5" t="str">
        <f>IFERROR(VLOOKUP(E973,Specifications!$A$2:$D$9,4,FALSE),"")</f>
        <v/>
      </c>
      <c r="P973" s="8" t="str">
        <f t="shared" si="48"/>
        <v/>
      </c>
      <c r="Q973" s="9"/>
    </row>
    <row r="974" spans="1:17" ht="15">
      <c r="A974" s="5" t="str">
        <f t="shared" si="46"/>
        <v/>
      </c>
      <c r="B974" s="6"/>
      <c r="C974" s="5" t="str">
        <f>IFERROR(VLOOKUP(B974,Lists!$A$2:$B$25,2,FALSE),"")</f>
        <v/>
      </c>
      <c r="D974" s="7"/>
      <c r="E974" s="6"/>
      <c r="F974" s="6" t="str">
        <f t="shared" si="47"/>
        <v/>
      </c>
      <c r="G974" s="6"/>
      <c r="H974" s="6"/>
      <c r="I974" s="6"/>
      <c r="J974" s="7"/>
      <c r="K974" s="5" t="str" cm="1">
        <f t="array" ref="K974">IF(OR(A974="",B974="",D974="",E974=""),"",A974&amp;"_"&amp;SUBSTITUTE(B974," ","-")&amp;"_"&amp;D974&amp;"_"&amp;SUBSTITUTE(SUBSTITUTE(E974," ",""),"€","Euro")&amp;"_"&amp;IF(F974="","Unknown",F974)&amp;IF(F974="Commemorative",IF(G974="","","_"&amp;SUBSTITUTE(SUBSTITUTE(SUBSTITUTE(G974," ","-"),"/","-"),CHAR(39),"")),"")&amp;IF(I974="Duplicate","_Dub"&amp;IF(SUMPRODUCT(($B$2:B974=B974)*($D$2:D974=D974)*($E$2:E974=E974)*($F$2:F974=F974)*($G$2:G974=G974)*($I$2:I974="Duplicate"))&lt;=1,"",SUMPRODUCT(($B$2:B974=B974)*($D$2:D974=D974)*($E$2:E974=E974)*($F$2:F974=F974)*($G$2:G974=G974)*($I$2:I974="Duplicate"))-1),"")&amp;".jpeg")</f>
        <v/>
      </c>
      <c r="L974" s="6"/>
      <c r="M974" s="5" t="str">
        <f>IFERROR(VLOOKUP(E974,Specifications!$A$2:$D$9,2,FALSE),"")</f>
        <v/>
      </c>
      <c r="N974" s="5" t="str">
        <f>IFERROR(VLOOKUP(E974,Specifications!$A$2:$D$9,3,FALSE),"")</f>
        <v/>
      </c>
      <c r="O974" s="5" t="str">
        <f>IFERROR(VLOOKUP(E974,Specifications!$A$2:$D$9,4,FALSE),"")</f>
        <v/>
      </c>
      <c r="P974" s="8" t="str">
        <f t="shared" si="48"/>
        <v/>
      </c>
      <c r="Q974" s="9"/>
    </row>
    <row r="975" spans="1:17" ht="15">
      <c r="A975" s="5" t="str">
        <f t="shared" si="46"/>
        <v/>
      </c>
      <c r="B975" s="6"/>
      <c r="C975" s="5" t="str">
        <f>IFERROR(VLOOKUP(B975,Lists!$A$2:$B$25,2,FALSE),"")</f>
        <v/>
      </c>
      <c r="D975" s="7"/>
      <c r="E975" s="6"/>
      <c r="F975" s="6" t="str">
        <f t="shared" si="47"/>
        <v/>
      </c>
      <c r="G975" s="6"/>
      <c r="H975" s="6"/>
      <c r="I975" s="6"/>
      <c r="J975" s="7"/>
      <c r="K975" s="5" t="str" cm="1">
        <f t="array" ref="K975">IF(OR(A975="",B975="",D975="",E975=""),"",A975&amp;"_"&amp;SUBSTITUTE(B975," ","-")&amp;"_"&amp;D975&amp;"_"&amp;SUBSTITUTE(SUBSTITUTE(E975," ",""),"€","Euro")&amp;"_"&amp;IF(F975="","Unknown",F975)&amp;IF(F975="Commemorative",IF(G975="","","_"&amp;SUBSTITUTE(SUBSTITUTE(SUBSTITUTE(G975," ","-"),"/","-"),CHAR(39),"")),"")&amp;IF(I975="Duplicate","_Dub"&amp;IF(SUMPRODUCT(($B$2:B975=B975)*($D$2:D975=D975)*($E$2:E975=E975)*($F$2:F975=F975)*($G$2:G975=G975)*($I$2:I975="Duplicate"))&lt;=1,"",SUMPRODUCT(($B$2:B975=B975)*($D$2:D975=D975)*($E$2:E975=E975)*($F$2:F975=F975)*($G$2:G975=G975)*($I$2:I975="Duplicate"))-1),"")&amp;".jpeg")</f>
        <v/>
      </c>
      <c r="L975" s="6"/>
      <c r="M975" s="5" t="str">
        <f>IFERROR(VLOOKUP(E975,Specifications!$A$2:$D$9,2,FALSE),"")</f>
        <v/>
      </c>
      <c r="N975" s="5" t="str">
        <f>IFERROR(VLOOKUP(E975,Specifications!$A$2:$D$9,3,FALSE),"")</f>
        <v/>
      </c>
      <c r="O975" s="5" t="str">
        <f>IFERROR(VLOOKUP(E975,Specifications!$A$2:$D$9,4,FALSE),"")</f>
        <v/>
      </c>
      <c r="P975" s="8" t="str">
        <f t="shared" si="48"/>
        <v/>
      </c>
      <c r="Q975" s="9"/>
    </row>
    <row r="976" spans="1:17" ht="15">
      <c r="A976" s="5" t="str">
        <f t="shared" si="46"/>
        <v/>
      </c>
      <c r="B976" s="6"/>
      <c r="C976" s="5" t="str">
        <f>IFERROR(VLOOKUP(B976,Lists!$A$2:$B$25,2,FALSE),"")</f>
        <v/>
      </c>
      <c r="D976" s="7"/>
      <c r="E976" s="6"/>
      <c r="F976" s="6" t="str">
        <f t="shared" si="47"/>
        <v/>
      </c>
      <c r="G976" s="6"/>
      <c r="H976" s="6"/>
      <c r="I976" s="6"/>
      <c r="J976" s="7"/>
      <c r="K976" s="5" t="str" cm="1">
        <f t="array" ref="K976">IF(OR(A976="",B976="",D976="",E976=""),"",A976&amp;"_"&amp;SUBSTITUTE(B976," ","-")&amp;"_"&amp;D976&amp;"_"&amp;SUBSTITUTE(SUBSTITUTE(E976," ",""),"€","Euro")&amp;"_"&amp;IF(F976="","Unknown",F976)&amp;IF(F976="Commemorative",IF(G976="","","_"&amp;SUBSTITUTE(SUBSTITUTE(SUBSTITUTE(G976," ","-"),"/","-"),CHAR(39),"")),"")&amp;IF(I976="Duplicate","_Dub"&amp;IF(SUMPRODUCT(($B$2:B976=B976)*($D$2:D976=D976)*($E$2:E976=E976)*($F$2:F976=F976)*($G$2:G976=G976)*($I$2:I976="Duplicate"))&lt;=1,"",SUMPRODUCT(($B$2:B976=B976)*($D$2:D976=D976)*($E$2:E976=E976)*($F$2:F976=F976)*($G$2:G976=G976)*($I$2:I976="Duplicate"))-1),"")&amp;".jpeg")</f>
        <v/>
      </c>
      <c r="L976" s="6"/>
      <c r="M976" s="5" t="str">
        <f>IFERROR(VLOOKUP(E976,Specifications!$A$2:$D$9,2,FALSE),"")</f>
        <v/>
      </c>
      <c r="N976" s="5" t="str">
        <f>IFERROR(VLOOKUP(E976,Specifications!$A$2:$D$9,3,FALSE),"")</f>
        <v/>
      </c>
      <c r="O976" s="5" t="str">
        <f>IFERROR(VLOOKUP(E976,Specifications!$A$2:$D$9,4,FALSE),"")</f>
        <v/>
      </c>
      <c r="P976" s="8" t="str">
        <f t="shared" si="48"/>
        <v/>
      </c>
      <c r="Q976" s="9"/>
    </row>
    <row r="977" spans="1:17" ht="15">
      <c r="A977" s="5" t="str">
        <f t="shared" si="46"/>
        <v/>
      </c>
      <c r="B977" s="6"/>
      <c r="C977" s="5" t="str">
        <f>IFERROR(VLOOKUP(B977,Lists!$A$2:$B$25,2,FALSE),"")</f>
        <v/>
      </c>
      <c r="D977" s="7"/>
      <c r="E977" s="6"/>
      <c r="F977" s="6" t="str">
        <f t="shared" si="47"/>
        <v/>
      </c>
      <c r="G977" s="6"/>
      <c r="H977" s="6"/>
      <c r="I977" s="6"/>
      <c r="J977" s="7"/>
      <c r="K977" s="5" t="str" cm="1">
        <f t="array" ref="K977">IF(OR(A977="",B977="",D977="",E977=""),"",A977&amp;"_"&amp;SUBSTITUTE(B977," ","-")&amp;"_"&amp;D977&amp;"_"&amp;SUBSTITUTE(SUBSTITUTE(E977," ",""),"€","Euro")&amp;"_"&amp;IF(F977="","Unknown",F977)&amp;IF(F977="Commemorative",IF(G977="","","_"&amp;SUBSTITUTE(SUBSTITUTE(SUBSTITUTE(G977," ","-"),"/","-"),CHAR(39),"")),"")&amp;IF(I977="Duplicate","_Dub"&amp;IF(SUMPRODUCT(($B$2:B977=B977)*($D$2:D977=D977)*($E$2:E977=E977)*($F$2:F977=F977)*($G$2:G977=G977)*($I$2:I977="Duplicate"))&lt;=1,"",SUMPRODUCT(($B$2:B977=B977)*($D$2:D977=D977)*($E$2:E977=E977)*($F$2:F977=F977)*($G$2:G977=G977)*($I$2:I977="Duplicate"))-1),"")&amp;".jpeg")</f>
        <v/>
      </c>
      <c r="L977" s="6"/>
      <c r="M977" s="5" t="str">
        <f>IFERROR(VLOOKUP(E977,Specifications!$A$2:$D$9,2,FALSE),"")</f>
        <v/>
      </c>
      <c r="N977" s="5" t="str">
        <f>IFERROR(VLOOKUP(E977,Specifications!$A$2:$D$9,3,FALSE),"")</f>
        <v/>
      </c>
      <c r="O977" s="5" t="str">
        <f>IFERROR(VLOOKUP(E977,Specifications!$A$2:$D$9,4,FALSE),"")</f>
        <v/>
      </c>
      <c r="P977" s="8" t="str">
        <f t="shared" si="48"/>
        <v/>
      </c>
      <c r="Q977" s="9"/>
    </row>
    <row r="978" spans="1:17" ht="15">
      <c r="A978" s="5" t="str">
        <f t="shared" si="46"/>
        <v/>
      </c>
      <c r="B978" s="6"/>
      <c r="C978" s="5" t="str">
        <f>IFERROR(VLOOKUP(B978,Lists!$A$2:$B$25,2,FALSE),"")</f>
        <v/>
      </c>
      <c r="D978" s="7"/>
      <c r="E978" s="6"/>
      <c r="F978" s="6" t="str">
        <f t="shared" si="47"/>
        <v/>
      </c>
      <c r="G978" s="6"/>
      <c r="H978" s="6"/>
      <c r="I978" s="6"/>
      <c r="J978" s="7"/>
      <c r="K978" s="5" t="str" cm="1">
        <f t="array" ref="K978">IF(OR(A978="",B978="",D978="",E978=""),"",A978&amp;"_"&amp;SUBSTITUTE(B978," ","-")&amp;"_"&amp;D978&amp;"_"&amp;SUBSTITUTE(SUBSTITUTE(E978," ",""),"€","Euro")&amp;"_"&amp;IF(F978="","Unknown",F978)&amp;IF(F978="Commemorative",IF(G978="","","_"&amp;SUBSTITUTE(SUBSTITUTE(SUBSTITUTE(G978," ","-"),"/","-"),CHAR(39),"")),"")&amp;IF(I978="Duplicate","_Dub"&amp;IF(SUMPRODUCT(($B$2:B978=B978)*($D$2:D978=D978)*($E$2:E978=E978)*($F$2:F978=F978)*($G$2:G978=G978)*($I$2:I978="Duplicate"))&lt;=1,"",SUMPRODUCT(($B$2:B978=B978)*($D$2:D978=D978)*($E$2:E978=E978)*($F$2:F978=F978)*($G$2:G978=G978)*($I$2:I978="Duplicate"))-1),"")&amp;".jpeg")</f>
        <v/>
      </c>
      <c r="L978" s="6"/>
      <c r="M978" s="5" t="str">
        <f>IFERROR(VLOOKUP(E978,Specifications!$A$2:$D$9,2,FALSE),"")</f>
        <v/>
      </c>
      <c r="N978" s="5" t="str">
        <f>IFERROR(VLOOKUP(E978,Specifications!$A$2:$D$9,3,FALSE),"")</f>
        <v/>
      </c>
      <c r="O978" s="5" t="str">
        <f>IFERROR(VLOOKUP(E978,Specifications!$A$2:$D$9,4,FALSE),"")</f>
        <v/>
      </c>
      <c r="P978" s="8" t="str">
        <f t="shared" si="48"/>
        <v/>
      </c>
      <c r="Q978" s="9"/>
    </row>
    <row r="979" spans="1:17" ht="15">
      <c r="A979" s="5" t="str">
        <f t="shared" si="46"/>
        <v/>
      </c>
      <c r="B979" s="6"/>
      <c r="C979" s="5" t="str">
        <f>IFERROR(VLOOKUP(B979,Lists!$A$2:$B$25,2,FALSE),"")</f>
        <v/>
      </c>
      <c r="D979" s="7"/>
      <c r="E979" s="6"/>
      <c r="F979" s="6" t="str">
        <f t="shared" si="47"/>
        <v/>
      </c>
      <c r="G979" s="6"/>
      <c r="H979" s="6"/>
      <c r="I979" s="6"/>
      <c r="J979" s="7"/>
      <c r="K979" s="5" t="str" cm="1">
        <f t="array" ref="K979">IF(OR(A979="",B979="",D979="",E979=""),"",A979&amp;"_"&amp;SUBSTITUTE(B979," ","-")&amp;"_"&amp;D979&amp;"_"&amp;SUBSTITUTE(SUBSTITUTE(E979," ",""),"€","Euro")&amp;"_"&amp;IF(F979="","Unknown",F979)&amp;IF(F979="Commemorative",IF(G979="","","_"&amp;SUBSTITUTE(SUBSTITUTE(SUBSTITUTE(G979," ","-"),"/","-"),CHAR(39),"")),"")&amp;IF(I979="Duplicate","_Dub"&amp;IF(SUMPRODUCT(($B$2:B979=B979)*($D$2:D979=D979)*($E$2:E979=E979)*($F$2:F979=F979)*($G$2:G979=G979)*($I$2:I979="Duplicate"))&lt;=1,"",SUMPRODUCT(($B$2:B979=B979)*($D$2:D979=D979)*($E$2:E979=E979)*($F$2:F979=F979)*($G$2:G979=G979)*($I$2:I979="Duplicate"))-1),"")&amp;".jpeg")</f>
        <v/>
      </c>
      <c r="L979" s="6"/>
      <c r="M979" s="5" t="str">
        <f>IFERROR(VLOOKUP(E979,Specifications!$A$2:$D$9,2,FALSE),"")</f>
        <v/>
      </c>
      <c r="N979" s="5" t="str">
        <f>IFERROR(VLOOKUP(E979,Specifications!$A$2:$D$9,3,FALSE),"")</f>
        <v/>
      </c>
      <c r="O979" s="5" t="str">
        <f>IFERROR(VLOOKUP(E979,Specifications!$A$2:$D$9,4,FALSE),"")</f>
        <v/>
      </c>
      <c r="P979" s="8" t="str">
        <f t="shared" si="48"/>
        <v/>
      </c>
      <c r="Q979" s="9"/>
    </row>
    <row r="980" spans="1:17" ht="15">
      <c r="A980" s="5" t="str">
        <f t="shared" si="46"/>
        <v/>
      </c>
      <c r="B980" s="6"/>
      <c r="C980" s="5" t="str">
        <f>IFERROR(VLOOKUP(B980,Lists!$A$2:$B$25,2,FALSE),"")</f>
        <v/>
      </c>
      <c r="D980" s="7"/>
      <c r="E980" s="6"/>
      <c r="F980" s="6" t="str">
        <f t="shared" si="47"/>
        <v/>
      </c>
      <c r="G980" s="6"/>
      <c r="H980" s="6"/>
      <c r="I980" s="6"/>
      <c r="J980" s="7"/>
      <c r="K980" s="5" t="str" cm="1">
        <f t="array" ref="K980">IF(OR(A980="",B980="",D980="",E980=""),"",A980&amp;"_"&amp;SUBSTITUTE(B980," ","-")&amp;"_"&amp;D980&amp;"_"&amp;SUBSTITUTE(SUBSTITUTE(E980," ",""),"€","Euro")&amp;"_"&amp;IF(F980="","Unknown",F980)&amp;IF(F980="Commemorative",IF(G980="","","_"&amp;SUBSTITUTE(SUBSTITUTE(SUBSTITUTE(G980," ","-"),"/","-"),CHAR(39),"")),"")&amp;IF(I980="Duplicate","_Dub"&amp;IF(SUMPRODUCT(($B$2:B980=B980)*($D$2:D980=D980)*($E$2:E980=E980)*($F$2:F980=F980)*($G$2:G980=G980)*($I$2:I980="Duplicate"))&lt;=1,"",SUMPRODUCT(($B$2:B980=B980)*($D$2:D980=D980)*($E$2:E980=E980)*($F$2:F980=F980)*($G$2:G980=G980)*($I$2:I980="Duplicate"))-1),"")&amp;".jpeg")</f>
        <v/>
      </c>
      <c r="L980" s="6"/>
      <c r="M980" s="5" t="str">
        <f>IFERROR(VLOOKUP(E980,Specifications!$A$2:$D$9,2,FALSE),"")</f>
        <v/>
      </c>
      <c r="N980" s="5" t="str">
        <f>IFERROR(VLOOKUP(E980,Specifications!$A$2:$D$9,3,FALSE),"")</f>
        <v/>
      </c>
      <c r="O980" s="5" t="str">
        <f>IFERROR(VLOOKUP(E980,Specifications!$A$2:$D$9,4,FALSE),"")</f>
        <v/>
      </c>
      <c r="P980" s="8" t="str">
        <f t="shared" si="48"/>
        <v/>
      </c>
      <c r="Q980" s="9"/>
    </row>
    <row r="981" spans="1:17" ht="15">
      <c r="A981" s="5" t="str">
        <f t="shared" si="46"/>
        <v/>
      </c>
      <c r="B981" s="6"/>
      <c r="C981" s="5" t="str">
        <f>IFERROR(VLOOKUP(B981,Lists!$A$2:$B$25,2,FALSE),"")</f>
        <v/>
      </c>
      <c r="D981" s="7"/>
      <c r="E981" s="6"/>
      <c r="F981" s="6" t="str">
        <f t="shared" si="47"/>
        <v/>
      </c>
      <c r="G981" s="6"/>
      <c r="H981" s="6"/>
      <c r="I981" s="6"/>
      <c r="J981" s="7"/>
      <c r="K981" s="5" t="str" cm="1">
        <f t="array" ref="K981">IF(OR(A981="",B981="",D981="",E981=""),"",A981&amp;"_"&amp;SUBSTITUTE(B981," ","-")&amp;"_"&amp;D981&amp;"_"&amp;SUBSTITUTE(SUBSTITUTE(E981," ",""),"€","Euro")&amp;"_"&amp;IF(F981="","Unknown",F981)&amp;IF(F981="Commemorative",IF(G981="","","_"&amp;SUBSTITUTE(SUBSTITUTE(SUBSTITUTE(G981," ","-"),"/","-"),CHAR(39),"")),"")&amp;IF(I981="Duplicate","_Dub"&amp;IF(SUMPRODUCT(($B$2:B981=B981)*($D$2:D981=D981)*($E$2:E981=E981)*($F$2:F981=F981)*($G$2:G981=G981)*($I$2:I981="Duplicate"))&lt;=1,"",SUMPRODUCT(($B$2:B981=B981)*($D$2:D981=D981)*($E$2:E981=E981)*($F$2:F981=F981)*($G$2:G981=G981)*($I$2:I981="Duplicate"))-1),"")&amp;".jpeg")</f>
        <v/>
      </c>
      <c r="L981" s="6"/>
      <c r="M981" s="5" t="str">
        <f>IFERROR(VLOOKUP(E981,Specifications!$A$2:$D$9,2,FALSE),"")</f>
        <v/>
      </c>
      <c r="N981" s="5" t="str">
        <f>IFERROR(VLOOKUP(E981,Specifications!$A$2:$D$9,3,FALSE),"")</f>
        <v/>
      </c>
      <c r="O981" s="5" t="str">
        <f>IFERROR(VLOOKUP(E981,Specifications!$A$2:$D$9,4,FALSE),"")</f>
        <v/>
      </c>
      <c r="P981" s="8" t="str">
        <f t="shared" si="48"/>
        <v/>
      </c>
      <c r="Q981" s="9"/>
    </row>
    <row r="982" spans="1:17" ht="15">
      <c r="A982" s="5" t="str">
        <f t="shared" si="46"/>
        <v/>
      </c>
      <c r="B982" s="6"/>
      <c r="C982" s="5" t="str">
        <f>IFERROR(VLOOKUP(B982,Lists!$A$2:$B$25,2,FALSE),"")</f>
        <v/>
      </c>
      <c r="D982" s="7"/>
      <c r="E982" s="6"/>
      <c r="F982" s="6" t="str">
        <f t="shared" si="47"/>
        <v/>
      </c>
      <c r="G982" s="6"/>
      <c r="H982" s="6"/>
      <c r="I982" s="6"/>
      <c r="J982" s="7"/>
      <c r="K982" s="5" t="str" cm="1">
        <f t="array" ref="K982">IF(OR(A982="",B982="",D982="",E982=""),"",A982&amp;"_"&amp;SUBSTITUTE(B982," ","-")&amp;"_"&amp;D982&amp;"_"&amp;SUBSTITUTE(SUBSTITUTE(E982," ",""),"€","Euro")&amp;"_"&amp;IF(F982="","Unknown",F982)&amp;IF(F982="Commemorative",IF(G982="","","_"&amp;SUBSTITUTE(SUBSTITUTE(SUBSTITUTE(G982," ","-"),"/","-"),CHAR(39),"")),"")&amp;IF(I982="Duplicate","_Dub"&amp;IF(SUMPRODUCT(($B$2:B982=B982)*($D$2:D982=D982)*($E$2:E982=E982)*($F$2:F982=F982)*($G$2:G982=G982)*($I$2:I982="Duplicate"))&lt;=1,"",SUMPRODUCT(($B$2:B982=B982)*($D$2:D982=D982)*($E$2:E982=E982)*($F$2:F982=F982)*($G$2:G982=G982)*($I$2:I982="Duplicate"))-1),"")&amp;".jpeg")</f>
        <v/>
      </c>
      <c r="L982" s="6"/>
      <c r="M982" s="5" t="str">
        <f>IFERROR(VLOOKUP(E982,Specifications!$A$2:$D$9,2,FALSE),"")</f>
        <v/>
      </c>
      <c r="N982" s="5" t="str">
        <f>IFERROR(VLOOKUP(E982,Specifications!$A$2:$D$9,3,FALSE),"")</f>
        <v/>
      </c>
      <c r="O982" s="5" t="str">
        <f>IFERROR(VLOOKUP(E982,Specifications!$A$2:$D$9,4,FALSE),"")</f>
        <v/>
      </c>
      <c r="P982" s="8" t="str">
        <f t="shared" si="48"/>
        <v/>
      </c>
      <c r="Q982" s="9"/>
    </row>
    <row r="983" spans="1:17" ht="15">
      <c r="A983" s="5" t="str">
        <f t="shared" si="46"/>
        <v/>
      </c>
      <c r="B983" s="6"/>
      <c r="C983" s="5" t="str">
        <f>IFERROR(VLOOKUP(B983,Lists!$A$2:$B$25,2,FALSE),"")</f>
        <v/>
      </c>
      <c r="D983" s="7"/>
      <c r="E983" s="6"/>
      <c r="F983" s="6" t="str">
        <f t="shared" si="47"/>
        <v/>
      </c>
      <c r="G983" s="6"/>
      <c r="H983" s="6"/>
      <c r="I983" s="6"/>
      <c r="J983" s="7"/>
      <c r="K983" s="5" t="str" cm="1">
        <f t="array" ref="K983">IF(OR(A983="",B983="",D983="",E983=""),"",A983&amp;"_"&amp;SUBSTITUTE(B983," ","-")&amp;"_"&amp;D983&amp;"_"&amp;SUBSTITUTE(SUBSTITUTE(E983," ",""),"€","Euro")&amp;"_"&amp;IF(F983="","Unknown",F983)&amp;IF(F983="Commemorative",IF(G983="","","_"&amp;SUBSTITUTE(SUBSTITUTE(SUBSTITUTE(G983," ","-"),"/","-"),CHAR(39),"")),"")&amp;IF(I983="Duplicate","_Dub"&amp;IF(SUMPRODUCT(($B$2:B983=B983)*($D$2:D983=D983)*($E$2:E983=E983)*($F$2:F983=F983)*($G$2:G983=G983)*($I$2:I983="Duplicate"))&lt;=1,"",SUMPRODUCT(($B$2:B983=B983)*($D$2:D983=D983)*($E$2:E983=E983)*($F$2:F983=F983)*($G$2:G983=G983)*($I$2:I983="Duplicate"))-1),"")&amp;".jpeg")</f>
        <v/>
      </c>
      <c r="L983" s="6"/>
      <c r="M983" s="5" t="str">
        <f>IFERROR(VLOOKUP(E983,Specifications!$A$2:$D$9,2,FALSE),"")</f>
        <v/>
      </c>
      <c r="N983" s="5" t="str">
        <f>IFERROR(VLOOKUP(E983,Specifications!$A$2:$D$9,3,FALSE),"")</f>
        <v/>
      </c>
      <c r="O983" s="5" t="str">
        <f>IFERROR(VLOOKUP(E983,Specifications!$A$2:$D$9,4,FALSE),"")</f>
        <v/>
      </c>
      <c r="P983" s="8" t="str">
        <f t="shared" si="48"/>
        <v/>
      </c>
      <c r="Q983" s="9"/>
    </row>
    <row r="984" spans="1:17" ht="15">
      <c r="A984" s="5" t="str">
        <f t="shared" si="46"/>
        <v/>
      </c>
      <c r="B984" s="6"/>
      <c r="C984" s="5" t="str">
        <f>IFERROR(VLOOKUP(B984,Lists!$A$2:$B$25,2,FALSE),"")</f>
        <v/>
      </c>
      <c r="D984" s="7"/>
      <c r="E984" s="6"/>
      <c r="F984" s="6" t="str">
        <f t="shared" si="47"/>
        <v/>
      </c>
      <c r="G984" s="6"/>
      <c r="H984" s="6"/>
      <c r="I984" s="6"/>
      <c r="J984" s="7"/>
      <c r="K984" s="5" t="str" cm="1">
        <f t="array" ref="K984">IF(OR(A984="",B984="",D984="",E984=""),"",A984&amp;"_"&amp;SUBSTITUTE(B984," ","-")&amp;"_"&amp;D984&amp;"_"&amp;SUBSTITUTE(SUBSTITUTE(E984," ",""),"€","Euro")&amp;"_"&amp;IF(F984="","Unknown",F984)&amp;IF(F984="Commemorative",IF(G984="","","_"&amp;SUBSTITUTE(SUBSTITUTE(SUBSTITUTE(G984," ","-"),"/","-"),CHAR(39),"")),"")&amp;IF(I984="Duplicate","_Dub"&amp;IF(SUMPRODUCT(($B$2:B984=B984)*($D$2:D984=D984)*($E$2:E984=E984)*($F$2:F984=F984)*($G$2:G984=G984)*($I$2:I984="Duplicate"))&lt;=1,"",SUMPRODUCT(($B$2:B984=B984)*($D$2:D984=D984)*($E$2:E984=E984)*($F$2:F984=F984)*($G$2:G984=G984)*($I$2:I984="Duplicate"))-1),"")&amp;".jpeg")</f>
        <v/>
      </c>
      <c r="L984" s="6"/>
      <c r="M984" s="5" t="str">
        <f>IFERROR(VLOOKUP(E984,Specifications!$A$2:$D$9,2,FALSE),"")</f>
        <v/>
      </c>
      <c r="N984" s="5" t="str">
        <f>IFERROR(VLOOKUP(E984,Specifications!$A$2:$D$9,3,FALSE),"")</f>
        <v/>
      </c>
      <c r="O984" s="5" t="str">
        <f>IFERROR(VLOOKUP(E984,Specifications!$A$2:$D$9,4,FALSE),"")</f>
        <v/>
      </c>
      <c r="P984" s="8" t="str">
        <f t="shared" si="48"/>
        <v/>
      </c>
      <c r="Q984" s="9"/>
    </row>
    <row r="985" spans="1:17" ht="15">
      <c r="A985" s="5" t="str">
        <f t="shared" si="46"/>
        <v/>
      </c>
      <c r="B985" s="6"/>
      <c r="C985" s="5" t="str">
        <f>IFERROR(VLOOKUP(B985,Lists!$A$2:$B$25,2,FALSE),"")</f>
        <v/>
      </c>
      <c r="D985" s="7"/>
      <c r="E985" s="6"/>
      <c r="F985" s="6" t="str">
        <f t="shared" si="47"/>
        <v/>
      </c>
      <c r="G985" s="6"/>
      <c r="H985" s="6"/>
      <c r="I985" s="6"/>
      <c r="J985" s="7"/>
      <c r="K985" s="5" t="str" cm="1">
        <f t="array" ref="K985">IF(OR(A985="",B985="",D985="",E985=""),"",A985&amp;"_"&amp;SUBSTITUTE(B985," ","-")&amp;"_"&amp;D985&amp;"_"&amp;SUBSTITUTE(SUBSTITUTE(E985," ",""),"€","Euro")&amp;"_"&amp;IF(F985="","Unknown",F985)&amp;IF(F985="Commemorative",IF(G985="","","_"&amp;SUBSTITUTE(SUBSTITUTE(SUBSTITUTE(G985," ","-"),"/","-"),CHAR(39),"")),"")&amp;IF(I985="Duplicate","_Dub"&amp;IF(SUMPRODUCT(($B$2:B985=B985)*($D$2:D985=D985)*($E$2:E985=E985)*($F$2:F985=F985)*($G$2:G985=G985)*($I$2:I985="Duplicate"))&lt;=1,"",SUMPRODUCT(($B$2:B985=B985)*($D$2:D985=D985)*($E$2:E985=E985)*($F$2:F985=F985)*($G$2:G985=G985)*($I$2:I985="Duplicate"))-1),"")&amp;".jpeg")</f>
        <v/>
      </c>
      <c r="L985" s="6"/>
      <c r="M985" s="5" t="str">
        <f>IFERROR(VLOOKUP(E985,Specifications!$A$2:$D$9,2,FALSE),"")</f>
        <v/>
      </c>
      <c r="N985" s="5" t="str">
        <f>IFERROR(VLOOKUP(E985,Specifications!$A$2:$D$9,3,FALSE),"")</f>
        <v/>
      </c>
      <c r="O985" s="5" t="str">
        <f>IFERROR(VLOOKUP(E985,Specifications!$A$2:$D$9,4,FALSE),"")</f>
        <v/>
      </c>
      <c r="P985" s="8" t="str">
        <f t="shared" si="48"/>
        <v/>
      </c>
      <c r="Q985" s="9"/>
    </row>
    <row r="986" spans="1:17" ht="15">
      <c r="A986" s="5" t="str">
        <f t="shared" si="46"/>
        <v/>
      </c>
      <c r="B986" s="6"/>
      <c r="C986" s="5" t="str">
        <f>IFERROR(VLOOKUP(B986,Lists!$A$2:$B$25,2,FALSE),"")</f>
        <v/>
      </c>
      <c r="D986" s="7"/>
      <c r="E986" s="6"/>
      <c r="F986" s="6" t="str">
        <f t="shared" si="47"/>
        <v/>
      </c>
      <c r="G986" s="6"/>
      <c r="H986" s="6"/>
      <c r="I986" s="6"/>
      <c r="J986" s="7"/>
      <c r="K986" s="5" t="str" cm="1">
        <f t="array" ref="K986">IF(OR(A986="",B986="",D986="",E986=""),"",A986&amp;"_"&amp;SUBSTITUTE(B986," ","-")&amp;"_"&amp;D986&amp;"_"&amp;SUBSTITUTE(SUBSTITUTE(E986," ",""),"€","Euro")&amp;"_"&amp;IF(F986="","Unknown",F986)&amp;IF(F986="Commemorative",IF(G986="","","_"&amp;SUBSTITUTE(SUBSTITUTE(SUBSTITUTE(G986," ","-"),"/","-"),CHAR(39),"")),"")&amp;IF(I986="Duplicate","_Dub"&amp;IF(SUMPRODUCT(($B$2:B986=B986)*($D$2:D986=D986)*($E$2:E986=E986)*($F$2:F986=F986)*($G$2:G986=G986)*($I$2:I986="Duplicate"))&lt;=1,"",SUMPRODUCT(($B$2:B986=B986)*($D$2:D986=D986)*($E$2:E986=E986)*($F$2:F986=F986)*($G$2:G986=G986)*($I$2:I986="Duplicate"))-1),"")&amp;".jpeg")</f>
        <v/>
      </c>
      <c r="L986" s="6"/>
      <c r="M986" s="5" t="str">
        <f>IFERROR(VLOOKUP(E986,Specifications!$A$2:$D$9,2,FALSE),"")</f>
        <v/>
      </c>
      <c r="N986" s="5" t="str">
        <f>IFERROR(VLOOKUP(E986,Specifications!$A$2:$D$9,3,FALSE),"")</f>
        <v/>
      </c>
      <c r="O986" s="5" t="str">
        <f>IFERROR(VLOOKUP(E986,Specifications!$A$2:$D$9,4,FALSE),"")</f>
        <v/>
      </c>
      <c r="P986" s="8" t="str">
        <f t="shared" si="48"/>
        <v/>
      </c>
      <c r="Q986" s="9"/>
    </row>
    <row r="987" spans="1:17" ht="15">
      <c r="A987" s="5" t="str">
        <f t="shared" si="46"/>
        <v/>
      </c>
      <c r="B987" s="6"/>
      <c r="C987" s="5" t="str">
        <f>IFERROR(VLOOKUP(B987,Lists!$A$2:$B$25,2,FALSE),"")</f>
        <v/>
      </c>
      <c r="D987" s="7"/>
      <c r="E987" s="6"/>
      <c r="F987" s="6" t="str">
        <f t="shared" si="47"/>
        <v/>
      </c>
      <c r="G987" s="6"/>
      <c r="H987" s="6"/>
      <c r="I987" s="6"/>
      <c r="J987" s="7"/>
      <c r="K987" s="5" t="str" cm="1">
        <f t="array" ref="K987">IF(OR(A987="",B987="",D987="",E987=""),"",A987&amp;"_"&amp;SUBSTITUTE(B987," ","-")&amp;"_"&amp;D987&amp;"_"&amp;SUBSTITUTE(SUBSTITUTE(E987," ",""),"€","Euro")&amp;"_"&amp;IF(F987="","Unknown",F987)&amp;IF(F987="Commemorative",IF(G987="","","_"&amp;SUBSTITUTE(SUBSTITUTE(SUBSTITUTE(G987," ","-"),"/","-"),CHAR(39),"")),"")&amp;IF(I987="Duplicate","_Dub"&amp;IF(SUMPRODUCT(($B$2:B987=B987)*($D$2:D987=D987)*($E$2:E987=E987)*($F$2:F987=F987)*($G$2:G987=G987)*($I$2:I987="Duplicate"))&lt;=1,"",SUMPRODUCT(($B$2:B987=B987)*($D$2:D987=D987)*($E$2:E987=E987)*($F$2:F987=F987)*($G$2:G987=G987)*($I$2:I987="Duplicate"))-1),"")&amp;".jpeg")</f>
        <v/>
      </c>
      <c r="L987" s="6"/>
      <c r="M987" s="5" t="str">
        <f>IFERROR(VLOOKUP(E987,Specifications!$A$2:$D$9,2,FALSE),"")</f>
        <v/>
      </c>
      <c r="N987" s="5" t="str">
        <f>IFERROR(VLOOKUP(E987,Specifications!$A$2:$D$9,3,FALSE),"")</f>
        <v/>
      </c>
      <c r="O987" s="5" t="str">
        <f>IFERROR(VLOOKUP(E987,Specifications!$A$2:$D$9,4,FALSE),"")</f>
        <v/>
      </c>
      <c r="P987" s="8" t="str">
        <f t="shared" si="48"/>
        <v/>
      </c>
      <c r="Q987" s="9"/>
    </row>
    <row r="988" spans="1:17" ht="15">
      <c r="A988" s="5" t="str">
        <f t="shared" si="46"/>
        <v/>
      </c>
      <c r="B988" s="6"/>
      <c r="C988" s="5" t="str">
        <f>IFERROR(VLOOKUP(B988,Lists!$A$2:$B$25,2,FALSE),"")</f>
        <v/>
      </c>
      <c r="D988" s="7"/>
      <c r="E988" s="6"/>
      <c r="F988" s="6" t="str">
        <f t="shared" si="47"/>
        <v/>
      </c>
      <c r="G988" s="6"/>
      <c r="H988" s="6"/>
      <c r="I988" s="6"/>
      <c r="J988" s="7"/>
      <c r="K988" s="5" t="str" cm="1">
        <f t="array" ref="K988">IF(OR(A988="",B988="",D988="",E988=""),"",A988&amp;"_"&amp;SUBSTITUTE(B988," ","-")&amp;"_"&amp;D988&amp;"_"&amp;SUBSTITUTE(SUBSTITUTE(E988," ",""),"€","Euro")&amp;"_"&amp;IF(F988="","Unknown",F988)&amp;IF(F988="Commemorative",IF(G988="","","_"&amp;SUBSTITUTE(SUBSTITUTE(SUBSTITUTE(G988," ","-"),"/","-"),CHAR(39),"")),"")&amp;IF(I988="Duplicate","_Dub"&amp;IF(SUMPRODUCT(($B$2:B988=B988)*($D$2:D988=D988)*($E$2:E988=E988)*($F$2:F988=F988)*($G$2:G988=G988)*($I$2:I988="Duplicate"))&lt;=1,"",SUMPRODUCT(($B$2:B988=B988)*($D$2:D988=D988)*($E$2:E988=E988)*($F$2:F988=F988)*($G$2:G988=G988)*($I$2:I988="Duplicate"))-1),"")&amp;".jpeg")</f>
        <v/>
      </c>
      <c r="L988" s="6"/>
      <c r="M988" s="5" t="str">
        <f>IFERROR(VLOOKUP(E988,Specifications!$A$2:$D$9,2,FALSE),"")</f>
        <v/>
      </c>
      <c r="N988" s="5" t="str">
        <f>IFERROR(VLOOKUP(E988,Specifications!$A$2:$D$9,3,FALSE),"")</f>
        <v/>
      </c>
      <c r="O988" s="5" t="str">
        <f>IFERROR(VLOOKUP(E988,Specifications!$A$2:$D$9,4,FALSE),"")</f>
        <v/>
      </c>
      <c r="P988" s="8" t="str">
        <f t="shared" si="48"/>
        <v/>
      </c>
      <c r="Q988" s="9"/>
    </row>
    <row r="989" spans="1:17" ht="15">
      <c r="A989" s="5" t="str">
        <f t="shared" si="46"/>
        <v/>
      </c>
      <c r="B989" s="6"/>
      <c r="C989" s="5" t="str">
        <f>IFERROR(VLOOKUP(B989,Lists!$A$2:$B$25,2,FALSE),"")</f>
        <v/>
      </c>
      <c r="D989" s="7"/>
      <c r="E989" s="6"/>
      <c r="F989" s="6" t="str">
        <f t="shared" si="47"/>
        <v/>
      </c>
      <c r="G989" s="6"/>
      <c r="H989" s="6"/>
      <c r="I989" s="6"/>
      <c r="J989" s="7"/>
      <c r="K989" s="5" t="str" cm="1">
        <f t="array" ref="K989">IF(OR(A989="",B989="",D989="",E989=""),"",A989&amp;"_"&amp;SUBSTITUTE(B989," ","-")&amp;"_"&amp;D989&amp;"_"&amp;SUBSTITUTE(SUBSTITUTE(E989," ",""),"€","Euro")&amp;"_"&amp;IF(F989="","Unknown",F989)&amp;IF(F989="Commemorative",IF(G989="","","_"&amp;SUBSTITUTE(SUBSTITUTE(SUBSTITUTE(G989," ","-"),"/","-"),CHAR(39),"")),"")&amp;IF(I989="Duplicate","_Dub"&amp;IF(SUMPRODUCT(($B$2:B989=B989)*($D$2:D989=D989)*($E$2:E989=E989)*($F$2:F989=F989)*($G$2:G989=G989)*($I$2:I989="Duplicate"))&lt;=1,"",SUMPRODUCT(($B$2:B989=B989)*($D$2:D989=D989)*($E$2:E989=E989)*($F$2:F989=F989)*($G$2:G989=G989)*($I$2:I989="Duplicate"))-1),"")&amp;".jpeg")</f>
        <v/>
      </c>
      <c r="L989" s="6"/>
      <c r="M989" s="5" t="str">
        <f>IFERROR(VLOOKUP(E989,Specifications!$A$2:$D$9,2,FALSE),"")</f>
        <v/>
      </c>
      <c r="N989" s="5" t="str">
        <f>IFERROR(VLOOKUP(E989,Specifications!$A$2:$D$9,3,FALSE),"")</f>
        <v/>
      </c>
      <c r="O989" s="5" t="str">
        <f>IFERROR(VLOOKUP(E989,Specifications!$A$2:$D$9,4,FALSE),"")</f>
        <v/>
      </c>
      <c r="P989" s="8" t="str">
        <f t="shared" si="48"/>
        <v/>
      </c>
      <c r="Q989" s="9"/>
    </row>
    <row r="990" spans="1:17" ht="15">
      <c r="A990" s="5" t="str">
        <f t="shared" si="46"/>
        <v/>
      </c>
      <c r="B990" s="6"/>
      <c r="C990" s="5" t="str">
        <f>IFERROR(VLOOKUP(B990,Lists!$A$2:$B$25,2,FALSE),"")</f>
        <v/>
      </c>
      <c r="D990" s="7"/>
      <c r="E990" s="6"/>
      <c r="F990" s="6" t="str">
        <f t="shared" si="47"/>
        <v/>
      </c>
      <c r="G990" s="6"/>
      <c r="H990" s="6"/>
      <c r="I990" s="6"/>
      <c r="J990" s="7"/>
      <c r="K990" s="5" t="str" cm="1">
        <f t="array" ref="K990">IF(OR(A990="",B990="",D990="",E990=""),"",A990&amp;"_"&amp;SUBSTITUTE(B990," ","-")&amp;"_"&amp;D990&amp;"_"&amp;SUBSTITUTE(SUBSTITUTE(E990," ",""),"€","Euro")&amp;"_"&amp;IF(F990="","Unknown",F990)&amp;IF(F990="Commemorative",IF(G990="","","_"&amp;SUBSTITUTE(SUBSTITUTE(SUBSTITUTE(G990," ","-"),"/","-"),CHAR(39),"")),"")&amp;IF(I990="Duplicate","_Dub"&amp;IF(SUMPRODUCT(($B$2:B990=B990)*($D$2:D990=D990)*($E$2:E990=E990)*($F$2:F990=F990)*($G$2:G990=G990)*($I$2:I990="Duplicate"))&lt;=1,"",SUMPRODUCT(($B$2:B990=B990)*($D$2:D990=D990)*($E$2:E990=E990)*($F$2:F990=F990)*($G$2:G990=G990)*($I$2:I990="Duplicate"))-1),"")&amp;".jpeg")</f>
        <v/>
      </c>
      <c r="L990" s="6"/>
      <c r="M990" s="5" t="str">
        <f>IFERROR(VLOOKUP(E990,Specifications!$A$2:$D$9,2,FALSE),"")</f>
        <v/>
      </c>
      <c r="N990" s="5" t="str">
        <f>IFERROR(VLOOKUP(E990,Specifications!$A$2:$D$9,3,FALSE),"")</f>
        <v/>
      </c>
      <c r="O990" s="5" t="str">
        <f>IFERROR(VLOOKUP(E990,Specifications!$A$2:$D$9,4,FALSE),"")</f>
        <v/>
      </c>
      <c r="P990" s="8" t="str">
        <f t="shared" si="48"/>
        <v/>
      </c>
      <c r="Q990" s="9"/>
    </row>
    <row r="991" spans="1:17" ht="15">
      <c r="A991" s="5" t="str">
        <f t="shared" si="46"/>
        <v/>
      </c>
      <c r="B991" s="6"/>
      <c r="C991" s="5" t="str">
        <f>IFERROR(VLOOKUP(B991,Lists!$A$2:$B$25,2,FALSE),"")</f>
        <v/>
      </c>
      <c r="D991" s="7"/>
      <c r="E991" s="6"/>
      <c r="F991" s="6" t="str">
        <f t="shared" si="47"/>
        <v/>
      </c>
      <c r="G991" s="6"/>
      <c r="H991" s="6"/>
      <c r="I991" s="6"/>
      <c r="J991" s="7"/>
      <c r="K991" s="5" t="str" cm="1">
        <f t="array" ref="K991">IF(OR(A991="",B991="",D991="",E991=""),"",A991&amp;"_"&amp;SUBSTITUTE(B991," ","-")&amp;"_"&amp;D991&amp;"_"&amp;SUBSTITUTE(SUBSTITUTE(E991," ",""),"€","Euro")&amp;"_"&amp;IF(F991="","Unknown",F991)&amp;IF(F991="Commemorative",IF(G991="","","_"&amp;SUBSTITUTE(SUBSTITUTE(SUBSTITUTE(G991," ","-"),"/","-"),CHAR(39),"")),"")&amp;IF(I991="Duplicate","_Dub"&amp;IF(SUMPRODUCT(($B$2:B991=B991)*($D$2:D991=D991)*($E$2:E991=E991)*($F$2:F991=F991)*($G$2:G991=G991)*($I$2:I991="Duplicate"))&lt;=1,"",SUMPRODUCT(($B$2:B991=B991)*($D$2:D991=D991)*($E$2:E991=E991)*($F$2:F991=F991)*($G$2:G991=G991)*($I$2:I991="Duplicate"))-1),"")&amp;".jpeg")</f>
        <v/>
      </c>
      <c r="L991" s="6"/>
      <c r="M991" s="5" t="str">
        <f>IFERROR(VLOOKUP(E991,Specifications!$A$2:$D$9,2,FALSE),"")</f>
        <v/>
      </c>
      <c r="N991" s="5" t="str">
        <f>IFERROR(VLOOKUP(E991,Specifications!$A$2:$D$9,3,FALSE),"")</f>
        <v/>
      </c>
      <c r="O991" s="5" t="str">
        <f>IFERROR(VLOOKUP(E991,Specifications!$A$2:$D$9,4,FALSE),"")</f>
        <v/>
      </c>
      <c r="P991" s="8" t="str">
        <f t="shared" si="48"/>
        <v/>
      </c>
      <c r="Q991" s="9"/>
    </row>
    <row r="992" spans="1:17" ht="15">
      <c r="A992" s="5" t="str">
        <f t="shared" si="46"/>
        <v/>
      </c>
      <c r="B992" s="6"/>
      <c r="C992" s="5" t="str">
        <f>IFERROR(VLOOKUP(B992,Lists!$A$2:$B$25,2,FALSE),"")</f>
        <v/>
      </c>
      <c r="D992" s="7"/>
      <c r="E992" s="6"/>
      <c r="F992" s="6" t="str">
        <f t="shared" si="47"/>
        <v/>
      </c>
      <c r="G992" s="6"/>
      <c r="H992" s="6"/>
      <c r="I992" s="6"/>
      <c r="J992" s="7"/>
      <c r="K992" s="5" t="str" cm="1">
        <f t="array" ref="K992">IF(OR(A992="",B992="",D992="",E992=""),"",A992&amp;"_"&amp;SUBSTITUTE(B992," ","-")&amp;"_"&amp;D992&amp;"_"&amp;SUBSTITUTE(SUBSTITUTE(E992," ",""),"€","Euro")&amp;"_"&amp;IF(F992="","Unknown",F992)&amp;IF(F992="Commemorative",IF(G992="","","_"&amp;SUBSTITUTE(SUBSTITUTE(SUBSTITUTE(G992," ","-"),"/","-"),CHAR(39),"")),"")&amp;IF(I992="Duplicate","_Dub"&amp;IF(SUMPRODUCT(($B$2:B992=B992)*($D$2:D992=D992)*($E$2:E992=E992)*($F$2:F992=F992)*($G$2:G992=G992)*($I$2:I992="Duplicate"))&lt;=1,"",SUMPRODUCT(($B$2:B992=B992)*($D$2:D992=D992)*($E$2:E992=E992)*($F$2:F992=F992)*($G$2:G992=G992)*($I$2:I992="Duplicate"))-1),"")&amp;".jpeg")</f>
        <v/>
      </c>
      <c r="L992" s="6"/>
      <c r="M992" s="5" t="str">
        <f>IFERROR(VLOOKUP(E992,Specifications!$A$2:$D$9,2,FALSE),"")</f>
        <v/>
      </c>
      <c r="N992" s="5" t="str">
        <f>IFERROR(VLOOKUP(E992,Specifications!$A$2:$D$9,3,FALSE),"")</f>
        <v/>
      </c>
      <c r="O992" s="5" t="str">
        <f>IFERROR(VLOOKUP(E992,Specifications!$A$2:$D$9,4,FALSE),"")</f>
        <v/>
      </c>
      <c r="P992" s="8" t="str">
        <f t="shared" si="48"/>
        <v/>
      </c>
      <c r="Q992" s="9"/>
    </row>
    <row r="993" spans="1:17" ht="15">
      <c r="A993" s="5" t="str">
        <f t="shared" si="46"/>
        <v/>
      </c>
      <c r="B993" s="6"/>
      <c r="C993" s="5" t="str">
        <f>IFERROR(VLOOKUP(B993,Lists!$A$2:$B$25,2,FALSE),"")</f>
        <v/>
      </c>
      <c r="D993" s="7"/>
      <c r="E993" s="6"/>
      <c r="F993" s="6" t="str">
        <f t="shared" si="47"/>
        <v/>
      </c>
      <c r="G993" s="6"/>
      <c r="H993" s="6"/>
      <c r="I993" s="6"/>
      <c r="J993" s="7"/>
      <c r="K993" s="5" t="str" cm="1">
        <f t="array" ref="K993">IF(OR(A993="",B993="",D993="",E993=""),"",A993&amp;"_"&amp;SUBSTITUTE(B993," ","-")&amp;"_"&amp;D993&amp;"_"&amp;SUBSTITUTE(SUBSTITUTE(E993," ",""),"€","Euro")&amp;"_"&amp;IF(F993="","Unknown",F993)&amp;IF(F993="Commemorative",IF(G993="","","_"&amp;SUBSTITUTE(SUBSTITUTE(SUBSTITUTE(G993," ","-"),"/","-"),CHAR(39),"")),"")&amp;IF(I993="Duplicate","_Dub"&amp;IF(SUMPRODUCT(($B$2:B993=B993)*($D$2:D993=D993)*($E$2:E993=E993)*($F$2:F993=F993)*($G$2:G993=G993)*($I$2:I993="Duplicate"))&lt;=1,"",SUMPRODUCT(($B$2:B993=B993)*($D$2:D993=D993)*($E$2:E993=E993)*($F$2:F993=F993)*($G$2:G993=G993)*($I$2:I993="Duplicate"))-1),"")&amp;".jpeg")</f>
        <v/>
      </c>
      <c r="L993" s="6"/>
      <c r="M993" s="5" t="str">
        <f>IFERROR(VLOOKUP(E993,Specifications!$A$2:$D$9,2,FALSE),"")</f>
        <v/>
      </c>
      <c r="N993" s="5" t="str">
        <f>IFERROR(VLOOKUP(E993,Specifications!$A$2:$D$9,3,FALSE),"")</f>
        <v/>
      </c>
      <c r="O993" s="5" t="str">
        <f>IFERROR(VLOOKUP(E993,Specifications!$A$2:$D$9,4,FALSE),"")</f>
        <v/>
      </c>
      <c r="P993" s="8" t="str">
        <f t="shared" si="48"/>
        <v/>
      </c>
      <c r="Q993" s="9"/>
    </row>
    <row r="994" spans="1:17" ht="15">
      <c r="A994" s="5" t="str">
        <f t="shared" si="46"/>
        <v/>
      </c>
      <c r="B994" s="6"/>
      <c r="C994" s="5" t="str">
        <f>IFERROR(VLOOKUP(B994,Lists!$A$2:$B$25,2,FALSE),"")</f>
        <v/>
      </c>
      <c r="D994" s="7"/>
      <c r="E994" s="6"/>
      <c r="F994" s="6" t="str">
        <f t="shared" si="47"/>
        <v/>
      </c>
      <c r="G994" s="6"/>
      <c r="H994" s="6"/>
      <c r="I994" s="6"/>
      <c r="J994" s="7"/>
      <c r="K994" s="5" t="str" cm="1">
        <f t="array" ref="K994">IF(OR(A994="",B994="",D994="",E994=""),"",A994&amp;"_"&amp;SUBSTITUTE(B994," ","-")&amp;"_"&amp;D994&amp;"_"&amp;SUBSTITUTE(SUBSTITUTE(E994," ",""),"€","Euro")&amp;"_"&amp;IF(F994="","Unknown",F994)&amp;IF(F994="Commemorative",IF(G994="","","_"&amp;SUBSTITUTE(SUBSTITUTE(SUBSTITUTE(G994," ","-"),"/","-"),CHAR(39),"")),"")&amp;IF(I994="Duplicate","_Dub"&amp;IF(SUMPRODUCT(($B$2:B994=B994)*($D$2:D994=D994)*($E$2:E994=E994)*($F$2:F994=F994)*($G$2:G994=G994)*($I$2:I994="Duplicate"))&lt;=1,"",SUMPRODUCT(($B$2:B994=B994)*($D$2:D994=D994)*($E$2:E994=E994)*($F$2:F994=F994)*($G$2:G994=G994)*($I$2:I994="Duplicate"))-1),"")&amp;".jpeg")</f>
        <v/>
      </c>
      <c r="L994" s="6"/>
      <c r="M994" s="5" t="str">
        <f>IFERROR(VLOOKUP(E994,Specifications!$A$2:$D$9,2,FALSE),"")</f>
        <v/>
      </c>
      <c r="N994" s="5" t="str">
        <f>IFERROR(VLOOKUP(E994,Specifications!$A$2:$D$9,3,FALSE),"")</f>
        <v/>
      </c>
      <c r="O994" s="5" t="str">
        <f>IFERROR(VLOOKUP(E994,Specifications!$A$2:$D$9,4,FALSE),"")</f>
        <v/>
      </c>
      <c r="P994" s="8" t="str">
        <f t="shared" si="48"/>
        <v/>
      </c>
      <c r="Q994" s="9"/>
    </row>
    <row r="995" spans="1:17" ht="15">
      <c r="A995" s="5" t="str">
        <f t="shared" si="46"/>
        <v/>
      </c>
      <c r="B995" s="6"/>
      <c r="C995" s="5" t="str">
        <f>IFERROR(VLOOKUP(B995,Lists!$A$2:$B$25,2,FALSE),"")</f>
        <v/>
      </c>
      <c r="D995" s="7"/>
      <c r="E995" s="6"/>
      <c r="F995" s="6" t="str">
        <f t="shared" si="47"/>
        <v/>
      </c>
      <c r="G995" s="6"/>
      <c r="H995" s="6"/>
      <c r="I995" s="6"/>
      <c r="J995" s="7"/>
      <c r="K995" s="5" t="str" cm="1">
        <f t="array" ref="K995">IF(OR(A995="",B995="",D995="",E995=""),"",A995&amp;"_"&amp;SUBSTITUTE(B995," ","-")&amp;"_"&amp;D995&amp;"_"&amp;SUBSTITUTE(SUBSTITUTE(E995," ",""),"€","Euro")&amp;"_"&amp;IF(F995="","Unknown",F995)&amp;IF(F995="Commemorative",IF(G995="","","_"&amp;SUBSTITUTE(SUBSTITUTE(SUBSTITUTE(G995," ","-"),"/","-"),CHAR(39),"")),"")&amp;IF(I995="Duplicate","_Dub"&amp;IF(SUMPRODUCT(($B$2:B995=B995)*($D$2:D995=D995)*($E$2:E995=E995)*($F$2:F995=F995)*($G$2:G995=G995)*($I$2:I995="Duplicate"))&lt;=1,"",SUMPRODUCT(($B$2:B995=B995)*($D$2:D995=D995)*($E$2:E995=E995)*($F$2:F995=F995)*($G$2:G995=G995)*($I$2:I995="Duplicate"))-1),"")&amp;".jpeg")</f>
        <v/>
      </c>
      <c r="L995" s="6"/>
      <c r="M995" s="5" t="str">
        <f>IFERROR(VLOOKUP(E995,Specifications!$A$2:$D$9,2,FALSE),"")</f>
        <v/>
      </c>
      <c r="N995" s="5" t="str">
        <f>IFERROR(VLOOKUP(E995,Specifications!$A$2:$D$9,3,FALSE),"")</f>
        <v/>
      </c>
      <c r="O995" s="5" t="str">
        <f>IFERROR(VLOOKUP(E995,Specifications!$A$2:$D$9,4,FALSE),"")</f>
        <v/>
      </c>
      <c r="P995" s="8" t="str">
        <f t="shared" si="48"/>
        <v/>
      </c>
      <c r="Q995" s="9"/>
    </row>
    <row r="996" spans="1:17" ht="15">
      <c r="A996" s="5" t="str">
        <f t="shared" si="46"/>
        <v/>
      </c>
      <c r="B996" s="6"/>
      <c r="C996" s="5" t="str">
        <f>IFERROR(VLOOKUP(B996,Lists!$A$2:$B$25,2,FALSE),"")</f>
        <v/>
      </c>
      <c r="D996" s="7"/>
      <c r="E996" s="6"/>
      <c r="F996" s="6" t="str">
        <f t="shared" si="47"/>
        <v/>
      </c>
      <c r="G996" s="6"/>
      <c r="H996" s="6"/>
      <c r="I996" s="6"/>
      <c r="J996" s="7"/>
      <c r="K996" s="5" t="str" cm="1">
        <f t="array" ref="K996">IF(OR(A996="",B996="",D996="",E996=""),"",A996&amp;"_"&amp;SUBSTITUTE(B996," ","-")&amp;"_"&amp;D996&amp;"_"&amp;SUBSTITUTE(SUBSTITUTE(E996," ",""),"€","Euro")&amp;"_"&amp;IF(F996="","Unknown",F996)&amp;IF(F996="Commemorative",IF(G996="","","_"&amp;SUBSTITUTE(SUBSTITUTE(SUBSTITUTE(G996," ","-"),"/","-"),CHAR(39),"")),"")&amp;IF(I996="Duplicate","_Dub"&amp;IF(SUMPRODUCT(($B$2:B996=B996)*($D$2:D996=D996)*($E$2:E996=E996)*($F$2:F996=F996)*($G$2:G996=G996)*($I$2:I996="Duplicate"))&lt;=1,"",SUMPRODUCT(($B$2:B996=B996)*($D$2:D996=D996)*($E$2:E996=E996)*($F$2:F996=F996)*($G$2:G996=G996)*($I$2:I996="Duplicate"))-1),"")&amp;".jpeg")</f>
        <v/>
      </c>
      <c r="L996" s="6"/>
      <c r="M996" s="5" t="str">
        <f>IFERROR(VLOOKUP(E996,Specifications!$A$2:$D$9,2,FALSE),"")</f>
        <v/>
      </c>
      <c r="N996" s="5" t="str">
        <f>IFERROR(VLOOKUP(E996,Specifications!$A$2:$D$9,3,FALSE),"")</f>
        <v/>
      </c>
      <c r="O996" s="5" t="str">
        <f>IFERROR(VLOOKUP(E996,Specifications!$A$2:$D$9,4,FALSE),"")</f>
        <v/>
      </c>
      <c r="P996" s="8" t="str">
        <f t="shared" si="48"/>
        <v/>
      </c>
      <c r="Q996" s="9"/>
    </row>
    <row r="997" spans="1:17" ht="15">
      <c r="A997" s="5" t="str">
        <f t="shared" si="46"/>
        <v/>
      </c>
      <c r="B997" s="6"/>
      <c r="C997" s="5" t="str">
        <f>IFERROR(VLOOKUP(B997,Lists!$A$2:$B$25,2,FALSE),"")</f>
        <v/>
      </c>
      <c r="D997" s="7"/>
      <c r="E997" s="6"/>
      <c r="F997" s="6" t="str">
        <f t="shared" si="47"/>
        <v/>
      </c>
      <c r="G997" s="6"/>
      <c r="H997" s="6"/>
      <c r="I997" s="6"/>
      <c r="J997" s="7"/>
      <c r="K997" s="5" t="str" cm="1">
        <f t="array" ref="K997">IF(OR(A997="",B997="",D997="",E997=""),"",A997&amp;"_"&amp;SUBSTITUTE(B997," ","-")&amp;"_"&amp;D997&amp;"_"&amp;SUBSTITUTE(SUBSTITUTE(E997," ",""),"€","Euro")&amp;"_"&amp;IF(F997="","Unknown",F997)&amp;IF(F997="Commemorative",IF(G997="","","_"&amp;SUBSTITUTE(SUBSTITUTE(SUBSTITUTE(G997," ","-"),"/","-"),CHAR(39),"")),"")&amp;IF(I997="Duplicate","_Dub"&amp;IF(SUMPRODUCT(($B$2:B997=B997)*($D$2:D997=D997)*($E$2:E997=E997)*($F$2:F997=F997)*($G$2:G997=G997)*($I$2:I997="Duplicate"))&lt;=1,"",SUMPRODUCT(($B$2:B997=B997)*($D$2:D997=D997)*($E$2:E997=E997)*($F$2:F997=F997)*($G$2:G997=G997)*($I$2:I997="Duplicate"))-1),"")&amp;".jpeg")</f>
        <v/>
      </c>
      <c r="L997" s="6"/>
      <c r="M997" s="5" t="str">
        <f>IFERROR(VLOOKUP(E997,Specifications!$A$2:$D$9,2,FALSE),"")</f>
        <v/>
      </c>
      <c r="N997" s="5" t="str">
        <f>IFERROR(VLOOKUP(E997,Specifications!$A$2:$D$9,3,FALSE),"")</f>
        <v/>
      </c>
      <c r="O997" s="5" t="str">
        <f>IFERROR(VLOOKUP(E997,Specifications!$A$2:$D$9,4,FALSE),"")</f>
        <v/>
      </c>
      <c r="P997" s="8" t="str">
        <f t="shared" si="48"/>
        <v/>
      </c>
      <c r="Q997" s="9"/>
    </row>
    <row r="998" spans="1:17" ht="15">
      <c r="A998" s="5" t="str">
        <f t="shared" si="46"/>
        <v/>
      </c>
      <c r="B998" s="6"/>
      <c r="C998" s="5" t="str">
        <f>IFERROR(VLOOKUP(B998,Lists!$A$2:$B$25,2,FALSE),"")</f>
        <v/>
      </c>
      <c r="D998" s="7"/>
      <c r="E998" s="6"/>
      <c r="F998" s="6" t="str">
        <f t="shared" si="47"/>
        <v/>
      </c>
      <c r="G998" s="6"/>
      <c r="H998" s="6"/>
      <c r="I998" s="6"/>
      <c r="J998" s="7"/>
      <c r="K998" s="5" t="str" cm="1">
        <f t="array" ref="K998">IF(OR(A998="",B998="",D998="",E998=""),"",A998&amp;"_"&amp;SUBSTITUTE(B998," ","-")&amp;"_"&amp;D998&amp;"_"&amp;SUBSTITUTE(SUBSTITUTE(E998," ",""),"€","Euro")&amp;"_"&amp;IF(F998="","Unknown",F998)&amp;IF(F998="Commemorative",IF(G998="","","_"&amp;SUBSTITUTE(SUBSTITUTE(SUBSTITUTE(G998," ","-"),"/","-"),CHAR(39),"")),"")&amp;IF(I998="Duplicate","_Dub"&amp;IF(SUMPRODUCT(($B$2:B998=B998)*($D$2:D998=D998)*($E$2:E998=E998)*($F$2:F998=F998)*($G$2:G998=G998)*($I$2:I998="Duplicate"))&lt;=1,"",SUMPRODUCT(($B$2:B998=B998)*($D$2:D998=D998)*($E$2:E998=E998)*($F$2:F998=F998)*($G$2:G998=G998)*($I$2:I998="Duplicate"))-1),"")&amp;".jpeg")</f>
        <v/>
      </c>
      <c r="L998" s="6"/>
      <c r="M998" s="5" t="str">
        <f>IFERROR(VLOOKUP(E998,Specifications!$A$2:$D$9,2,FALSE),"")</f>
        <v/>
      </c>
      <c r="N998" s="5" t="str">
        <f>IFERROR(VLOOKUP(E998,Specifications!$A$2:$D$9,3,FALSE),"")</f>
        <v/>
      </c>
      <c r="O998" s="5" t="str">
        <f>IFERROR(VLOOKUP(E998,Specifications!$A$2:$D$9,4,FALSE),"")</f>
        <v/>
      </c>
      <c r="P998" s="8" t="str">
        <f t="shared" si="48"/>
        <v/>
      </c>
      <c r="Q998" s="9"/>
    </row>
    <row r="999" spans="1:17" ht="15">
      <c r="A999" s="5" t="str">
        <f t="shared" si="46"/>
        <v/>
      </c>
      <c r="B999" s="6"/>
      <c r="C999" s="5" t="str">
        <f>IFERROR(VLOOKUP(B999,Lists!$A$2:$B$25,2,FALSE),"")</f>
        <v/>
      </c>
      <c r="D999" s="7"/>
      <c r="E999" s="6"/>
      <c r="F999" s="6" t="str">
        <f t="shared" si="47"/>
        <v/>
      </c>
      <c r="G999" s="6"/>
      <c r="H999" s="6"/>
      <c r="I999" s="6"/>
      <c r="J999" s="7"/>
      <c r="K999" s="5" t="str" cm="1">
        <f t="array" ref="K999">IF(OR(A999="",B999="",D999="",E999=""),"",A999&amp;"_"&amp;SUBSTITUTE(B999," ","-")&amp;"_"&amp;D999&amp;"_"&amp;SUBSTITUTE(SUBSTITUTE(E999," ",""),"€","Euro")&amp;"_"&amp;IF(F999="","Unknown",F999)&amp;IF(F999="Commemorative",IF(G999="","","_"&amp;SUBSTITUTE(SUBSTITUTE(SUBSTITUTE(G999," ","-"),"/","-"),CHAR(39),"")),"")&amp;IF(I999="Duplicate","_Dub"&amp;IF(SUMPRODUCT(($B$2:B999=B999)*($D$2:D999=D999)*($E$2:E999=E999)*($F$2:F999=F999)*($G$2:G999=G999)*($I$2:I999="Duplicate"))&lt;=1,"",SUMPRODUCT(($B$2:B999=B999)*($D$2:D999=D999)*($E$2:E999=E999)*($F$2:F999=F999)*($G$2:G999=G999)*($I$2:I999="Duplicate"))-1),"")&amp;".jpeg")</f>
        <v/>
      </c>
      <c r="L999" s="6"/>
      <c r="M999" s="5" t="str">
        <f>IFERROR(VLOOKUP(E999,Specifications!$A$2:$D$9,2,FALSE),"")</f>
        <v/>
      </c>
      <c r="N999" s="5" t="str">
        <f>IFERROR(VLOOKUP(E999,Specifications!$A$2:$D$9,3,FALSE),"")</f>
        <v/>
      </c>
      <c r="O999" s="5" t="str">
        <f>IFERROR(VLOOKUP(E999,Specifications!$A$2:$D$9,4,FALSE),"")</f>
        <v/>
      </c>
      <c r="P999" s="8" t="str">
        <f t="shared" si="48"/>
        <v/>
      </c>
      <c r="Q999" s="9"/>
    </row>
    <row r="1000" spans="1:17" ht="15">
      <c r="A1000" s="5" t="str">
        <f t="shared" si="46"/>
        <v/>
      </c>
      <c r="B1000" s="6"/>
      <c r="C1000" s="5" t="str">
        <f>IFERROR(VLOOKUP(B1000,Lists!$A$2:$B$25,2,FALSE),"")</f>
        <v/>
      </c>
      <c r="D1000" s="7"/>
      <c r="E1000" s="6"/>
      <c r="F1000" s="6" t="str">
        <f t="shared" si="47"/>
        <v/>
      </c>
      <c r="G1000" s="6"/>
      <c r="H1000" s="6"/>
      <c r="I1000" s="6"/>
      <c r="J1000" s="7"/>
      <c r="K1000" s="5" t="str" cm="1">
        <f t="array" ref="K1000">IF(OR(A1000="",B1000="",D1000="",E1000=""),"",A1000&amp;"_"&amp;SUBSTITUTE(B1000," ","-")&amp;"_"&amp;D1000&amp;"_"&amp;SUBSTITUTE(SUBSTITUTE(E1000," ",""),"€","Euro")&amp;"_"&amp;IF(F1000="","Unknown",F1000)&amp;IF(F1000="Commemorative",IF(G1000="","","_"&amp;SUBSTITUTE(SUBSTITUTE(SUBSTITUTE(G1000," ","-"),"/","-"),CHAR(39),"")),"")&amp;IF(I1000="Duplicate","_Dub"&amp;IF(SUMPRODUCT(($B$2:B1000=B1000)*($D$2:D1000=D1000)*($E$2:E1000=E1000)*($F$2:F1000=F1000)*($G$2:G1000=G1000)*($I$2:I1000="Duplicate"))&lt;=1,"",SUMPRODUCT(($B$2:B1000=B1000)*($D$2:D1000=D1000)*($E$2:E1000=E1000)*($F$2:F1000=F1000)*($G$2:G1000=G1000)*($I$2:I1000="Duplicate"))-1),"")&amp;".jpeg")</f>
        <v/>
      </c>
      <c r="L1000" s="6"/>
      <c r="M1000" s="5" t="str">
        <f>IFERROR(VLOOKUP(E1000,Specifications!$A$2:$D$9,2,FALSE),"")</f>
        <v/>
      </c>
      <c r="N1000" s="5" t="str">
        <f>IFERROR(VLOOKUP(E1000,Specifications!$A$2:$D$9,3,FALSE),"")</f>
        <v/>
      </c>
      <c r="O1000" s="5" t="str">
        <f>IFERROR(VLOOKUP(E1000,Specifications!$A$2:$D$9,4,FALSE),"")</f>
        <v/>
      </c>
      <c r="P1000" s="8" t="str">
        <f t="shared" si="48"/>
        <v/>
      </c>
      <c r="Q1000" s="9"/>
    </row>
    <row r="1001" spans="1:17" ht="15">
      <c r="A1001" s="5" t="str">
        <f t="shared" si="46"/>
        <v/>
      </c>
      <c r="B1001" s="6"/>
      <c r="C1001" s="5" t="str">
        <f>IFERROR(VLOOKUP(B1001,Lists!$A$2:$B$25,2,FALSE),"")</f>
        <v/>
      </c>
      <c r="D1001" s="7"/>
      <c r="E1001" s="6"/>
      <c r="F1001" s="6" t="str">
        <f t="shared" si="47"/>
        <v/>
      </c>
      <c r="G1001" s="6"/>
      <c r="H1001" s="6"/>
      <c r="I1001" s="6"/>
      <c r="J1001" s="7"/>
      <c r="K1001" s="5" t="str" cm="1">
        <f t="array" ref="K1001">IF(OR(A1001="",B1001="",D1001="",E1001=""),"",A1001&amp;"_"&amp;SUBSTITUTE(B1001," ","-")&amp;"_"&amp;D1001&amp;"_"&amp;SUBSTITUTE(SUBSTITUTE(E1001," ",""),"€","Euro")&amp;"_"&amp;IF(F1001="","Unknown",F1001)&amp;IF(F1001="Commemorative",IF(G1001="","","_"&amp;SUBSTITUTE(SUBSTITUTE(SUBSTITUTE(G1001," ","-"),"/","-"),CHAR(39),"")),"")&amp;IF(I1001="Duplicate","_Dub"&amp;IF(SUMPRODUCT(($B$2:B1001=B1001)*($D$2:D1001=D1001)*($E$2:E1001=E1001)*($F$2:F1001=F1001)*($G$2:G1001=G1001)*($I$2:I1001="Duplicate"))&lt;=1,"",SUMPRODUCT(($B$2:B1001=B1001)*($D$2:D1001=D1001)*($E$2:E1001=E1001)*($F$2:F1001=F1001)*($G$2:G1001=G1001)*($I$2:I1001="Duplicate"))-1),"")&amp;".jpeg")</f>
        <v/>
      </c>
      <c r="L1001" s="6"/>
      <c r="M1001" s="5" t="str">
        <f>IFERROR(VLOOKUP(E1001,Specifications!$A$2:$D$9,2,FALSE),"")</f>
        <v/>
      </c>
      <c r="N1001" s="5" t="str">
        <f>IFERROR(VLOOKUP(E1001,Specifications!$A$2:$D$9,3,FALSE),"")</f>
        <v/>
      </c>
      <c r="O1001" s="5" t="str">
        <f>IFERROR(VLOOKUP(E1001,Specifications!$A$2:$D$9,4,FALSE),"")</f>
        <v/>
      </c>
      <c r="P1001" s="8" t="str">
        <f t="shared" si="48"/>
        <v/>
      </c>
      <c r="Q1001" s="9"/>
    </row>
    <row r="1002" spans="1:17" ht="15">
      <c r="A1002" s="5" t="str">
        <f t="shared" si="46"/>
        <v/>
      </c>
      <c r="B1002" s="6"/>
      <c r="C1002" s="5" t="str">
        <f>IFERROR(VLOOKUP(B1002,Lists!$A$2:$B$25,2,FALSE),"")</f>
        <v/>
      </c>
      <c r="D1002" s="7"/>
      <c r="E1002" s="6"/>
      <c r="F1002" s="6" t="str">
        <f t="shared" si="47"/>
        <v/>
      </c>
      <c r="G1002" s="6"/>
      <c r="H1002" s="6"/>
      <c r="I1002" s="6"/>
      <c r="J1002" s="7"/>
      <c r="K1002" s="5" t="str" cm="1">
        <f t="array" ref="K1002">IF(OR(A1002="",B1002="",D1002="",E1002=""),"",A1002&amp;"_"&amp;SUBSTITUTE(B1002," ","-")&amp;"_"&amp;D1002&amp;"_"&amp;SUBSTITUTE(SUBSTITUTE(E1002," ",""),"€","Euro")&amp;"_"&amp;IF(F1002="","Unknown",F1002)&amp;IF(F1002="Commemorative",IF(G1002="","","_"&amp;SUBSTITUTE(SUBSTITUTE(SUBSTITUTE(G1002," ","-"),"/","-"),CHAR(39),"")),"")&amp;IF(I1002="Duplicate","_Dub"&amp;IF(SUMPRODUCT(($B$2:B1002=B1002)*($D$2:D1002=D1002)*($E$2:E1002=E1002)*($F$2:F1002=F1002)*($G$2:G1002=G1002)*($I$2:I1002="Duplicate"))&lt;=1,"",SUMPRODUCT(($B$2:B1002=B1002)*($D$2:D1002=D1002)*($E$2:E1002=E1002)*($F$2:F1002=F1002)*($G$2:G1002=G1002)*($I$2:I1002="Duplicate"))-1),"")&amp;".jpeg")</f>
        <v/>
      </c>
      <c r="L1002" s="6"/>
      <c r="M1002" s="5" t="str">
        <f>IFERROR(VLOOKUP(E1002,Specifications!$A$2:$D$9,2,FALSE),"")</f>
        <v/>
      </c>
      <c r="N1002" s="5" t="str">
        <f>IFERROR(VLOOKUP(E1002,Specifications!$A$2:$D$9,3,FALSE),"")</f>
        <v/>
      </c>
      <c r="O1002" s="5" t="str">
        <f>IFERROR(VLOOKUP(E1002,Specifications!$A$2:$D$9,4,FALSE),"")</f>
        <v/>
      </c>
      <c r="P1002" s="8" t="str">
        <f t="shared" si="48"/>
        <v/>
      </c>
      <c r="Q1002" s="9"/>
    </row>
    <row r="1003" spans="1:17" ht="15">
      <c r="A1003" s="5" t="str">
        <f t="shared" si="46"/>
        <v/>
      </c>
      <c r="B1003" s="6"/>
      <c r="C1003" s="5" t="str">
        <f>IFERROR(VLOOKUP(B1003,Lists!$A$2:$B$25,2,FALSE),"")</f>
        <v/>
      </c>
      <c r="D1003" s="7"/>
      <c r="E1003" s="6"/>
      <c r="F1003" s="6" t="str">
        <f t="shared" si="47"/>
        <v/>
      </c>
      <c r="G1003" s="6"/>
      <c r="H1003" s="6"/>
      <c r="I1003" s="6"/>
      <c r="J1003" s="7"/>
      <c r="K1003" s="5" t="str" cm="1">
        <f t="array" ref="K1003">IF(OR(A1003="",B1003="",D1003="",E1003=""),"",A1003&amp;"_"&amp;SUBSTITUTE(B1003," ","-")&amp;"_"&amp;D1003&amp;"_"&amp;SUBSTITUTE(SUBSTITUTE(E1003," ",""),"€","Euro")&amp;"_"&amp;IF(F1003="","Unknown",F1003)&amp;IF(F1003="Commemorative",IF(G1003="","","_"&amp;SUBSTITUTE(SUBSTITUTE(SUBSTITUTE(G1003," ","-"),"/","-"),CHAR(39),"")),"")&amp;IF(I1003="Duplicate","_Dub"&amp;IF(SUMPRODUCT(($B$2:B1003=B1003)*($D$2:D1003=D1003)*($E$2:E1003=E1003)*($F$2:F1003=F1003)*($G$2:G1003=G1003)*($I$2:I1003="Duplicate"))&lt;=1,"",SUMPRODUCT(($B$2:B1003=B1003)*($D$2:D1003=D1003)*($E$2:E1003=E1003)*($F$2:F1003=F1003)*($G$2:G1003=G1003)*($I$2:I1003="Duplicate"))-1),"")&amp;".jpeg")</f>
        <v/>
      </c>
      <c r="L1003" s="6"/>
      <c r="M1003" s="5" t="str">
        <f>IFERROR(VLOOKUP(E1003,Specifications!$A$2:$D$9,2,FALSE),"")</f>
        <v/>
      </c>
      <c r="N1003" s="5" t="str">
        <f>IFERROR(VLOOKUP(E1003,Specifications!$A$2:$D$9,3,FALSE),"")</f>
        <v/>
      </c>
      <c r="O1003" s="5" t="str">
        <f>IFERROR(VLOOKUP(E1003,Specifications!$A$2:$D$9,4,FALSE),"")</f>
        <v/>
      </c>
      <c r="P1003" s="8" t="str">
        <f t="shared" si="48"/>
        <v/>
      </c>
      <c r="Q1003" s="9"/>
    </row>
    <row r="1004" spans="1:17" ht="15">
      <c r="A1004" s="5" t="str">
        <f t="shared" si="46"/>
        <v/>
      </c>
      <c r="B1004" s="6"/>
      <c r="C1004" s="5" t="str">
        <f>IFERROR(VLOOKUP(B1004,Lists!$A$2:$B$25,2,FALSE),"")</f>
        <v/>
      </c>
      <c r="D1004" s="7"/>
      <c r="E1004" s="6"/>
      <c r="F1004" s="6" t="str">
        <f t="shared" si="47"/>
        <v/>
      </c>
      <c r="G1004" s="6"/>
      <c r="H1004" s="6"/>
      <c r="I1004" s="6"/>
      <c r="J1004" s="7"/>
      <c r="K1004" s="5" t="str" cm="1">
        <f t="array" ref="K1004">IF(OR(A1004="",B1004="",D1004="",E1004=""),"",A1004&amp;"_"&amp;SUBSTITUTE(B1004," ","-")&amp;"_"&amp;D1004&amp;"_"&amp;SUBSTITUTE(SUBSTITUTE(E1004," ",""),"€","Euro")&amp;"_"&amp;IF(F1004="","Unknown",F1004)&amp;IF(F1004="Commemorative",IF(G1004="","","_"&amp;SUBSTITUTE(SUBSTITUTE(SUBSTITUTE(G1004," ","-"),"/","-"),CHAR(39),"")),"")&amp;IF(I1004="Duplicate","_Dub"&amp;IF(SUMPRODUCT(($B$2:B1004=B1004)*($D$2:D1004=D1004)*($E$2:E1004=E1004)*($F$2:F1004=F1004)*($G$2:G1004=G1004)*($I$2:I1004="Duplicate"))&lt;=1,"",SUMPRODUCT(($B$2:B1004=B1004)*($D$2:D1004=D1004)*($E$2:E1004=E1004)*($F$2:F1004=F1004)*($G$2:G1004=G1004)*($I$2:I1004="Duplicate"))-1),"")&amp;".jpeg")</f>
        <v/>
      </c>
      <c r="L1004" s="6"/>
      <c r="M1004" s="5" t="str">
        <f>IFERROR(VLOOKUP(E1004,Specifications!$A$2:$D$9,2,FALSE),"")</f>
        <v/>
      </c>
      <c r="N1004" s="5" t="str">
        <f>IFERROR(VLOOKUP(E1004,Specifications!$A$2:$D$9,3,FALSE),"")</f>
        <v/>
      </c>
      <c r="O1004" s="5" t="str">
        <f>IFERROR(VLOOKUP(E1004,Specifications!$A$2:$D$9,4,FALSE),"")</f>
        <v/>
      </c>
      <c r="P1004" s="8" t="str">
        <f t="shared" si="48"/>
        <v/>
      </c>
      <c r="Q1004" s="9"/>
    </row>
    <row r="1005" spans="1:17" ht="15">
      <c r="A1005" s="5" t="str">
        <f t="shared" si="46"/>
        <v/>
      </c>
      <c r="B1005" s="6"/>
      <c r="C1005" s="5" t="str">
        <f>IFERROR(VLOOKUP(B1005,Lists!$A$2:$B$25,2,FALSE),"")</f>
        <v/>
      </c>
      <c r="D1005" s="7"/>
      <c r="E1005" s="6"/>
      <c r="F1005" s="6" t="str">
        <f t="shared" si="47"/>
        <v/>
      </c>
      <c r="G1005" s="6"/>
      <c r="H1005" s="6"/>
      <c r="I1005" s="6"/>
      <c r="J1005" s="7"/>
      <c r="K1005" s="5" t="str" cm="1">
        <f t="array" ref="K1005">IF(OR(A1005="",B1005="",D1005="",E1005=""),"",A1005&amp;"_"&amp;SUBSTITUTE(B1005," ","-")&amp;"_"&amp;D1005&amp;"_"&amp;SUBSTITUTE(SUBSTITUTE(E1005," ",""),"€","Euro")&amp;"_"&amp;IF(F1005="","Unknown",F1005)&amp;IF(F1005="Commemorative",IF(G1005="","","_"&amp;SUBSTITUTE(SUBSTITUTE(SUBSTITUTE(G1005," ","-"),"/","-"),CHAR(39),"")),"")&amp;IF(I1005="Duplicate","_Dub"&amp;IF(SUMPRODUCT(($B$2:B1005=B1005)*($D$2:D1005=D1005)*($E$2:E1005=E1005)*($F$2:F1005=F1005)*($G$2:G1005=G1005)*($I$2:I1005="Duplicate"))&lt;=1,"",SUMPRODUCT(($B$2:B1005=B1005)*($D$2:D1005=D1005)*($E$2:E1005=E1005)*($F$2:F1005=F1005)*($G$2:G1005=G1005)*($I$2:I1005="Duplicate"))-1),"")&amp;".jpeg")</f>
        <v/>
      </c>
      <c r="L1005" s="6"/>
      <c r="M1005" s="5" t="str">
        <f>IFERROR(VLOOKUP(E1005,Specifications!$A$2:$D$9,2,FALSE),"")</f>
        <v/>
      </c>
      <c r="N1005" s="5" t="str">
        <f>IFERROR(VLOOKUP(E1005,Specifications!$A$2:$D$9,3,FALSE),"")</f>
        <v/>
      </c>
      <c r="O1005" s="5" t="str">
        <f>IFERROR(VLOOKUP(E1005,Specifications!$A$2:$D$9,4,FALSE),"")</f>
        <v/>
      </c>
      <c r="P1005" s="8" t="str">
        <f t="shared" si="48"/>
        <v/>
      </c>
      <c r="Q1005" s="9"/>
    </row>
    <row r="1006" spans="1:17" ht="15">
      <c r="A1006" s="5" t="str">
        <f t="shared" si="46"/>
        <v/>
      </c>
      <c r="B1006" s="6"/>
      <c r="C1006" s="5" t="str">
        <f>IFERROR(VLOOKUP(B1006,Lists!$A$2:$B$25,2,FALSE),"")</f>
        <v/>
      </c>
      <c r="D1006" s="7"/>
      <c r="E1006" s="6"/>
      <c r="F1006" s="6" t="str">
        <f t="shared" si="47"/>
        <v/>
      </c>
      <c r="G1006" s="6"/>
      <c r="H1006" s="6"/>
      <c r="I1006" s="6"/>
      <c r="J1006" s="7"/>
      <c r="K1006" s="5" t="str" cm="1">
        <f t="array" ref="K1006">IF(OR(A1006="",B1006="",D1006="",E1006=""),"",A1006&amp;"_"&amp;SUBSTITUTE(B1006," ","-")&amp;"_"&amp;D1006&amp;"_"&amp;SUBSTITUTE(SUBSTITUTE(E1006," ",""),"€","Euro")&amp;"_"&amp;IF(F1006="","Unknown",F1006)&amp;IF(F1006="Commemorative",IF(G1006="","","_"&amp;SUBSTITUTE(SUBSTITUTE(SUBSTITUTE(G1006," ","-"),"/","-"),CHAR(39),"")),"")&amp;IF(I1006="Duplicate","_Dub"&amp;IF(SUMPRODUCT(($B$2:B1006=B1006)*($D$2:D1006=D1006)*($E$2:E1006=E1006)*($F$2:F1006=F1006)*($G$2:G1006=G1006)*($I$2:I1006="Duplicate"))&lt;=1,"",SUMPRODUCT(($B$2:B1006=B1006)*($D$2:D1006=D1006)*($E$2:E1006=E1006)*($F$2:F1006=F1006)*($G$2:G1006=G1006)*($I$2:I1006="Duplicate"))-1),"")&amp;".jpeg")</f>
        <v/>
      </c>
      <c r="L1006" s="6"/>
      <c r="M1006" s="5" t="str">
        <f>IFERROR(VLOOKUP(E1006,Specifications!$A$2:$D$9,2,FALSE),"")</f>
        <v/>
      </c>
      <c r="N1006" s="5" t="str">
        <f>IFERROR(VLOOKUP(E1006,Specifications!$A$2:$D$9,3,FALSE),"")</f>
        <v/>
      </c>
      <c r="O1006" s="5" t="str">
        <f>IFERROR(VLOOKUP(E1006,Specifications!$A$2:$D$9,4,FALSE),"")</f>
        <v/>
      </c>
      <c r="P1006" s="8" t="str">
        <f t="shared" si="48"/>
        <v/>
      </c>
      <c r="Q1006" s="9"/>
    </row>
    <row r="1007" spans="1:17" ht="15">
      <c r="A1007" s="5" t="str">
        <f t="shared" si="46"/>
        <v/>
      </c>
      <c r="B1007" s="6"/>
      <c r="C1007" s="5" t="str">
        <f>IFERROR(VLOOKUP(B1007,Lists!$A$2:$B$25,2,FALSE),"")</f>
        <v/>
      </c>
      <c r="D1007" s="7"/>
      <c r="E1007" s="6"/>
      <c r="F1007" s="6" t="str">
        <f t="shared" si="47"/>
        <v/>
      </c>
      <c r="G1007" s="6"/>
      <c r="H1007" s="6"/>
      <c r="I1007" s="6"/>
      <c r="J1007" s="7"/>
      <c r="K1007" s="5" t="str" cm="1">
        <f t="array" ref="K1007">IF(OR(A1007="",B1007="",D1007="",E1007=""),"",A1007&amp;"_"&amp;SUBSTITUTE(B1007," ","-")&amp;"_"&amp;D1007&amp;"_"&amp;SUBSTITUTE(SUBSTITUTE(E1007," ",""),"€","Euro")&amp;"_"&amp;IF(F1007="","Unknown",F1007)&amp;IF(F1007="Commemorative",IF(G1007="","","_"&amp;SUBSTITUTE(SUBSTITUTE(SUBSTITUTE(G1007," ","-"),"/","-"),CHAR(39),"")),"")&amp;IF(I1007="Duplicate","_Dub"&amp;IF(SUMPRODUCT(($B$2:B1007=B1007)*($D$2:D1007=D1007)*($E$2:E1007=E1007)*($F$2:F1007=F1007)*($G$2:G1007=G1007)*($I$2:I1007="Duplicate"))&lt;=1,"",SUMPRODUCT(($B$2:B1007=B1007)*($D$2:D1007=D1007)*($E$2:E1007=E1007)*($F$2:F1007=F1007)*($G$2:G1007=G1007)*($I$2:I1007="Duplicate"))-1),"")&amp;".jpeg")</f>
        <v/>
      </c>
      <c r="L1007" s="6"/>
      <c r="M1007" s="5" t="str">
        <f>IFERROR(VLOOKUP(E1007,Specifications!$A$2:$D$9,2,FALSE),"")</f>
        <v/>
      </c>
      <c r="N1007" s="5" t="str">
        <f>IFERROR(VLOOKUP(E1007,Specifications!$A$2:$D$9,3,FALSE),"")</f>
        <v/>
      </c>
      <c r="O1007" s="5" t="str">
        <f>IFERROR(VLOOKUP(E1007,Specifications!$A$2:$D$9,4,FALSE),"")</f>
        <v/>
      </c>
      <c r="P1007" s="8" t="str">
        <f t="shared" si="48"/>
        <v/>
      </c>
      <c r="Q1007" s="9"/>
    </row>
    <row r="1008" spans="1:17" ht="15">
      <c r="A1008" s="5" t="str">
        <f t="shared" si="46"/>
        <v/>
      </c>
      <c r="B1008" s="6"/>
      <c r="C1008" s="5" t="str">
        <f>IFERROR(VLOOKUP(B1008,Lists!$A$2:$B$25,2,FALSE),"")</f>
        <v/>
      </c>
      <c r="D1008" s="7"/>
      <c r="E1008" s="6"/>
      <c r="F1008" s="6" t="str">
        <f t="shared" si="47"/>
        <v/>
      </c>
      <c r="G1008" s="6"/>
      <c r="H1008" s="6"/>
      <c r="I1008" s="6"/>
      <c r="J1008" s="7"/>
      <c r="K1008" s="5" t="str" cm="1">
        <f t="array" ref="K1008">IF(OR(A1008="",B1008="",D1008="",E1008=""),"",A1008&amp;"_"&amp;SUBSTITUTE(B1008," ","-")&amp;"_"&amp;D1008&amp;"_"&amp;SUBSTITUTE(SUBSTITUTE(E1008," ",""),"€","Euro")&amp;"_"&amp;IF(F1008="","Unknown",F1008)&amp;IF(F1008="Commemorative",IF(G1008="","","_"&amp;SUBSTITUTE(SUBSTITUTE(SUBSTITUTE(G1008," ","-"),"/","-"),CHAR(39),"")),"")&amp;IF(I1008="Duplicate","_Dub"&amp;IF(SUMPRODUCT(($B$2:B1008=B1008)*($D$2:D1008=D1008)*($E$2:E1008=E1008)*($F$2:F1008=F1008)*($G$2:G1008=G1008)*($I$2:I1008="Duplicate"))&lt;=1,"",SUMPRODUCT(($B$2:B1008=B1008)*($D$2:D1008=D1008)*($E$2:E1008=E1008)*($F$2:F1008=F1008)*($G$2:G1008=G1008)*($I$2:I1008="Duplicate"))-1),"")&amp;".jpeg")</f>
        <v/>
      </c>
      <c r="L1008" s="6"/>
      <c r="M1008" s="5" t="str">
        <f>IFERROR(VLOOKUP(E1008,Specifications!$A$2:$D$9,2,FALSE),"")</f>
        <v/>
      </c>
      <c r="N1008" s="5" t="str">
        <f>IFERROR(VLOOKUP(E1008,Specifications!$A$2:$D$9,3,FALSE),"")</f>
        <v/>
      </c>
      <c r="O1008" s="5" t="str">
        <f>IFERROR(VLOOKUP(E1008,Specifications!$A$2:$D$9,4,FALSE),"")</f>
        <v/>
      </c>
      <c r="P1008" s="8" t="str">
        <f t="shared" si="48"/>
        <v/>
      </c>
      <c r="Q1008" s="9"/>
    </row>
    <row r="1009" spans="1:17" ht="15">
      <c r="A1009" s="5" t="str">
        <f t="shared" si="46"/>
        <v/>
      </c>
      <c r="B1009" s="6"/>
      <c r="C1009" s="5" t="str">
        <f>IFERROR(VLOOKUP(B1009,Lists!$A$2:$B$25,2,FALSE),"")</f>
        <v/>
      </c>
      <c r="D1009" s="7"/>
      <c r="E1009" s="6"/>
      <c r="F1009" s="6" t="str">
        <f t="shared" si="47"/>
        <v/>
      </c>
      <c r="G1009" s="6"/>
      <c r="H1009" s="6"/>
      <c r="I1009" s="6"/>
      <c r="J1009" s="7"/>
      <c r="K1009" s="5" t="str" cm="1">
        <f t="array" ref="K1009">IF(OR(A1009="",B1009="",D1009="",E1009=""),"",A1009&amp;"_"&amp;SUBSTITUTE(B1009," ","-")&amp;"_"&amp;D1009&amp;"_"&amp;SUBSTITUTE(SUBSTITUTE(E1009," ",""),"€","Euro")&amp;"_"&amp;IF(F1009="","Unknown",F1009)&amp;IF(F1009="Commemorative",IF(G1009="","","_"&amp;SUBSTITUTE(SUBSTITUTE(SUBSTITUTE(G1009," ","-"),"/","-"),CHAR(39),"")),"")&amp;IF(I1009="Duplicate","_Dub"&amp;IF(SUMPRODUCT(($B$2:B1009=B1009)*($D$2:D1009=D1009)*($E$2:E1009=E1009)*($F$2:F1009=F1009)*($G$2:G1009=G1009)*($I$2:I1009="Duplicate"))&lt;=1,"",SUMPRODUCT(($B$2:B1009=B1009)*($D$2:D1009=D1009)*($E$2:E1009=E1009)*($F$2:F1009=F1009)*($G$2:G1009=G1009)*($I$2:I1009="Duplicate"))-1),"")&amp;".jpeg")</f>
        <v/>
      </c>
      <c r="L1009" s="6"/>
      <c r="M1009" s="5" t="str">
        <f>IFERROR(VLOOKUP(E1009,Specifications!$A$2:$D$9,2,FALSE),"")</f>
        <v/>
      </c>
      <c r="N1009" s="5" t="str">
        <f>IFERROR(VLOOKUP(E1009,Specifications!$A$2:$D$9,3,FALSE),"")</f>
        <v/>
      </c>
      <c r="O1009" s="5" t="str">
        <f>IFERROR(VLOOKUP(E1009,Specifications!$A$2:$D$9,4,FALSE),"")</f>
        <v/>
      </c>
      <c r="P1009" s="8" t="str">
        <f t="shared" si="48"/>
        <v/>
      </c>
      <c r="Q1009" s="9"/>
    </row>
    <row r="1010" spans="1:17" ht="15">
      <c r="A1010" s="5" t="str">
        <f t="shared" si="46"/>
        <v/>
      </c>
      <c r="B1010" s="6"/>
      <c r="C1010" s="5" t="str">
        <f>IFERROR(VLOOKUP(B1010,Lists!$A$2:$B$25,2,FALSE),"")</f>
        <v/>
      </c>
      <c r="D1010" s="7"/>
      <c r="E1010" s="6"/>
      <c r="F1010" s="6" t="str">
        <f t="shared" si="47"/>
        <v/>
      </c>
      <c r="G1010" s="6"/>
      <c r="H1010" s="6"/>
      <c r="I1010" s="6"/>
      <c r="J1010" s="7"/>
      <c r="K1010" s="5" t="str" cm="1">
        <f t="array" ref="K1010">IF(OR(A1010="",B1010="",D1010="",E1010=""),"",A1010&amp;"_"&amp;SUBSTITUTE(B1010," ","-")&amp;"_"&amp;D1010&amp;"_"&amp;SUBSTITUTE(SUBSTITUTE(E1010," ",""),"€","Euro")&amp;"_"&amp;IF(F1010="","Unknown",F1010)&amp;IF(F1010="Commemorative",IF(G1010="","","_"&amp;SUBSTITUTE(SUBSTITUTE(SUBSTITUTE(G1010," ","-"),"/","-"),CHAR(39),"")),"")&amp;IF(I1010="Duplicate","_Dub"&amp;IF(SUMPRODUCT(($B$2:B1010=B1010)*($D$2:D1010=D1010)*($E$2:E1010=E1010)*($F$2:F1010=F1010)*($G$2:G1010=G1010)*($I$2:I1010="Duplicate"))&lt;=1,"",SUMPRODUCT(($B$2:B1010=B1010)*($D$2:D1010=D1010)*($E$2:E1010=E1010)*($F$2:F1010=F1010)*($G$2:G1010=G1010)*($I$2:I1010="Duplicate"))-1),"")&amp;".jpeg")</f>
        <v/>
      </c>
      <c r="L1010" s="6"/>
      <c r="M1010" s="5" t="str">
        <f>IFERROR(VLOOKUP(E1010,Specifications!$A$2:$D$9,2,FALSE),"")</f>
        <v/>
      </c>
      <c r="N1010" s="5" t="str">
        <f>IFERROR(VLOOKUP(E1010,Specifications!$A$2:$D$9,3,FALSE),"")</f>
        <v/>
      </c>
      <c r="O1010" s="5" t="str">
        <f>IFERROR(VLOOKUP(E1010,Specifications!$A$2:$D$9,4,FALSE),"")</f>
        <v/>
      </c>
      <c r="P1010" s="8" t="str">
        <f t="shared" si="48"/>
        <v/>
      </c>
      <c r="Q1010" s="9"/>
    </row>
    <row r="1011" spans="1:17" ht="15">
      <c r="A1011" s="5" t="str">
        <f t="shared" si="46"/>
        <v/>
      </c>
      <c r="B1011" s="6"/>
      <c r="C1011" s="5" t="str">
        <f>IFERROR(VLOOKUP(B1011,Lists!$A$2:$B$25,2,FALSE),"")</f>
        <v/>
      </c>
      <c r="D1011" s="7"/>
      <c r="E1011" s="6"/>
      <c r="F1011" s="6" t="str">
        <f t="shared" si="47"/>
        <v/>
      </c>
      <c r="G1011" s="6"/>
      <c r="H1011" s="6"/>
      <c r="I1011" s="6"/>
      <c r="J1011" s="7"/>
      <c r="K1011" s="5" t="str" cm="1">
        <f t="array" ref="K1011">IF(OR(A1011="",B1011="",D1011="",E1011=""),"",A1011&amp;"_"&amp;SUBSTITUTE(B1011," ","-")&amp;"_"&amp;D1011&amp;"_"&amp;SUBSTITUTE(SUBSTITUTE(E1011," ",""),"€","Euro")&amp;"_"&amp;IF(F1011="","Unknown",F1011)&amp;IF(F1011="Commemorative",IF(G1011="","","_"&amp;SUBSTITUTE(SUBSTITUTE(SUBSTITUTE(G1011," ","-"),"/","-"),CHAR(39),"")),"")&amp;IF(I1011="Duplicate","_Dub"&amp;IF(SUMPRODUCT(($B$2:B1011=B1011)*($D$2:D1011=D1011)*($E$2:E1011=E1011)*($F$2:F1011=F1011)*($G$2:G1011=G1011)*($I$2:I1011="Duplicate"))&lt;=1,"",SUMPRODUCT(($B$2:B1011=B1011)*($D$2:D1011=D1011)*($E$2:E1011=E1011)*($F$2:F1011=F1011)*($G$2:G1011=G1011)*($I$2:I1011="Duplicate"))-1),"")&amp;".jpeg")</f>
        <v/>
      </c>
      <c r="L1011" s="6"/>
      <c r="M1011" s="5" t="str">
        <f>IFERROR(VLOOKUP(E1011,Specifications!$A$2:$D$9,2,FALSE),"")</f>
        <v/>
      </c>
      <c r="N1011" s="5" t="str">
        <f>IFERROR(VLOOKUP(E1011,Specifications!$A$2:$D$9,3,FALSE),"")</f>
        <v/>
      </c>
      <c r="O1011" s="5" t="str">
        <f>IFERROR(VLOOKUP(E1011,Specifications!$A$2:$D$9,4,FALSE),"")</f>
        <v/>
      </c>
      <c r="P1011" s="8" t="str">
        <f t="shared" si="48"/>
        <v/>
      </c>
      <c r="Q1011" s="9"/>
    </row>
    <row r="1012" spans="1:17" ht="15">
      <c r="A1012" s="5" t="str">
        <f t="shared" si="46"/>
        <v/>
      </c>
      <c r="B1012" s="6"/>
      <c r="C1012" s="5" t="str">
        <f>IFERROR(VLOOKUP(B1012,Lists!$A$2:$B$25,2,FALSE),"")</f>
        <v/>
      </c>
      <c r="D1012" s="7"/>
      <c r="E1012" s="6"/>
      <c r="F1012" s="6" t="str">
        <f t="shared" si="47"/>
        <v/>
      </c>
      <c r="G1012" s="6"/>
      <c r="H1012" s="6"/>
      <c r="I1012" s="6"/>
      <c r="J1012" s="7"/>
      <c r="K1012" s="5" t="str" cm="1">
        <f t="array" ref="K1012">IF(OR(A1012="",B1012="",D1012="",E1012=""),"",A1012&amp;"_"&amp;SUBSTITUTE(B1012," ","-")&amp;"_"&amp;D1012&amp;"_"&amp;SUBSTITUTE(SUBSTITUTE(E1012," ",""),"€","Euro")&amp;"_"&amp;IF(F1012="","Unknown",F1012)&amp;IF(F1012="Commemorative",IF(G1012="","","_"&amp;SUBSTITUTE(SUBSTITUTE(SUBSTITUTE(G1012," ","-"),"/","-"),CHAR(39),"")),"")&amp;IF(I1012="Duplicate","_Dub"&amp;IF(SUMPRODUCT(($B$2:B1012=B1012)*($D$2:D1012=D1012)*($E$2:E1012=E1012)*($F$2:F1012=F1012)*($G$2:G1012=G1012)*($I$2:I1012="Duplicate"))&lt;=1,"",SUMPRODUCT(($B$2:B1012=B1012)*($D$2:D1012=D1012)*($E$2:E1012=E1012)*($F$2:F1012=F1012)*($G$2:G1012=G1012)*($I$2:I1012="Duplicate"))-1),"")&amp;".jpeg")</f>
        <v/>
      </c>
      <c r="L1012" s="6"/>
      <c r="M1012" s="5" t="str">
        <f>IFERROR(VLOOKUP(E1012,Specifications!$A$2:$D$9,2,FALSE),"")</f>
        <v/>
      </c>
      <c r="N1012" s="5" t="str">
        <f>IFERROR(VLOOKUP(E1012,Specifications!$A$2:$D$9,3,FALSE),"")</f>
        <v/>
      </c>
      <c r="O1012" s="5" t="str">
        <f>IFERROR(VLOOKUP(E1012,Specifications!$A$2:$D$9,4,FALSE),"")</f>
        <v/>
      </c>
      <c r="P1012" s="8" t="str">
        <f t="shared" si="48"/>
        <v/>
      </c>
      <c r="Q1012" s="9"/>
    </row>
    <row r="1013" spans="1:17" ht="15">
      <c r="A1013" s="5" t="str">
        <f t="shared" si="46"/>
        <v/>
      </c>
      <c r="B1013" s="6"/>
      <c r="C1013" s="5" t="str">
        <f>IFERROR(VLOOKUP(B1013,Lists!$A$2:$B$25,2,FALSE),"")</f>
        <v/>
      </c>
      <c r="D1013" s="7"/>
      <c r="E1013" s="6"/>
      <c r="F1013" s="6" t="str">
        <f t="shared" si="47"/>
        <v/>
      </c>
      <c r="G1013" s="6"/>
      <c r="H1013" s="6"/>
      <c r="I1013" s="6"/>
      <c r="J1013" s="7"/>
      <c r="K1013" s="5" t="str" cm="1">
        <f t="array" ref="K1013">IF(OR(A1013="",B1013="",D1013="",E1013=""),"",A1013&amp;"_"&amp;SUBSTITUTE(B1013," ","-")&amp;"_"&amp;D1013&amp;"_"&amp;SUBSTITUTE(SUBSTITUTE(E1013," ",""),"€","Euro")&amp;"_"&amp;IF(F1013="","Unknown",F1013)&amp;IF(F1013="Commemorative",IF(G1013="","","_"&amp;SUBSTITUTE(SUBSTITUTE(SUBSTITUTE(G1013," ","-"),"/","-"),CHAR(39),"")),"")&amp;IF(I1013="Duplicate","_Dub"&amp;IF(SUMPRODUCT(($B$2:B1013=B1013)*($D$2:D1013=D1013)*($E$2:E1013=E1013)*($F$2:F1013=F1013)*($G$2:G1013=G1013)*($I$2:I1013="Duplicate"))&lt;=1,"",SUMPRODUCT(($B$2:B1013=B1013)*($D$2:D1013=D1013)*($E$2:E1013=E1013)*($F$2:F1013=F1013)*($G$2:G1013=G1013)*($I$2:I1013="Duplicate"))-1),"")&amp;".jpeg")</f>
        <v/>
      </c>
      <c r="L1013" s="6"/>
      <c r="M1013" s="5" t="str">
        <f>IFERROR(VLOOKUP(E1013,Specifications!$A$2:$D$9,2,FALSE),"")</f>
        <v/>
      </c>
      <c r="N1013" s="5" t="str">
        <f>IFERROR(VLOOKUP(E1013,Specifications!$A$2:$D$9,3,FALSE),"")</f>
        <v/>
      </c>
      <c r="O1013" s="5" t="str">
        <f>IFERROR(VLOOKUP(E1013,Specifications!$A$2:$D$9,4,FALSE),"")</f>
        <v/>
      </c>
      <c r="P1013" s="8" t="str">
        <f t="shared" si="48"/>
        <v/>
      </c>
      <c r="Q1013" s="9"/>
    </row>
    <row r="1014" spans="1:17" ht="15">
      <c r="A1014" s="5" t="str">
        <f t="shared" si="46"/>
        <v/>
      </c>
      <c r="B1014" s="6"/>
      <c r="C1014" s="5" t="str">
        <f>IFERROR(VLOOKUP(B1014,Lists!$A$2:$B$25,2,FALSE),"")</f>
        <v/>
      </c>
      <c r="D1014" s="7"/>
      <c r="E1014" s="6"/>
      <c r="F1014" s="6" t="str">
        <f t="shared" si="47"/>
        <v/>
      </c>
      <c r="G1014" s="6"/>
      <c r="H1014" s="6"/>
      <c r="I1014" s="6"/>
      <c r="J1014" s="7"/>
      <c r="K1014" s="5" t="str" cm="1">
        <f t="array" ref="K1014">IF(OR(A1014="",B1014="",D1014="",E1014=""),"",A1014&amp;"_"&amp;SUBSTITUTE(B1014," ","-")&amp;"_"&amp;D1014&amp;"_"&amp;SUBSTITUTE(SUBSTITUTE(E1014," ",""),"€","Euro")&amp;"_"&amp;IF(F1014="","Unknown",F1014)&amp;IF(F1014="Commemorative",IF(G1014="","","_"&amp;SUBSTITUTE(SUBSTITUTE(SUBSTITUTE(G1014," ","-"),"/","-"),CHAR(39),"")),"")&amp;IF(I1014="Duplicate","_Dub"&amp;IF(SUMPRODUCT(($B$2:B1014=B1014)*($D$2:D1014=D1014)*($E$2:E1014=E1014)*($F$2:F1014=F1014)*($G$2:G1014=G1014)*($I$2:I1014="Duplicate"))&lt;=1,"",SUMPRODUCT(($B$2:B1014=B1014)*($D$2:D1014=D1014)*($E$2:E1014=E1014)*($F$2:F1014=F1014)*($G$2:G1014=G1014)*($I$2:I1014="Duplicate"))-1),"")&amp;".jpeg")</f>
        <v/>
      </c>
      <c r="L1014" s="6"/>
      <c r="M1014" s="5" t="str">
        <f>IFERROR(VLOOKUP(E1014,Specifications!$A$2:$D$9,2,FALSE),"")</f>
        <v/>
      </c>
      <c r="N1014" s="5" t="str">
        <f>IFERROR(VLOOKUP(E1014,Specifications!$A$2:$D$9,3,FALSE),"")</f>
        <v/>
      </c>
      <c r="O1014" s="5" t="str">
        <f>IFERROR(VLOOKUP(E1014,Specifications!$A$2:$D$9,4,FALSE),"")</f>
        <v/>
      </c>
      <c r="P1014" s="8" t="str">
        <f t="shared" si="48"/>
        <v/>
      </c>
      <c r="Q1014" s="9"/>
    </row>
    <row r="1015" spans="1:17" ht="15">
      <c r="A1015" s="5" t="str">
        <f t="shared" si="46"/>
        <v/>
      </c>
      <c r="B1015" s="6"/>
      <c r="C1015" s="5" t="str">
        <f>IFERROR(VLOOKUP(B1015,Lists!$A$2:$B$25,2,FALSE),"")</f>
        <v/>
      </c>
      <c r="D1015" s="7"/>
      <c r="E1015" s="6"/>
      <c r="F1015" s="6" t="str">
        <f t="shared" si="47"/>
        <v/>
      </c>
      <c r="G1015" s="6"/>
      <c r="H1015" s="6"/>
      <c r="I1015" s="6"/>
      <c r="J1015" s="7"/>
      <c r="K1015" s="5" t="str" cm="1">
        <f t="array" ref="K1015">IF(OR(A1015="",B1015="",D1015="",E1015=""),"",A1015&amp;"_"&amp;SUBSTITUTE(B1015," ","-")&amp;"_"&amp;D1015&amp;"_"&amp;SUBSTITUTE(SUBSTITUTE(E1015," ",""),"€","Euro")&amp;"_"&amp;IF(F1015="","Unknown",F1015)&amp;IF(F1015="Commemorative",IF(G1015="","","_"&amp;SUBSTITUTE(SUBSTITUTE(SUBSTITUTE(G1015," ","-"),"/","-"),CHAR(39),"")),"")&amp;IF(I1015="Duplicate","_Dub"&amp;IF(SUMPRODUCT(($B$2:B1015=B1015)*($D$2:D1015=D1015)*($E$2:E1015=E1015)*($F$2:F1015=F1015)*($G$2:G1015=G1015)*($I$2:I1015="Duplicate"))&lt;=1,"",SUMPRODUCT(($B$2:B1015=B1015)*($D$2:D1015=D1015)*($E$2:E1015=E1015)*($F$2:F1015=F1015)*($G$2:G1015=G1015)*($I$2:I1015="Duplicate"))-1),"")&amp;".jpeg")</f>
        <v/>
      </c>
      <c r="L1015" s="6"/>
      <c r="M1015" s="5" t="str">
        <f>IFERROR(VLOOKUP(E1015,Specifications!$A$2:$D$9,2,FALSE),"")</f>
        <v/>
      </c>
      <c r="N1015" s="5" t="str">
        <f>IFERROR(VLOOKUP(E1015,Specifications!$A$2:$D$9,3,FALSE),"")</f>
        <v/>
      </c>
      <c r="O1015" s="5" t="str">
        <f>IFERROR(VLOOKUP(E1015,Specifications!$A$2:$D$9,4,FALSE),"")</f>
        <v/>
      </c>
      <c r="P1015" s="8" t="str">
        <f t="shared" si="48"/>
        <v/>
      </c>
      <c r="Q1015" s="9"/>
    </row>
    <row r="1016" spans="1:17" ht="15">
      <c r="A1016" s="5" t="str">
        <f t="shared" si="46"/>
        <v/>
      </c>
      <c r="B1016" s="6"/>
      <c r="C1016" s="5" t="str">
        <f>IFERROR(VLOOKUP(B1016,Lists!$A$2:$B$25,2,FALSE),"")</f>
        <v/>
      </c>
      <c r="D1016" s="7"/>
      <c r="E1016" s="6"/>
      <c r="F1016" s="6" t="str">
        <f t="shared" si="47"/>
        <v/>
      </c>
      <c r="G1016" s="6"/>
      <c r="H1016" s="6"/>
      <c r="I1016" s="6"/>
      <c r="J1016" s="7"/>
      <c r="K1016" s="5" t="str" cm="1">
        <f t="array" ref="K1016">IF(OR(A1016="",B1016="",D1016="",E1016=""),"",A1016&amp;"_"&amp;SUBSTITUTE(B1016," ","-")&amp;"_"&amp;D1016&amp;"_"&amp;SUBSTITUTE(SUBSTITUTE(E1016," ",""),"€","Euro")&amp;"_"&amp;IF(F1016="","Unknown",F1016)&amp;IF(F1016="Commemorative",IF(G1016="","","_"&amp;SUBSTITUTE(SUBSTITUTE(SUBSTITUTE(G1016," ","-"),"/","-"),CHAR(39),"")),"")&amp;IF(I1016="Duplicate","_Dub"&amp;IF(SUMPRODUCT(($B$2:B1016=B1016)*($D$2:D1016=D1016)*($E$2:E1016=E1016)*($F$2:F1016=F1016)*($G$2:G1016=G1016)*($I$2:I1016="Duplicate"))&lt;=1,"",SUMPRODUCT(($B$2:B1016=B1016)*($D$2:D1016=D1016)*($E$2:E1016=E1016)*($F$2:F1016=F1016)*($G$2:G1016=G1016)*($I$2:I1016="Duplicate"))-1),"")&amp;".jpeg")</f>
        <v/>
      </c>
      <c r="L1016" s="6"/>
      <c r="M1016" s="5" t="str">
        <f>IFERROR(VLOOKUP(E1016,Specifications!$A$2:$D$9,2,FALSE),"")</f>
        <v/>
      </c>
      <c r="N1016" s="5" t="str">
        <f>IFERROR(VLOOKUP(E1016,Specifications!$A$2:$D$9,3,FALSE),"")</f>
        <v/>
      </c>
      <c r="O1016" s="5" t="str">
        <f>IFERROR(VLOOKUP(E1016,Specifications!$A$2:$D$9,4,FALSE),"")</f>
        <v/>
      </c>
      <c r="P1016" s="8" t="str">
        <f t="shared" si="48"/>
        <v/>
      </c>
      <c r="Q1016" s="9"/>
    </row>
    <row r="1017" spans="1:17" ht="15">
      <c r="A1017" s="5" t="str">
        <f t="shared" si="46"/>
        <v/>
      </c>
      <c r="B1017" s="6"/>
      <c r="C1017" s="5" t="str">
        <f>IFERROR(VLOOKUP(B1017,Lists!$A$2:$B$25,2,FALSE),"")</f>
        <v/>
      </c>
      <c r="D1017" s="7"/>
      <c r="E1017" s="6"/>
      <c r="F1017" s="6" t="str">
        <f t="shared" si="47"/>
        <v/>
      </c>
      <c r="G1017" s="6"/>
      <c r="H1017" s="6"/>
      <c r="I1017" s="6"/>
      <c r="J1017" s="7"/>
      <c r="K1017" s="5" t="str" cm="1">
        <f t="array" ref="K1017">IF(OR(A1017="",B1017="",D1017="",E1017=""),"",A1017&amp;"_"&amp;SUBSTITUTE(B1017," ","-")&amp;"_"&amp;D1017&amp;"_"&amp;SUBSTITUTE(SUBSTITUTE(E1017," ",""),"€","Euro")&amp;"_"&amp;IF(F1017="","Unknown",F1017)&amp;IF(F1017="Commemorative",IF(G1017="","","_"&amp;SUBSTITUTE(SUBSTITUTE(SUBSTITUTE(G1017," ","-"),"/","-"),CHAR(39),"")),"")&amp;IF(I1017="Duplicate","_Dub"&amp;IF(SUMPRODUCT(($B$2:B1017=B1017)*($D$2:D1017=D1017)*($E$2:E1017=E1017)*($F$2:F1017=F1017)*($G$2:G1017=G1017)*($I$2:I1017="Duplicate"))&lt;=1,"",SUMPRODUCT(($B$2:B1017=B1017)*($D$2:D1017=D1017)*($E$2:E1017=E1017)*($F$2:F1017=F1017)*($G$2:G1017=G1017)*($I$2:I1017="Duplicate"))-1),"")&amp;".jpeg")</f>
        <v/>
      </c>
      <c r="L1017" s="6"/>
      <c r="M1017" s="5" t="str">
        <f>IFERROR(VLOOKUP(E1017,Specifications!$A$2:$D$9,2,FALSE),"")</f>
        <v/>
      </c>
      <c r="N1017" s="5" t="str">
        <f>IFERROR(VLOOKUP(E1017,Specifications!$A$2:$D$9,3,FALSE),"")</f>
        <v/>
      </c>
      <c r="O1017" s="5" t="str">
        <f>IFERROR(VLOOKUP(E1017,Specifications!$A$2:$D$9,4,FALSE),"")</f>
        <v/>
      </c>
      <c r="P1017" s="8" t="str">
        <f t="shared" si="48"/>
        <v/>
      </c>
      <c r="Q1017" s="9"/>
    </row>
    <row r="1018" spans="1:17" ht="15">
      <c r="A1018" s="5" t="str">
        <f t="shared" si="46"/>
        <v/>
      </c>
      <c r="B1018" s="6"/>
      <c r="C1018" s="5" t="str">
        <f>IFERROR(VLOOKUP(B1018,Lists!$A$2:$B$25,2,FALSE),"")</f>
        <v/>
      </c>
      <c r="D1018" s="7"/>
      <c r="E1018" s="6"/>
      <c r="F1018" s="6" t="str">
        <f t="shared" si="47"/>
        <v/>
      </c>
      <c r="G1018" s="6"/>
      <c r="H1018" s="6"/>
      <c r="I1018" s="6"/>
      <c r="J1018" s="7"/>
      <c r="K1018" s="5" t="str" cm="1">
        <f t="array" ref="K1018">IF(OR(A1018="",B1018="",D1018="",E1018=""),"",A1018&amp;"_"&amp;SUBSTITUTE(B1018," ","-")&amp;"_"&amp;D1018&amp;"_"&amp;SUBSTITUTE(SUBSTITUTE(E1018," ",""),"€","Euro")&amp;"_"&amp;IF(F1018="","Unknown",F1018)&amp;IF(F1018="Commemorative",IF(G1018="","","_"&amp;SUBSTITUTE(SUBSTITUTE(SUBSTITUTE(G1018," ","-"),"/","-"),CHAR(39),"")),"")&amp;IF(I1018="Duplicate","_Dub"&amp;IF(SUMPRODUCT(($B$2:B1018=B1018)*($D$2:D1018=D1018)*($E$2:E1018=E1018)*($F$2:F1018=F1018)*($G$2:G1018=G1018)*($I$2:I1018="Duplicate"))&lt;=1,"",SUMPRODUCT(($B$2:B1018=B1018)*($D$2:D1018=D1018)*($E$2:E1018=E1018)*($F$2:F1018=F1018)*($G$2:G1018=G1018)*($I$2:I1018="Duplicate"))-1),"")&amp;".jpeg")</f>
        <v/>
      </c>
      <c r="L1018" s="6"/>
      <c r="M1018" s="5" t="str">
        <f>IFERROR(VLOOKUP(E1018,Specifications!$A$2:$D$9,2,FALSE),"")</f>
        <v/>
      </c>
      <c r="N1018" s="5" t="str">
        <f>IFERROR(VLOOKUP(E1018,Specifications!$A$2:$D$9,3,FALSE),"")</f>
        <v/>
      </c>
      <c r="O1018" s="5" t="str">
        <f>IFERROR(VLOOKUP(E1018,Specifications!$A$2:$D$9,4,FALSE),"")</f>
        <v/>
      </c>
      <c r="P1018" s="8" t="str">
        <f t="shared" si="48"/>
        <v/>
      </c>
      <c r="Q1018" s="9"/>
    </row>
    <row r="1019" spans="1:17" ht="15">
      <c r="A1019" s="5" t="str">
        <f t="shared" si="46"/>
        <v/>
      </c>
      <c r="B1019" s="6"/>
      <c r="C1019" s="5" t="str">
        <f>IFERROR(VLOOKUP(B1019,Lists!$A$2:$B$25,2,FALSE),"")</f>
        <v/>
      </c>
      <c r="D1019" s="7"/>
      <c r="E1019" s="6"/>
      <c r="F1019" s="6" t="str">
        <f t="shared" si="47"/>
        <v/>
      </c>
      <c r="G1019" s="6"/>
      <c r="H1019" s="6"/>
      <c r="I1019" s="6"/>
      <c r="J1019" s="7"/>
      <c r="K1019" s="5" t="str" cm="1">
        <f t="array" ref="K1019">IF(OR(A1019="",B1019="",D1019="",E1019=""),"",A1019&amp;"_"&amp;SUBSTITUTE(B1019," ","-")&amp;"_"&amp;D1019&amp;"_"&amp;SUBSTITUTE(SUBSTITUTE(E1019," ",""),"€","Euro")&amp;"_"&amp;IF(F1019="","Unknown",F1019)&amp;IF(F1019="Commemorative",IF(G1019="","","_"&amp;SUBSTITUTE(SUBSTITUTE(SUBSTITUTE(G1019," ","-"),"/","-"),CHAR(39),"")),"")&amp;IF(I1019="Duplicate","_Dub"&amp;IF(SUMPRODUCT(($B$2:B1019=B1019)*($D$2:D1019=D1019)*($E$2:E1019=E1019)*($F$2:F1019=F1019)*($G$2:G1019=G1019)*($I$2:I1019="Duplicate"))&lt;=1,"",SUMPRODUCT(($B$2:B1019=B1019)*($D$2:D1019=D1019)*($E$2:E1019=E1019)*($F$2:F1019=F1019)*($G$2:G1019=G1019)*($I$2:I1019="Duplicate"))-1),"")&amp;".jpeg")</f>
        <v/>
      </c>
      <c r="L1019" s="6"/>
      <c r="M1019" s="5" t="str">
        <f>IFERROR(VLOOKUP(E1019,Specifications!$A$2:$D$9,2,FALSE),"")</f>
        <v/>
      </c>
      <c r="N1019" s="5" t="str">
        <f>IFERROR(VLOOKUP(E1019,Specifications!$A$2:$D$9,3,FALSE),"")</f>
        <v/>
      </c>
      <c r="O1019" s="5" t="str">
        <f>IFERROR(VLOOKUP(E1019,Specifications!$A$2:$D$9,4,FALSE),"")</f>
        <v/>
      </c>
      <c r="P1019" s="8" t="str">
        <f t="shared" si="48"/>
        <v/>
      </c>
      <c r="Q1019" s="9"/>
    </row>
    <row r="1020" spans="1:17" ht="15">
      <c r="A1020" s="5" t="str">
        <f t="shared" si="46"/>
        <v/>
      </c>
      <c r="B1020" s="6"/>
      <c r="C1020" s="5" t="str">
        <f>IFERROR(VLOOKUP(B1020,Lists!$A$2:$B$25,2,FALSE),"")</f>
        <v/>
      </c>
      <c r="D1020" s="7"/>
      <c r="E1020" s="6"/>
      <c r="F1020" s="6" t="str">
        <f t="shared" si="47"/>
        <v/>
      </c>
      <c r="G1020" s="6"/>
      <c r="H1020" s="6"/>
      <c r="I1020" s="6"/>
      <c r="J1020" s="7"/>
      <c r="K1020" s="5" t="str" cm="1">
        <f t="array" ref="K1020">IF(OR(A1020="",B1020="",D1020="",E1020=""),"",A1020&amp;"_"&amp;SUBSTITUTE(B1020," ","-")&amp;"_"&amp;D1020&amp;"_"&amp;SUBSTITUTE(SUBSTITUTE(E1020," ",""),"€","Euro")&amp;"_"&amp;IF(F1020="","Unknown",F1020)&amp;IF(F1020="Commemorative",IF(G1020="","","_"&amp;SUBSTITUTE(SUBSTITUTE(SUBSTITUTE(G1020," ","-"),"/","-"),CHAR(39),"")),"")&amp;IF(I1020="Duplicate","_Dub"&amp;IF(SUMPRODUCT(($B$2:B1020=B1020)*($D$2:D1020=D1020)*($E$2:E1020=E1020)*($F$2:F1020=F1020)*($G$2:G1020=G1020)*($I$2:I1020="Duplicate"))&lt;=1,"",SUMPRODUCT(($B$2:B1020=B1020)*($D$2:D1020=D1020)*($E$2:E1020=E1020)*($F$2:F1020=F1020)*($G$2:G1020=G1020)*($I$2:I1020="Duplicate"))-1),"")&amp;".jpeg")</f>
        <v/>
      </c>
      <c r="L1020" s="6"/>
      <c r="M1020" s="5" t="str">
        <f>IFERROR(VLOOKUP(E1020,Specifications!$A$2:$D$9,2,FALSE),"")</f>
        <v/>
      </c>
      <c r="N1020" s="5" t="str">
        <f>IFERROR(VLOOKUP(E1020,Specifications!$A$2:$D$9,3,FALSE),"")</f>
        <v/>
      </c>
      <c r="O1020" s="5" t="str">
        <f>IFERROR(VLOOKUP(E1020,Specifications!$A$2:$D$9,4,FALSE),"")</f>
        <v/>
      </c>
      <c r="P1020" s="8" t="str">
        <f t="shared" si="48"/>
        <v/>
      </c>
      <c r="Q1020" s="9"/>
    </row>
    <row r="1021" spans="1:17" ht="15">
      <c r="A1021" s="5" t="str">
        <f t="shared" si="46"/>
        <v/>
      </c>
      <c r="B1021" s="6"/>
      <c r="C1021" s="5" t="str">
        <f>IFERROR(VLOOKUP(B1021,Lists!$A$2:$B$25,2,FALSE),"")</f>
        <v/>
      </c>
      <c r="D1021" s="7"/>
      <c r="E1021" s="6"/>
      <c r="F1021" s="6" t="str">
        <f t="shared" si="47"/>
        <v/>
      </c>
      <c r="G1021" s="6"/>
      <c r="H1021" s="6"/>
      <c r="I1021" s="6"/>
      <c r="J1021" s="7"/>
      <c r="K1021" s="5" t="str" cm="1">
        <f t="array" ref="K1021">IF(OR(A1021="",B1021="",D1021="",E1021=""),"",A1021&amp;"_"&amp;SUBSTITUTE(B1021," ","-")&amp;"_"&amp;D1021&amp;"_"&amp;SUBSTITUTE(SUBSTITUTE(E1021," ",""),"€","Euro")&amp;"_"&amp;IF(F1021="","Unknown",F1021)&amp;IF(F1021="Commemorative",IF(G1021="","","_"&amp;SUBSTITUTE(SUBSTITUTE(SUBSTITUTE(G1021," ","-"),"/","-"),CHAR(39),"")),"")&amp;IF(I1021="Duplicate","_Dub"&amp;IF(SUMPRODUCT(($B$2:B1021=B1021)*($D$2:D1021=D1021)*($E$2:E1021=E1021)*($F$2:F1021=F1021)*($G$2:G1021=G1021)*($I$2:I1021="Duplicate"))&lt;=1,"",SUMPRODUCT(($B$2:B1021=B1021)*($D$2:D1021=D1021)*($E$2:E1021=E1021)*($F$2:F1021=F1021)*($G$2:G1021=G1021)*($I$2:I1021="Duplicate"))-1),"")&amp;".jpeg")</f>
        <v/>
      </c>
      <c r="L1021" s="6"/>
      <c r="M1021" s="5" t="str">
        <f>IFERROR(VLOOKUP(E1021,Specifications!$A$2:$D$9,2,FALSE),"")</f>
        <v/>
      </c>
      <c r="N1021" s="5" t="str">
        <f>IFERROR(VLOOKUP(E1021,Specifications!$A$2:$D$9,3,FALSE),"")</f>
        <v/>
      </c>
      <c r="O1021" s="5" t="str">
        <f>IFERROR(VLOOKUP(E1021,Specifications!$A$2:$D$9,4,FALSE),"")</f>
        <v/>
      </c>
      <c r="P1021" s="8" t="str">
        <f t="shared" si="48"/>
        <v/>
      </c>
      <c r="Q1021" s="9"/>
    </row>
    <row r="1022" spans="1:17" ht="15">
      <c r="A1022" s="5" t="str">
        <f t="shared" si="46"/>
        <v/>
      </c>
      <c r="B1022" s="6"/>
      <c r="C1022" s="5" t="str">
        <f>IFERROR(VLOOKUP(B1022,Lists!$A$2:$B$25,2,FALSE),"")</f>
        <v/>
      </c>
      <c r="D1022" s="7"/>
      <c r="E1022" s="6"/>
      <c r="F1022" s="6" t="str">
        <f t="shared" si="47"/>
        <v/>
      </c>
      <c r="G1022" s="6"/>
      <c r="H1022" s="6"/>
      <c r="I1022" s="6"/>
      <c r="J1022" s="7"/>
      <c r="K1022" s="5" t="str" cm="1">
        <f t="array" ref="K1022">IF(OR(A1022="",B1022="",D1022="",E1022=""),"",A1022&amp;"_"&amp;SUBSTITUTE(B1022," ","-")&amp;"_"&amp;D1022&amp;"_"&amp;SUBSTITUTE(SUBSTITUTE(E1022," ",""),"€","Euro")&amp;"_"&amp;IF(F1022="","Unknown",F1022)&amp;IF(F1022="Commemorative",IF(G1022="","","_"&amp;SUBSTITUTE(SUBSTITUTE(SUBSTITUTE(G1022," ","-"),"/","-"),CHAR(39),"")),"")&amp;IF(I1022="Duplicate","_Dub"&amp;IF(SUMPRODUCT(($B$2:B1022=B1022)*($D$2:D1022=D1022)*($E$2:E1022=E1022)*($F$2:F1022=F1022)*($G$2:G1022=G1022)*($I$2:I1022="Duplicate"))&lt;=1,"",SUMPRODUCT(($B$2:B1022=B1022)*($D$2:D1022=D1022)*($E$2:E1022=E1022)*($F$2:F1022=F1022)*($G$2:G1022=G1022)*($I$2:I1022="Duplicate"))-1),"")&amp;".jpeg")</f>
        <v/>
      </c>
      <c r="L1022" s="6"/>
      <c r="M1022" s="5" t="str">
        <f>IFERROR(VLOOKUP(E1022,Specifications!$A$2:$D$9,2,FALSE),"")</f>
        <v/>
      </c>
      <c r="N1022" s="5" t="str">
        <f>IFERROR(VLOOKUP(E1022,Specifications!$A$2:$D$9,3,FALSE),"")</f>
        <v/>
      </c>
      <c r="O1022" s="5" t="str">
        <f>IFERROR(VLOOKUP(E1022,Specifications!$A$2:$D$9,4,FALSE),"")</f>
        <v/>
      </c>
      <c r="P1022" s="8" t="str">
        <f t="shared" si="48"/>
        <v/>
      </c>
      <c r="Q1022" s="9"/>
    </row>
    <row r="1023" spans="1:17" ht="15">
      <c r="A1023" s="5" t="str">
        <f t="shared" si="46"/>
        <v/>
      </c>
      <c r="B1023" s="6"/>
      <c r="C1023" s="5" t="str">
        <f>IFERROR(VLOOKUP(B1023,Lists!$A$2:$B$25,2,FALSE),"")</f>
        <v/>
      </c>
      <c r="D1023" s="7"/>
      <c r="E1023" s="6"/>
      <c r="F1023" s="6" t="str">
        <f t="shared" si="47"/>
        <v/>
      </c>
      <c r="G1023" s="6"/>
      <c r="H1023" s="6"/>
      <c r="I1023" s="6"/>
      <c r="J1023" s="7"/>
      <c r="K1023" s="5" t="str" cm="1">
        <f t="array" ref="K1023">IF(OR(A1023="",B1023="",D1023="",E1023=""),"",A1023&amp;"_"&amp;SUBSTITUTE(B1023," ","-")&amp;"_"&amp;D1023&amp;"_"&amp;SUBSTITUTE(SUBSTITUTE(E1023," ",""),"€","Euro")&amp;"_"&amp;IF(F1023="","Unknown",F1023)&amp;IF(F1023="Commemorative",IF(G1023="","","_"&amp;SUBSTITUTE(SUBSTITUTE(SUBSTITUTE(G1023," ","-"),"/","-"),CHAR(39),"")),"")&amp;IF(I1023="Duplicate","_Dub"&amp;IF(SUMPRODUCT(($B$2:B1023=B1023)*($D$2:D1023=D1023)*($E$2:E1023=E1023)*($F$2:F1023=F1023)*($G$2:G1023=G1023)*($I$2:I1023="Duplicate"))&lt;=1,"",SUMPRODUCT(($B$2:B1023=B1023)*($D$2:D1023=D1023)*($E$2:E1023=E1023)*($F$2:F1023=F1023)*($G$2:G1023=G1023)*($I$2:I1023="Duplicate"))-1),"")&amp;".jpeg")</f>
        <v/>
      </c>
      <c r="L1023" s="6"/>
      <c r="M1023" s="5" t="str">
        <f>IFERROR(VLOOKUP(E1023,Specifications!$A$2:$D$9,2,FALSE),"")</f>
        <v/>
      </c>
      <c r="N1023" s="5" t="str">
        <f>IFERROR(VLOOKUP(E1023,Specifications!$A$2:$D$9,3,FALSE),"")</f>
        <v/>
      </c>
      <c r="O1023" s="5" t="str">
        <f>IFERROR(VLOOKUP(E1023,Specifications!$A$2:$D$9,4,FALSE),"")</f>
        <v/>
      </c>
      <c r="P1023" s="8" t="str">
        <f t="shared" si="48"/>
        <v/>
      </c>
      <c r="Q1023" s="9"/>
    </row>
    <row r="1024" spans="1:17" ht="15">
      <c r="A1024" s="5" t="str">
        <f t="shared" si="46"/>
        <v/>
      </c>
      <c r="B1024" s="6"/>
      <c r="C1024" s="5" t="str">
        <f>IFERROR(VLOOKUP(B1024,Lists!$A$2:$B$25,2,FALSE),"")</f>
        <v/>
      </c>
      <c r="D1024" s="7"/>
      <c r="E1024" s="6"/>
      <c r="F1024" s="6" t="str">
        <f t="shared" si="47"/>
        <v/>
      </c>
      <c r="G1024" s="6"/>
      <c r="H1024" s="6"/>
      <c r="I1024" s="6"/>
      <c r="J1024" s="7"/>
      <c r="K1024" s="5" t="str" cm="1">
        <f t="array" ref="K1024">IF(OR(A1024="",B1024="",D1024="",E1024=""),"",A1024&amp;"_"&amp;SUBSTITUTE(B1024," ","-")&amp;"_"&amp;D1024&amp;"_"&amp;SUBSTITUTE(SUBSTITUTE(E1024," ",""),"€","Euro")&amp;"_"&amp;IF(F1024="","Unknown",F1024)&amp;IF(F1024="Commemorative",IF(G1024="","","_"&amp;SUBSTITUTE(SUBSTITUTE(SUBSTITUTE(G1024," ","-"),"/","-"),CHAR(39),"")),"")&amp;IF(I1024="Duplicate","_Dub"&amp;IF(SUMPRODUCT(($B$2:B1024=B1024)*($D$2:D1024=D1024)*($E$2:E1024=E1024)*($F$2:F1024=F1024)*($G$2:G1024=G1024)*($I$2:I1024="Duplicate"))&lt;=1,"",SUMPRODUCT(($B$2:B1024=B1024)*($D$2:D1024=D1024)*($E$2:E1024=E1024)*($F$2:F1024=F1024)*($G$2:G1024=G1024)*($I$2:I1024="Duplicate"))-1),"")&amp;".jpeg")</f>
        <v/>
      </c>
      <c r="L1024" s="6"/>
      <c r="M1024" s="5" t="str">
        <f>IFERROR(VLOOKUP(E1024,Specifications!$A$2:$D$9,2,FALSE),"")</f>
        <v/>
      </c>
      <c r="N1024" s="5" t="str">
        <f>IFERROR(VLOOKUP(E1024,Specifications!$A$2:$D$9,3,FALSE),"")</f>
        <v/>
      </c>
      <c r="O1024" s="5" t="str">
        <f>IFERROR(VLOOKUP(E1024,Specifications!$A$2:$D$9,4,FALSE),"")</f>
        <v/>
      </c>
      <c r="P1024" s="8" t="str">
        <f t="shared" si="48"/>
        <v/>
      </c>
      <c r="Q1024" s="9"/>
    </row>
    <row r="1025" spans="1:17" ht="15">
      <c r="A1025" s="5" t="str">
        <f t="shared" si="46"/>
        <v/>
      </c>
      <c r="B1025" s="6"/>
      <c r="C1025" s="5" t="str">
        <f>IFERROR(VLOOKUP(B1025,Lists!$A$2:$B$25,2,FALSE),"")</f>
        <v/>
      </c>
      <c r="D1025" s="7"/>
      <c r="E1025" s="6"/>
      <c r="F1025" s="6" t="str">
        <f t="shared" si="47"/>
        <v/>
      </c>
      <c r="G1025" s="6"/>
      <c r="H1025" s="6"/>
      <c r="I1025" s="6"/>
      <c r="J1025" s="7"/>
      <c r="K1025" s="5" t="str" cm="1">
        <f t="array" ref="K1025">IF(OR(A1025="",B1025="",D1025="",E1025=""),"",A1025&amp;"_"&amp;SUBSTITUTE(B1025," ","-")&amp;"_"&amp;D1025&amp;"_"&amp;SUBSTITUTE(SUBSTITUTE(E1025," ",""),"€","Euro")&amp;"_"&amp;IF(F1025="","Unknown",F1025)&amp;IF(F1025="Commemorative",IF(G1025="","","_"&amp;SUBSTITUTE(SUBSTITUTE(SUBSTITUTE(G1025," ","-"),"/","-"),CHAR(39),"")),"")&amp;IF(I1025="Duplicate","_Dub"&amp;IF(SUMPRODUCT(($B$2:B1025=B1025)*($D$2:D1025=D1025)*($E$2:E1025=E1025)*($F$2:F1025=F1025)*($G$2:G1025=G1025)*($I$2:I1025="Duplicate"))&lt;=1,"",SUMPRODUCT(($B$2:B1025=B1025)*($D$2:D1025=D1025)*($E$2:E1025=E1025)*($F$2:F1025=F1025)*($G$2:G1025=G1025)*($I$2:I1025="Duplicate"))-1),"")&amp;".jpeg")</f>
        <v/>
      </c>
      <c r="L1025" s="6"/>
      <c r="M1025" s="5" t="str">
        <f>IFERROR(VLOOKUP(E1025,Specifications!$A$2:$D$9,2,FALSE),"")</f>
        <v/>
      </c>
      <c r="N1025" s="5" t="str">
        <f>IFERROR(VLOOKUP(E1025,Specifications!$A$2:$D$9,3,FALSE),"")</f>
        <v/>
      </c>
      <c r="O1025" s="5" t="str">
        <f>IFERROR(VLOOKUP(E1025,Specifications!$A$2:$D$9,4,FALSE),"")</f>
        <v/>
      </c>
      <c r="P1025" s="8" t="str">
        <f t="shared" si="48"/>
        <v/>
      </c>
      <c r="Q1025" s="9"/>
    </row>
    <row r="1026" spans="1:17" ht="15">
      <c r="A1026" s="5" t="str">
        <f t="shared" ref="A1026:A1089" si="49">IF(B1026="","",TEXT(ROW()-1,"000"))</f>
        <v/>
      </c>
      <c r="B1026" s="6"/>
      <c r="C1026" s="5" t="str">
        <f>IFERROR(VLOOKUP(B1026,Lists!$A$2:$B$25,2,FALSE),"")</f>
        <v/>
      </c>
      <c r="D1026" s="7"/>
      <c r="E1026" s="6"/>
      <c r="F1026" s="6" t="str">
        <f t="shared" ref="F1026:F1089" si="50">IF(E1026="","",IF(E1026="2 €","", "Regular"))</f>
        <v/>
      </c>
      <c r="G1026" s="6"/>
      <c r="H1026" s="6"/>
      <c r="I1026" s="6"/>
      <c r="J1026" s="7"/>
      <c r="K1026" s="5" t="str" cm="1">
        <f t="array" ref="K1026">IF(OR(A1026="",B1026="",D1026="",E1026=""),"",A1026&amp;"_"&amp;SUBSTITUTE(B1026," ","-")&amp;"_"&amp;D1026&amp;"_"&amp;SUBSTITUTE(SUBSTITUTE(E1026," ",""),"€","Euro")&amp;"_"&amp;IF(F1026="","Unknown",F1026)&amp;IF(F1026="Commemorative",IF(G1026="","","_"&amp;SUBSTITUTE(SUBSTITUTE(SUBSTITUTE(G1026," ","-"),"/","-"),CHAR(39),"")),"")&amp;IF(I1026="Duplicate","_Dub"&amp;IF(SUMPRODUCT(($B$2:B1026=B1026)*($D$2:D1026=D1026)*($E$2:E1026=E1026)*($F$2:F1026=F1026)*($G$2:G1026=G1026)*($I$2:I1026="Duplicate"))&lt;=1,"",SUMPRODUCT(($B$2:B1026=B1026)*($D$2:D1026=D1026)*($E$2:E1026=E1026)*($F$2:F1026=F1026)*($G$2:G1026=G1026)*($I$2:I1026="Duplicate"))-1),"")&amp;".jpeg")</f>
        <v/>
      </c>
      <c r="L1026" s="6"/>
      <c r="M1026" s="5" t="str">
        <f>IFERROR(VLOOKUP(E1026,Specifications!$A$2:$D$9,2,FALSE),"")</f>
        <v/>
      </c>
      <c r="N1026" s="5" t="str">
        <f>IFERROR(VLOOKUP(E1026,Specifications!$A$2:$D$9,3,FALSE),"")</f>
        <v/>
      </c>
      <c r="O1026" s="5" t="str">
        <f>IFERROR(VLOOKUP(E1026,Specifications!$A$2:$D$9,4,FALSE),"")</f>
        <v/>
      </c>
      <c r="P1026" s="8" t="str">
        <f t="shared" ref="P1026:P1089" si="51">IF(OR(B1026="",E1026="",F1026=""),"",IF(F1026="Regular","Regular "&amp;E1026&amp;" circulation coin of "&amp;B1026&amp;".",IF(F1026="Commemorative",IF(G1026="","",E1026&amp;" commemorative coin of "&amp;B1026&amp;" – "&amp;G1026&amp;"."),"")))</f>
        <v/>
      </c>
      <c r="Q1026" s="9"/>
    </row>
    <row r="1027" spans="1:17" ht="15">
      <c r="A1027" s="5" t="str">
        <f t="shared" si="49"/>
        <v/>
      </c>
      <c r="B1027" s="6"/>
      <c r="C1027" s="5" t="str">
        <f>IFERROR(VLOOKUP(B1027,Lists!$A$2:$B$25,2,FALSE),"")</f>
        <v/>
      </c>
      <c r="D1027" s="7"/>
      <c r="E1027" s="6"/>
      <c r="F1027" s="6" t="str">
        <f t="shared" si="50"/>
        <v/>
      </c>
      <c r="G1027" s="6"/>
      <c r="H1027" s="6"/>
      <c r="I1027" s="6"/>
      <c r="J1027" s="7"/>
      <c r="K1027" s="5" t="str" cm="1">
        <f t="array" ref="K1027">IF(OR(A1027="",B1027="",D1027="",E1027=""),"",A1027&amp;"_"&amp;SUBSTITUTE(B1027," ","-")&amp;"_"&amp;D1027&amp;"_"&amp;SUBSTITUTE(SUBSTITUTE(E1027," ",""),"€","Euro")&amp;"_"&amp;IF(F1027="","Unknown",F1027)&amp;IF(F1027="Commemorative",IF(G1027="","","_"&amp;SUBSTITUTE(SUBSTITUTE(SUBSTITUTE(G1027," ","-"),"/","-"),CHAR(39),"")),"")&amp;IF(I1027="Duplicate","_Dub"&amp;IF(SUMPRODUCT(($B$2:B1027=B1027)*($D$2:D1027=D1027)*($E$2:E1027=E1027)*($F$2:F1027=F1027)*($G$2:G1027=G1027)*($I$2:I1027="Duplicate"))&lt;=1,"",SUMPRODUCT(($B$2:B1027=B1027)*($D$2:D1027=D1027)*($E$2:E1027=E1027)*($F$2:F1027=F1027)*($G$2:G1027=G1027)*($I$2:I1027="Duplicate"))-1),"")&amp;".jpeg")</f>
        <v/>
      </c>
      <c r="L1027" s="6"/>
      <c r="M1027" s="5" t="str">
        <f>IFERROR(VLOOKUP(E1027,Specifications!$A$2:$D$9,2,FALSE),"")</f>
        <v/>
      </c>
      <c r="N1027" s="5" t="str">
        <f>IFERROR(VLOOKUP(E1027,Specifications!$A$2:$D$9,3,FALSE),"")</f>
        <v/>
      </c>
      <c r="O1027" s="5" t="str">
        <f>IFERROR(VLOOKUP(E1027,Specifications!$A$2:$D$9,4,FALSE),"")</f>
        <v/>
      </c>
      <c r="P1027" s="8" t="str">
        <f t="shared" si="51"/>
        <v/>
      </c>
      <c r="Q1027" s="9"/>
    </row>
    <row r="1028" spans="1:17" ht="15">
      <c r="A1028" s="5" t="str">
        <f t="shared" si="49"/>
        <v/>
      </c>
      <c r="B1028" s="6"/>
      <c r="C1028" s="5" t="str">
        <f>IFERROR(VLOOKUP(B1028,Lists!$A$2:$B$25,2,FALSE),"")</f>
        <v/>
      </c>
      <c r="D1028" s="7"/>
      <c r="E1028" s="6"/>
      <c r="F1028" s="6" t="str">
        <f t="shared" si="50"/>
        <v/>
      </c>
      <c r="G1028" s="6"/>
      <c r="H1028" s="6"/>
      <c r="I1028" s="6"/>
      <c r="J1028" s="7"/>
      <c r="K1028" s="5" t="str" cm="1">
        <f t="array" ref="K1028">IF(OR(A1028="",B1028="",D1028="",E1028=""),"",A1028&amp;"_"&amp;SUBSTITUTE(B1028," ","-")&amp;"_"&amp;D1028&amp;"_"&amp;SUBSTITUTE(SUBSTITUTE(E1028," ",""),"€","Euro")&amp;"_"&amp;IF(F1028="","Unknown",F1028)&amp;IF(F1028="Commemorative",IF(G1028="","","_"&amp;SUBSTITUTE(SUBSTITUTE(SUBSTITUTE(G1028," ","-"),"/","-"),CHAR(39),"")),"")&amp;IF(I1028="Duplicate","_Dub"&amp;IF(SUMPRODUCT(($B$2:B1028=B1028)*($D$2:D1028=D1028)*($E$2:E1028=E1028)*($F$2:F1028=F1028)*($G$2:G1028=G1028)*($I$2:I1028="Duplicate"))&lt;=1,"",SUMPRODUCT(($B$2:B1028=B1028)*($D$2:D1028=D1028)*($E$2:E1028=E1028)*($F$2:F1028=F1028)*($G$2:G1028=G1028)*($I$2:I1028="Duplicate"))-1),"")&amp;".jpeg")</f>
        <v/>
      </c>
      <c r="L1028" s="6"/>
      <c r="M1028" s="5" t="str">
        <f>IFERROR(VLOOKUP(E1028,Specifications!$A$2:$D$9,2,FALSE),"")</f>
        <v/>
      </c>
      <c r="N1028" s="5" t="str">
        <f>IFERROR(VLOOKUP(E1028,Specifications!$A$2:$D$9,3,FALSE),"")</f>
        <v/>
      </c>
      <c r="O1028" s="5" t="str">
        <f>IFERROR(VLOOKUP(E1028,Specifications!$A$2:$D$9,4,FALSE),"")</f>
        <v/>
      </c>
      <c r="P1028" s="8" t="str">
        <f t="shared" si="51"/>
        <v/>
      </c>
      <c r="Q1028" s="9"/>
    </row>
    <row r="1029" spans="1:17" ht="15">
      <c r="A1029" s="5" t="str">
        <f t="shared" si="49"/>
        <v/>
      </c>
      <c r="B1029" s="6"/>
      <c r="C1029" s="5" t="str">
        <f>IFERROR(VLOOKUP(B1029,Lists!$A$2:$B$25,2,FALSE),"")</f>
        <v/>
      </c>
      <c r="D1029" s="7"/>
      <c r="E1029" s="6"/>
      <c r="F1029" s="6" t="str">
        <f t="shared" si="50"/>
        <v/>
      </c>
      <c r="G1029" s="6"/>
      <c r="H1029" s="6"/>
      <c r="I1029" s="6"/>
      <c r="J1029" s="7"/>
      <c r="K1029" s="5" t="str" cm="1">
        <f t="array" ref="K1029">IF(OR(A1029="",B1029="",D1029="",E1029=""),"",A1029&amp;"_"&amp;SUBSTITUTE(B1029," ","-")&amp;"_"&amp;D1029&amp;"_"&amp;SUBSTITUTE(SUBSTITUTE(E1029," ",""),"€","Euro")&amp;"_"&amp;IF(F1029="","Unknown",F1029)&amp;IF(F1029="Commemorative",IF(G1029="","","_"&amp;SUBSTITUTE(SUBSTITUTE(SUBSTITUTE(G1029," ","-"),"/","-"),CHAR(39),"")),"")&amp;IF(I1029="Duplicate","_Dub"&amp;IF(SUMPRODUCT(($B$2:B1029=B1029)*($D$2:D1029=D1029)*($E$2:E1029=E1029)*($F$2:F1029=F1029)*($G$2:G1029=G1029)*($I$2:I1029="Duplicate"))&lt;=1,"",SUMPRODUCT(($B$2:B1029=B1029)*($D$2:D1029=D1029)*($E$2:E1029=E1029)*($F$2:F1029=F1029)*($G$2:G1029=G1029)*($I$2:I1029="Duplicate"))-1),"")&amp;".jpeg")</f>
        <v/>
      </c>
      <c r="L1029" s="6"/>
      <c r="M1029" s="5" t="str">
        <f>IFERROR(VLOOKUP(E1029,Specifications!$A$2:$D$9,2,FALSE),"")</f>
        <v/>
      </c>
      <c r="N1029" s="5" t="str">
        <f>IFERROR(VLOOKUP(E1029,Specifications!$A$2:$D$9,3,FALSE),"")</f>
        <v/>
      </c>
      <c r="O1029" s="5" t="str">
        <f>IFERROR(VLOOKUP(E1029,Specifications!$A$2:$D$9,4,FALSE),"")</f>
        <v/>
      </c>
      <c r="P1029" s="8" t="str">
        <f t="shared" si="51"/>
        <v/>
      </c>
      <c r="Q1029" s="9"/>
    </row>
    <row r="1030" spans="1:17" ht="15">
      <c r="A1030" s="5" t="str">
        <f t="shared" si="49"/>
        <v/>
      </c>
      <c r="B1030" s="6"/>
      <c r="C1030" s="5" t="str">
        <f>IFERROR(VLOOKUP(B1030,Lists!$A$2:$B$25,2,FALSE),"")</f>
        <v/>
      </c>
      <c r="D1030" s="7"/>
      <c r="E1030" s="6"/>
      <c r="F1030" s="6" t="str">
        <f t="shared" si="50"/>
        <v/>
      </c>
      <c r="G1030" s="6"/>
      <c r="H1030" s="6"/>
      <c r="I1030" s="6"/>
      <c r="J1030" s="7"/>
      <c r="K1030" s="5" t="str" cm="1">
        <f t="array" ref="K1030">IF(OR(A1030="",B1030="",D1030="",E1030=""),"",A1030&amp;"_"&amp;SUBSTITUTE(B1030," ","-")&amp;"_"&amp;D1030&amp;"_"&amp;SUBSTITUTE(SUBSTITUTE(E1030," ",""),"€","Euro")&amp;"_"&amp;IF(F1030="","Unknown",F1030)&amp;IF(F1030="Commemorative",IF(G1030="","","_"&amp;SUBSTITUTE(SUBSTITUTE(SUBSTITUTE(G1030," ","-"),"/","-"),CHAR(39),"")),"")&amp;IF(I1030="Duplicate","_Dub"&amp;IF(SUMPRODUCT(($B$2:B1030=B1030)*($D$2:D1030=D1030)*($E$2:E1030=E1030)*($F$2:F1030=F1030)*($G$2:G1030=G1030)*($I$2:I1030="Duplicate"))&lt;=1,"",SUMPRODUCT(($B$2:B1030=B1030)*($D$2:D1030=D1030)*($E$2:E1030=E1030)*($F$2:F1030=F1030)*($G$2:G1030=G1030)*($I$2:I1030="Duplicate"))-1),"")&amp;".jpeg")</f>
        <v/>
      </c>
      <c r="L1030" s="6"/>
      <c r="M1030" s="5" t="str">
        <f>IFERROR(VLOOKUP(E1030,Specifications!$A$2:$D$9,2,FALSE),"")</f>
        <v/>
      </c>
      <c r="N1030" s="5" t="str">
        <f>IFERROR(VLOOKUP(E1030,Specifications!$A$2:$D$9,3,FALSE),"")</f>
        <v/>
      </c>
      <c r="O1030" s="5" t="str">
        <f>IFERROR(VLOOKUP(E1030,Specifications!$A$2:$D$9,4,FALSE),"")</f>
        <v/>
      </c>
      <c r="P1030" s="8" t="str">
        <f t="shared" si="51"/>
        <v/>
      </c>
      <c r="Q1030" s="9"/>
    </row>
    <row r="1031" spans="1:17" ht="15">
      <c r="A1031" s="5" t="str">
        <f t="shared" si="49"/>
        <v/>
      </c>
      <c r="B1031" s="6"/>
      <c r="C1031" s="5" t="str">
        <f>IFERROR(VLOOKUP(B1031,Lists!$A$2:$B$25,2,FALSE),"")</f>
        <v/>
      </c>
      <c r="D1031" s="7"/>
      <c r="E1031" s="6"/>
      <c r="F1031" s="6" t="str">
        <f t="shared" si="50"/>
        <v/>
      </c>
      <c r="G1031" s="6"/>
      <c r="H1031" s="6"/>
      <c r="I1031" s="6"/>
      <c r="J1031" s="7"/>
      <c r="K1031" s="5" t="str" cm="1">
        <f t="array" ref="K1031">IF(OR(A1031="",B1031="",D1031="",E1031=""),"",A1031&amp;"_"&amp;SUBSTITUTE(B1031," ","-")&amp;"_"&amp;D1031&amp;"_"&amp;SUBSTITUTE(SUBSTITUTE(E1031," ",""),"€","Euro")&amp;"_"&amp;IF(F1031="","Unknown",F1031)&amp;IF(F1031="Commemorative",IF(G1031="","","_"&amp;SUBSTITUTE(SUBSTITUTE(SUBSTITUTE(G1031," ","-"),"/","-"),CHAR(39),"")),"")&amp;IF(I1031="Duplicate","_Dub"&amp;IF(SUMPRODUCT(($B$2:B1031=B1031)*($D$2:D1031=D1031)*($E$2:E1031=E1031)*($F$2:F1031=F1031)*($G$2:G1031=G1031)*($I$2:I1031="Duplicate"))&lt;=1,"",SUMPRODUCT(($B$2:B1031=B1031)*($D$2:D1031=D1031)*($E$2:E1031=E1031)*($F$2:F1031=F1031)*($G$2:G1031=G1031)*($I$2:I1031="Duplicate"))-1),"")&amp;".jpeg")</f>
        <v/>
      </c>
      <c r="L1031" s="6"/>
      <c r="M1031" s="5" t="str">
        <f>IFERROR(VLOOKUP(E1031,Specifications!$A$2:$D$9,2,FALSE),"")</f>
        <v/>
      </c>
      <c r="N1031" s="5" t="str">
        <f>IFERROR(VLOOKUP(E1031,Specifications!$A$2:$D$9,3,FALSE),"")</f>
        <v/>
      </c>
      <c r="O1031" s="5" t="str">
        <f>IFERROR(VLOOKUP(E1031,Specifications!$A$2:$D$9,4,FALSE),"")</f>
        <v/>
      </c>
      <c r="P1031" s="8" t="str">
        <f t="shared" si="51"/>
        <v/>
      </c>
      <c r="Q1031" s="9"/>
    </row>
    <row r="1032" spans="1:17" ht="15">
      <c r="A1032" s="5" t="str">
        <f t="shared" si="49"/>
        <v/>
      </c>
      <c r="B1032" s="6"/>
      <c r="C1032" s="5" t="str">
        <f>IFERROR(VLOOKUP(B1032,Lists!$A$2:$B$25,2,FALSE),"")</f>
        <v/>
      </c>
      <c r="D1032" s="7"/>
      <c r="E1032" s="6"/>
      <c r="F1032" s="6" t="str">
        <f t="shared" si="50"/>
        <v/>
      </c>
      <c r="G1032" s="6"/>
      <c r="H1032" s="6"/>
      <c r="I1032" s="6"/>
      <c r="J1032" s="7"/>
      <c r="K1032" s="5" t="str" cm="1">
        <f t="array" ref="K1032">IF(OR(A1032="",B1032="",D1032="",E1032=""),"",A1032&amp;"_"&amp;SUBSTITUTE(B1032," ","-")&amp;"_"&amp;D1032&amp;"_"&amp;SUBSTITUTE(SUBSTITUTE(E1032," ",""),"€","Euro")&amp;"_"&amp;IF(F1032="","Unknown",F1032)&amp;IF(F1032="Commemorative",IF(G1032="","","_"&amp;SUBSTITUTE(SUBSTITUTE(SUBSTITUTE(G1032," ","-"),"/","-"),CHAR(39),"")),"")&amp;IF(I1032="Duplicate","_Dub"&amp;IF(SUMPRODUCT(($B$2:B1032=B1032)*($D$2:D1032=D1032)*($E$2:E1032=E1032)*($F$2:F1032=F1032)*($G$2:G1032=G1032)*($I$2:I1032="Duplicate"))&lt;=1,"",SUMPRODUCT(($B$2:B1032=B1032)*($D$2:D1032=D1032)*($E$2:E1032=E1032)*($F$2:F1032=F1032)*($G$2:G1032=G1032)*($I$2:I1032="Duplicate"))-1),"")&amp;".jpeg")</f>
        <v/>
      </c>
      <c r="L1032" s="6"/>
      <c r="M1032" s="5" t="str">
        <f>IFERROR(VLOOKUP(E1032,Specifications!$A$2:$D$9,2,FALSE),"")</f>
        <v/>
      </c>
      <c r="N1032" s="5" t="str">
        <f>IFERROR(VLOOKUP(E1032,Specifications!$A$2:$D$9,3,FALSE),"")</f>
        <v/>
      </c>
      <c r="O1032" s="5" t="str">
        <f>IFERROR(VLOOKUP(E1032,Specifications!$A$2:$D$9,4,FALSE),"")</f>
        <v/>
      </c>
      <c r="P1032" s="8" t="str">
        <f t="shared" si="51"/>
        <v/>
      </c>
      <c r="Q1032" s="9"/>
    </row>
    <row r="1033" spans="1:17" ht="15">
      <c r="A1033" s="5" t="str">
        <f t="shared" si="49"/>
        <v/>
      </c>
      <c r="B1033" s="6"/>
      <c r="C1033" s="5" t="str">
        <f>IFERROR(VLOOKUP(B1033,Lists!$A$2:$B$25,2,FALSE),"")</f>
        <v/>
      </c>
      <c r="D1033" s="7"/>
      <c r="E1033" s="6"/>
      <c r="F1033" s="6" t="str">
        <f t="shared" si="50"/>
        <v/>
      </c>
      <c r="G1033" s="6"/>
      <c r="H1033" s="6"/>
      <c r="I1033" s="6"/>
      <c r="J1033" s="7"/>
      <c r="K1033" s="5" t="str" cm="1">
        <f t="array" ref="K1033">IF(OR(A1033="",B1033="",D1033="",E1033=""),"",A1033&amp;"_"&amp;SUBSTITUTE(B1033," ","-")&amp;"_"&amp;D1033&amp;"_"&amp;SUBSTITUTE(SUBSTITUTE(E1033," ",""),"€","Euro")&amp;"_"&amp;IF(F1033="","Unknown",F1033)&amp;IF(F1033="Commemorative",IF(G1033="","","_"&amp;SUBSTITUTE(SUBSTITUTE(SUBSTITUTE(G1033," ","-"),"/","-"),CHAR(39),"")),"")&amp;IF(I1033="Duplicate","_Dub"&amp;IF(SUMPRODUCT(($B$2:B1033=B1033)*($D$2:D1033=D1033)*($E$2:E1033=E1033)*($F$2:F1033=F1033)*($G$2:G1033=G1033)*($I$2:I1033="Duplicate"))&lt;=1,"",SUMPRODUCT(($B$2:B1033=B1033)*($D$2:D1033=D1033)*($E$2:E1033=E1033)*($F$2:F1033=F1033)*($G$2:G1033=G1033)*($I$2:I1033="Duplicate"))-1),"")&amp;".jpeg")</f>
        <v/>
      </c>
      <c r="L1033" s="6"/>
      <c r="M1033" s="5" t="str">
        <f>IFERROR(VLOOKUP(E1033,Specifications!$A$2:$D$9,2,FALSE),"")</f>
        <v/>
      </c>
      <c r="N1033" s="5" t="str">
        <f>IFERROR(VLOOKUP(E1033,Specifications!$A$2:$D$9,3,FALSE),"")</f>
        <v/>
      </c>
      <c r="O1033" s="5" t="str">
        <f>IFERROR(VLOOKUP(E1033,Specifications!$A$2:$D$9,4,FALSE),"")</f>
        <v/>
      </c>
      <c r="P1033" s="8" t="str">
        <f t="shared" si="51"/>
        <v/>
      </c>
      <c r="Q1033" s="9"/>
    </row>
    <row r="1034" spans="1:17" ht="15">
      <c r="A1034" s="5" t="str">
        <f t="shared" si="49"/>
        <v/>
      </c>
      <c r="B1034" s="6"/>
      <c r="C1034" s="5" t="str">
        <f>IFERROR(VLOOKUP(B1034,Lists!$A$2:$B$25,2,FALSE),"")</f>
        <v/>
      </c>
      <c r="D1034" s="7"/>
      <c r="E1034" s="6"/>
      <c r="F1034" s="6" t="str">
        <f t="shared" si="50"/>
        <v/>
      </c>
      <c r="G1034" s="6"/>
      <c r="H1034" s="6"/>
      <c r="I1034" s="6"/>
      <c r="J1034" s="7"/>
      <c r="K1034" s="5" t="str" cm="1">
        <f t="array" ref="K1034">IF(OR(A1034="",B1034="",D1034="",E1034=""),"",A1034&amp;"_"&amp;SUBSTITUTE(B1034," ","-")&amp;"_"&amp;D1034&amp;"_"&amp;SUBSTITUTE(SUBSTITUTE(E1034," ",""),"€","Euro")&amp;"_"&amp;IF(F1034="","Unknown",F1034)&amp;IF(F1034="Commemorative",IF(G1034="","","_"&amp;SUBSTITUTE(SUBSTITUTE(SUBSTITUTE(G1034," ","-"),"/","-"),CHAR(39),"")),"")&amp;IF(I1034="Duplicate","_Dub"&amp;IF(SUMPRODUCT(($B$2:B1034=B1034)*($D$2:D1034=D1034)*($E$2:E1034=E1034)*($F$2:F1034=F1034)*($G$2:G1034=G1034)*($I$2:I1034="Duplicate"))&lt;=1,"",SUMPRODUCT(($B$2:B1034=B1034)*($D$2:D1034=D1034)*($E$2:E1034=E1034)*($F$2:F1034=F1034)*($G$2:G1034=G1034)*($I$2:I1034="Duplicate"))-1),"")&amp;".jpeg")</f>
        <v/>
      </c>
      <c r="L1034" s="6"/>
      <c r="M1034" s="5" t="str">
        <f>IFERROR(VLOOKUP(E1034,Specifications!$A$2:$D$9,2,FALSE),"")</f>
        <v/>
      </c>
      <c r="N1034" s="5" t="str">
        <f>IFERROR(VLOOKUP(E1034,Specifications!$A$2:$D$9,3,FALSE),"")</f>
        <v/>
      </c>
      <c r="O1034" s="5" t="str">
        <f>IFERROR(VLOOKUP(E1034,Specifications!$A$2:$D$9,4,FALSE),"")</f>
        <v/>
      </c>
      <c r="P1034" s="8" t="str">
        <f t="shared" si="51"/>
        <v/>
      </c>
      <c r="Q1034" s="9"/>
    </row>
    <row r="1035" spans="1:17" ht="15">
      <c r="A1035" s="5" t="str">
        <f t="shared" si="49"/>
        <v/>
      </c>
      <c r="B1035" s="6"/>
      <c r="C1035" s="5" t="str">
        <f>IFERROR(VLOOKUP(B1035,Lists!$A$2:$B$25,2,FALSE),"")</f>
        <v/>
      </c>
      <c r="D1035" s="7"/>
      <c r="E1035" s="6"/>
      <c r="F1035" s="6" t="str">
        <f t="shared" si="50"/>
        <v/>
      </c>
      <c r="G1035" s="6"/>
      <c r="H1035" s="6"/>
      <c r="I1035" s="6"/>
      <c r="J1035" s="7"/>
      <c r="K1035" s="5" t="str" cm="1">
        <f t="array" ref="K1035">IF(OR(A1035="",B1035="",D1035="",E1035=""),"",A1035&amp;"_"&amp;SUBSTITUTE(B1035," ","-")&amp;"_"&amp;D1035&amp;"_"&amp;SUBSTITUTE(SUBSTITUTE(E1035," ",""),"€","Euro")&amp;"_"&amp;IF(F1035="","Unknown",F1035)&amp;IF(F1035="Commemorative",IF(G1035="","","_"&amp;SUBSTITUTE(SUBSTITUTE(SUBSTITUTE(G1035," ","-"),"/","-"),CHAR(39),"")),"")&amp;IF(I1035="Duplicate","_Dub"&amp;IF(SUMPRODUCT(($B$2:B1035=B1035)*($D$2:D1035=D1035)*($E$2:E1035=E1035)*($F$2:F1035=F1035)*($G$2:G1035=G1035)*($I$2:I1035="Duplicate"))&lt;=1,"",SUMPRODUCT(($B$2:B1035=B1035)*($D$2:D1035=D1035)*($E$2:E1035=E1035)*($F$2:F1035=F1035)*($G$2:G1035=G1035)*($I$2:I1035="Duplicate"))-1),"")&amp;".jpeg")</f>
        <v/>
      </c>
      <c r="L1035" s="6"/>
      <c r="M1035" s="5" t="str">
        <f>IFERROR(VLOOKUP(E1035,Specifications!$A$2:$D$9,2,FALSE),"")</f>
        <v/>
      </c>
      <c r="N1035" s="5" t="str">
        <f>IFERROR(VLOOKUP(E1035,Specifications!$A$2:$D$9,3,FALSE),"")</f>
        <v/>
      </c>
      <c r="O1035" s="5" t="str">
        <f>IFERROR(VLOOKUP(E1035,Specifications!$A$2:$D$9,4,FALSE),"")</f>
        <v/>
      </c>
      <c r="P1035" s="8" t="str">
        <f t="shared" si="51"/>
        <v/>
      </c>
      <c r="Q1035" s="9"/>
    </row>
    <row r="1036" spans="1:17" ht="15">
      <c r="A1036" s="5" t="str">
        <f t="shared" si="49"/>
        <v/>
      </c>
      <c r="B1036" s="6"/>
      <c r="C1036" s="5" t="str">
        <f>IFERROR(VLOOKUP(B1036,Lists!$A$2:$B$25,2,FALSE),"")</f>
        <v/>
      </c>
      <c r="D1036" s="7"/>
      <c r="E1036" s="6"/>
      <c r="F1036" s="6" t="str">
        <f t="shared" si="50"/>
        <v/>
      </c>
      <c r="G1036" s="6"/>
      <c r="H1036" s="6"/>
      <c r="I1036" s="6"/>
      <c r="J1036" s="7"/>
      <c r="K1036" s="5" t="str" cm="1">
        <f t="array" ref="K1036">IF(OR(A1036="",B1036="",D1036="",E1036=""),"",A1036&amp;"_"&amp;SUBSTITUTE(B1036," ","-")&amp;"_"&amp;D1036&amp;"_"&amp;SUBSTITUTE(SUBSTITUTE(E1036," ",""),"€","Euro")&amp;"_"&amp;IF(F1036="","Unknown",F1036)&amp;IF(F1036="Commemorative",IF(G1036="","","_"&amp;SUBSTITUTE(SUBSTITUTE(SUBSTITUTE(G1036," ","-"),"/","-"),CHAR(39),"")),"")&amp;IF(I1036="Duplicate","_Dub"&amp;IF(SUMPRODUCT(($B$2:B1036=B1036)*($D$2:D1036=D1036)*($E$2:E1036=E1036)*($F$2:F1036=F1036)*($G$2:G1036=G1036)*($I$2:I1036="Duplicate"))&lt;=1,"",SUMPRODUCT(($B$2:B1036=B1036)*($D$2:D1036=D1036)*($E$2:E1036=E1036)*($F$2:F1036=F1036)*($G$2:G1036=G1036)*($I$2:I1036="Duplicate"))-1),"")&amp;".jpeg")</f>
        <v/>
      </c>
      <c r="L1036" s="6"/>
      <c r="M1036" s="5" t="str">
        <f>IFERROR(VLOOKUP(E1036,Specifications!$A$2:$D$9,2,FALSE),"")</f>
        <v/>
      </c>
      <c r="N1036" s="5" t="str">
        <f>IFERROR(VLOOKUP(E1036,Specifications!$A$2:$D$9,3,FALSE),"")</f>
        <v/>
      </c>
      <c r="O1036" s="5" t="str">
        <f>IFERROR(VLOOKUP(E1036,Specifications!$A$2:$D$9,4,FALSE),"")</f>
        <v/>
      </c>
      <c r="P1036" s="8" t="str">
        <f t="shared" si="51"/>
        <v/>
      </c>
      <c r="Q1036" s="9"/>
    </row>
    <row r="1037" spans="1:17" ht="15">
      <c r="A1037" s="5" t="str">
        <f t="shared" si="49"/>
        <v/>
      </c>
      <c r="B1037" s="6"/>
      <c r="C1037" s="5" t="str">
        <f>IFERROR(VLOOKUP(B1037,Lists!$A$2:$B$25,2,FALSE),"")</f>
        <v/>
      </c>
      <c r="D1037" s="7"/>
      <c r="E1037" s="6"/>
      <c r="F1037" s="6" t="str">
        <f t="shared" si="50"/>
        <v/>
      </c>
      <c r="G1037" s="6"/>
      <c r="H1037" s="6"/>
      <c r="I1037" s="6"/>
      <c r="J1037" s="7"/>
      <c r="K1037" s="5" t="str" cm="1">
        <f t="array" ref="K1037">IF(OR(A1037="",B1037="",D1037="",E1037=""),"",A1037&amp;"_"&amp;SUBSTITUTE(B1037," ","-")&amp;"_"&amp;D1037&amp;"_"&amp;SUBSTITUTE(SUBSTITUTE(E1037," ",""),"€","Euro")&amp;"_"&amp;IF(F1037="","Unknown",F1037)&amp;IF(F1037="Commemorative",IF(G1037="","","_"&amp;SUBSTITUTE(SUBSTITUTE(SUBSTITUTE(G1037," ","-"),"/","-"),CHAR(39),"")),"")&amp;IF(I1037="Duplicate","_Dub"&amp;IF(SUMPRODUCT(($B$2:B1037=B1037)*($D$2:D1037=D1037)*($E$2:E1037=E1037)*($F$2:F1037=F1037)*($G$2:G1037=G1037)*($I$2:I1037="Duplicate"))&lt;=1,"",SUMPRODUCT(($B$2:B1037=B1037)*($D$2:D1037=D1037)*($E$2:E1037=E1037)*($F$2:F1037=F1037)*($G$2:G1037=G1037)*($I$2:I1037="Duplicate"))-1),"")&amp;".jpeg")</f>
        <v/>
      </c>
      <c r="L1037" s="6"/>
      <c r="M1037" s="5" t="str">
        <f>IFERROR(VLOOKUP(E1037,Specifications!$A$2:$D$9,2,FALSE),"")</f>
        <v/>
      </c>
      <c r="N1037" s="5" t="str">
        <f>IFERROR(VLOOKUP(E1037,Specifications!$A$2:$D$9,3,FALSE),"")</f>
        <v/>
      </c>
      <c r="O1037" s="5" t="str">
        <f>IFERROR(VLOOKUP(E1037,Specifications!$A$2:$D$9,4,FALSE),"")</f>
        <v/>
      </c>
      <c r="P1037" s="8" t="str">
        <f t="shared" si="51"/>
        <v/>
      </c>
      <c r="Q1037" s="9"/>
    </row>
    <row r="1038" spans="1:17" ht="15">
      <c r="A1038" s="5" t="str">
        <f t="shared" si="49"/>
        <v/>
      </c>
      <c r="B1038" s="6"/>
      <c r="C1038" s="5" t="str">
        <f>IFERROR(VLOOKUP(B1038,Lists!$A$2:$B$25,2,FALSE),"")</f>
        <v/>
      </c>
      <c r="D1038" s="7"/>
      <c r="E1038" s="6"/>
      <c r="F1038" s="6" t="str">
        <f t="shared" si="50"/>
        <v/>
      </c>
      <c r="G1038" s="6"/>
      <c r="H1038" s="6"/>
      <c r="I1038" s="6"/>
      <c r="J1038" s="7"/>
      <c r="K1038" s="5" t="str" cm="1">
        <f t="array" ref="K1038">IF(OR(A1038="",B1038="",D1038="",E1038=""),"",A1038&amp;"_"&amp;SUBSTITUTE(B1038," ","-")&amp;"_"&amp;D1038&amp;"_"&amp;SUBSTITUTE(SUBSTITUTE(E1038," ",""),"€","Euro")&amp;"_"&amp;IF(F1038="","Unknown",F1038)&amp;IF(F1038="Commemorative",IF(G1038="","","_"&amp;SUBSTITUTE(SUBSTITUTE(SUBSTITUTE(G1038," ","-"),"/","-"),CHAR(39),"")),"")&amp;IF(I1038="Duplicate","_Dub"&amp;IF(SUMPRODUCT(($B$2:B1038=B1038)*($D$2:D1038=D1038)*($E$2:E1038=E1038)*($F$2:F1038=F1038)*($G$2:G1038=G1038)*($I$2:I1038="Duplicate"))&lt;=1,"",SUMPRODUCT(($B$2:B1038=B1038)*($D$2:D1038=D1038)*($E$2:E1038=E1038)*($F$2:F1038=F1038)*($G$2:G1038=G1038)*($I$2:I1038="Duplicate"))-1),"")&amp;".jpeg")</f>
        <v/>
      </c>
      <c r="L1038" s="6"/>
      <c r="M1038" s="5" t="str">
        <f>IFERROR(VLOOKUP(E1038,Specifications!$A$2:$D$9,2,FALSE),"")</f>
        <v/>
      </c>
      <c r="N1038" s="5" t="str">
        <f>IFERROR(VLOOKUP(E1038,Specifications!$A$2:$D$9,3,FALSE),"")</f>
        <v/>
      </c>
      <c r="O1038" s="5" t="str">
        <f>IFERROR(VLOOKUP(E1038,Specifications!$A$2:$D$9,4,FALSE),"")</f>
        <v/>
      </c>
      <c r="P1038" s="8" t="str">
        <f t="shared" si="51"/>
        <v/>
      </c>
      <c r="Q1038" s="9"/>
    </row>
    <row r="1039" spans="1:17" ht="15">
      <c r="A1039" s="5" t="str">
        <f t="shared" si="49"/>
        <v/>
      </c>
      <c r="B1039" s="6"/>
      <c r="C1039" s="5" t="str">
        <f>IFERROR(VLOOKUP(B1039,Lists!$A$2:$B$25,2,FALSE),"")</f>
        <v/>
      </c>
      <c r="D1039" s="7"/>
      <c r="E1039" s="6"/>
      <c r="F1039" s="6" t="str">
        <f t="shared" si="50"/>
        <v/>
      </c>
      <c r="G1039" s="6"/>
      <c r="H1039" s="6"/>
      <c r="I1039" s="6"/>
      <c r="J1039" s="7"/>
      <c r="K1039" s="5" t="str" cm="1">
        <f t="array" ref="K1039">IF(OR(A1039="",B1039="",D1039="",E1039=""),"",A1039&amp;"_"&amp;SUBSTITUTE(B1039," ","-")&amp;"_"&amp;D1039&amp;"_"&amp;SUBSTITUTE(SUBSTITUTE(E1039," ",""),"€","Euro")&amp;"_"&amp;IF(F1039="","Unknown",F1039)&amp;IF(F1039="Commemorative",IF(G1039="","","_"&amp;SUBSTITUTE(SUBSTITUTE(SUBSTITUTE(G1039," ","-"),"/","-"),CHAR(39),"")),"")&amp;IF(I1039="Duplicate","_Dub"&amp;IF(SUMPRODUCT(($B$2:B1039=B1039)*($D$2:D1039=D1039)*($E$2:E1039=E1039)*($F$2:F1039=F1039)*($G$2:G1039=G1039)*($I$2:I1039="Duplicate"))&lt;=1,"",SUMPRODUCT(($B$2:B1039=B1039)*($D$2:D1039=D1039)*($E$2:E1039=E1039)*($F$2:F1039=F1039)*($G$2:G1039=G1039)*($I$2:I1039="Duplicate"))-1),"")&amp;".jpeg")</f>
        <v/>
      </c>
      <c r="L1039" s="6"/>
      <c r="M1039" s="5" t="str">
        <f>IFERROR(VLOOKUP(E1039,Specifications!$A$2:$D$9,2,FALSE),"")</f>
        <v/>
      </c>
      <c r="N1039" s="5" t="str">
        <f>IFERROR(VLOOKUP(E1039,Specifications!$A$2:$D$9,3,FALSE),"")</f>
        <v/>
      </c>
      <c r="O1039" s="5" t="str">
        <f>IFERROR(VLOOKUP(E1039,Specifications!$A$2:$D$9,4,FALSE),"")</f>
        <v/>
      </c>
      <c r="P1039" s="8" t="str">
        <f t="shared" si="51"/>
        <v/>
      </c>
      <c r="Q1039" s="9"/>
    </row>
    <row r="1040" spans="1:17" ht="15">
      <c r="A1040" s="5" t="str">
        <f t="shared" si="49"/>
        <v/>
      </c>
      <c r="B1040" s="6"/>
      <c r="C1040" s="5" t="str">
        <f>IFERROR(VLOOKUP(B1040,Lists!$A$2:$B$25,2,FALSE),"")</f>
        <v/>
      </c>
      <c r="D1040" s="7"/>
      <c r="E1040" s="6"/>
      <c r="F1040" s="6" t="str">
        <f t="shared" si="50"/>
        <v/>
      </c>
      <c r="G1040" s="6"/>
      <c r="H1040" s="6"/>
      <c r="I1040" s="6"/>
      <c r="J1040" s="7"/>
      <c r="K1040" s="5" t="str" cm="1">
        <f t="array" ref="K1040">IF(OR(A1040="",B1040="",D1040="",E1040=""),"",A1040&amp;"_"&amp;SUBSTITUTE(B1040," ","-")&amp;"_"&amp;D1040&amp;"_"&amp;SUBSTITUTE(SUBSTITUTE(E1040," ",""),"€","Euro")&amp;"_"&amp;IF(F1040="","Unknown",F1040)&amp;IF(F1040="Commemorative",IF(G1040="","","_"&amp;SUBSTITUTE(SUBSTITUTE(SUBSTITUTE(G1040," ","-"),"/","-"),CHAR(39),"")),"")&amp;IF(I1040="Duplicate","_Dub"&amp;IF(SUMPRODUCT(($B$2:B1040=B1040)*($D$2:D1040=D1040)*($E$2:E1040=E1040)*($F$2:F1040=F1040)*($G$2:G1040=G1040)*($I$2:I1040="Duplicate"))&lt;=1,"",SUMPRODUCT(($B$2:B1040=B1040)*($D$2:D1040=D1040)*($E$2:E1040=E1040)*($F$2:F1040=F1040)*($G$2:G1040=G1040)*($I$2:I1040="Duplicate"))-1),"")&amp;".jpeg")</f>
        <v/>
      </c>
      <c r="L1040" s="6"/>
      <c r="M1040" s="5" t="str">
        <f>IFERROR(VLOOKUP(E1040,Specifications!$A$2:$D$9,2,FALSE),"")</f>
        <v/>
      </c>
      <c r="N1040" s="5" t="str">
        <f>IFERROR(VLOOKUP(E1040,Specifications!$A$2:$D$9,3,FALSE),"")</f>
        <v/>
      </c>
      <c r="O1040" s="5" t="str">
        <f>IFERROR(VLOOKUP(E1040,Specifications!$A$2:$D$9,4,FALSE),"")</f>
        <v/>
      </c>
      <c r="P1040" s="8" t="str">
        <f t="shared" si="51"/>
        <v/>
      </c>
      <c r="Q1040" s="9"/>
    </row>
    <row r="1041" spans="1:17" ht="15">
      <c r="A1041" s="5" t="str">
        <f t="shared" si="49"/>
        <v/>
      </c>
      <c r="B1041" s="6"/>
      <c r="C1041" s="5" t="str">
        <f>IFERROR(VLOOKUP(B1041,Lists!$A$2:$B$25,2,FALSE),"")</f>
        <v/>
      </c>
      <c r="D1041" s="7"/>
      <c r="E1041" s="6"/>
      <c r="F1041" s="6" t="str">
        <f t="shared" si="50"/>
        <v/>
      </c>
      <c r="G1041" s="6"/>
      <c r="H1041" s="6"/>
      <c r="I1041" s="6"/>
      <c r="J1041" s="7"/>
      <c r="K1041" s="5" t="str" cm="1">
        <f t="array" ref="K1041">IF(OR(A1041="",B1041="",D1041="",E1041=""),"",A1041&amp;"_"&amp;SUBSTITUTE(B1041," ","-")&amp;"_"&amp;D1041&amp;"_"&amp;SUBSTITUTE(SUBSTITUTE(E1041," ",""),"€","Euro")&amp;"_"&amp;IF(F1041="","Unknown",F1041)&amp;IF(F1041="Commemorative",IF(G1041="","","_"&amp;SUBSTITUTE(SUBSTITUTE(SUBSTITUTE(G1041," ","-"),"/","-"),CHAR(39),"")),"")&amp;IF(I1041="Duplicate","_Dub"&amp;IF(SUMPRODUCT(($B$2:B1041=B1041)*($D$2:D1041=D1041)*($E$2:E1041=E1041)*($F$2:F1041=F1041)*($G$2:G1041=G1041)*($I$2:I1041="Duplicate"))&lt;=1,"",SUMPRODUCT(($B$2:B1041=B1041)*($D$2:D1041=D1041)*($E$2:E1041=E1041)*($F$2:F1041=F1041)*($G$2:G1041=G1041)*($I$2:I1041="Duplicate"))-1),"")&amp;".jpeg")</f>
        <v/>
      </c>
      <c r="L1041" s="6"/>
      <c r="M1041" s="5" t="str">
        <f>IFERROR(VLOOKUP(E1041,Specifications!$A$2:$D$9,2,FALSE),"")</f>
        <v/>
      </c>
      <c r="N1041" s="5" t="str">
        <f>IFERROR(VLOOKUP(E1041,Specifications!$A$2:$D$9,3,FALSE),"")</f>
        <v/>
      </c>
      <c r="O1041" s="5" t="str">
        <f>IFERROR(VLOOKUP(E1041,Specifications!$A$2:$D$9,4,FALSE),"")</f>
        <v/>
      </c>
      <c r="P1041" s="8" t="str">
        <f t="shared" si="51"/>
        <v/>
      </c>
      <c r="Q1041" s="9"/>
    </row>
    <row r="1042" spans="1:17" ht="15">
      <c r="A1042" s="5" t="str">
        <f t="shared" si="49"/>
        <v/>
      </c>
      <c r="B1042" s="6"/>
      <c r="C1042" s="5" t="str">
        <f>IFERROR(VLOOKUP(B1042,Lists!$A$2:$B$25,2,FALSE),"")</f>
        <v/>
      </c>
      <c r="D1042" s="7"/>
      <c r="E1042" s="6"/>
      <c r="F1042" s="6" t="str">
        <f t="shared" si="50"/>
        <v/>
      </c>
      <c r="G1042" s="6"/>
      <c r="H1042" s="6"/>
      <c r="I1042" s="6"/>
      <c r="J1042" s="7"/>
      <c r="K1042" s="5" t="str" cm="1">
        <f t="array" ref="K1042">IF(OR(A1042="",B1042="",D1042="",E1042=""),"",A1042&amp;"_"&amp;SUBSTITUTE(B1042," ","-")&amp;"_"&amp;D1042&amp;"_"&amp;SUBSTITUTE(SUBSTITUTE(E1042," ",""),"€","Euro")&amp;"_"&amp;IF(F1042="","Unknown",F1042)&amp;IF(F1042="Commemorative",IF(G1042="","","_"&amp;SUBSTITUTE(SUBSTITUTE(SUBSTITUTE(G1042," ","-"),"/","-"),CHAR(39),"")),"")&amp;IF(I1042="Duplicate","_Dub"&amp;IF(SUMPRODUCT(($B$2:B1042=B1042)*($D$2:D1042=D1042)*($E$2:E1042=E1042)*($F$2:F1042=F1042)*($G$2:G1042=G1042)*($I$2:I1042="Duplicate"))&lt;=1,"",SUMPRODUCT(($B$2:B1042=B1042)*($D$2:D1042=D1042)*($E$2:E1042=E1042)*($F$2:F1042=F1042)*($G$2:G1042=G1042)*($I$2:I1042="Duplicate"))-1),"")&amp;".jpeg")</f>
        <v/>
      </c>
      <c r="L1042" s="6"/>
      <c r="M1042" s="5" t="str">
        <f>IFERROR(VLOOKUP(E1042,Specifications!$A$2:$D$9,2,FALSE),"")</f>
        <v/>
      </c>
      <c r="N1042" s="5" t="str">
        <f>IFERROR(VLOOKUP(E1042,Specifications!$A$2:$D$9,3,FALSE),"")</f>
        <v/>
      </c>
      <c r="O1042" s="5" t="str">
        <f>IFERROR(VLOOKUP(E1042,Specifications!$A$2:$D$9,4,FALSE),"")</f>
        <v/>
      </c>
      <c r="P1042" s="8" t="str">
        <f t="shared" si="51"/>
        <v/>
      </c>
      <c r="Q1042" s="9"/>
    </row>
    <row r="1043" spans="1:17" ht="15">
      <c r="A1043" s="5" t="str">
        <f t="shared" si="49"/>
        <v/>
      </c>
      <c r="B1043" s="6"/>
      <c r="C1043" s="5" t="str">
        <f>IFERROR(VLOOKUP(B1043,Lists!$A$2:$B$25,2,FALSE),"")</f>
        <v/>
      </c>
      <c r="D1043" s="7"/>
      <c r="E1043" s="6"/>
      <c r="F1043" s="6" t="str">
        <f t="shared" si="50"/>
        <v/>
      </c>
      <c r="G1043" s="6"/>
      <c r="H1043" s="6"/>
      <c r="I1043" s="6"/>
      <c r="J1043" s="7"/>
      <c r="K1043" s="5" t="str" cm="1">
        <f t="array" ref="K1043">IF(OR(A1043="",B1043="",D1043="",E1043=""),"",A1043&amp;"_"&amp;SUBSTITUTE(B1043," ","-")&amp;"_"&amp;D1043&amp;"_"&amp;SUBSTITUTE(SUBSTITUTE(E1043," ",""),"€","Euro")&amp;"_"&amp;IF(F1043="","Unknown",F1043)&amp;IF(F1043="Commemorative",IF(G1043="","","_"&amp;SUBSTITUTE(SUBSTITUTE(SUBSTITUTE(G1043," ","-"),"/","-"),CHAR(39),"")),"")&amp;IF(I1043="Duplicate","_Dub"&amp;IF(SUMPRODUCT(($B$2:B1043=B1043)*($D$2:D1043=D1043)*($E$2:E1043=E1043)*($F$2:F1043=F1043)*($G$2:G1043=G1043)*($I$2:I1043="Duplicate"))&lt;=1,"",SUMPRODUCT(($B$2:B1043=B1043)*($D$2:D1043=D1043)*($E$2:E1043=E1043)*($F$2:F1043=F1043)*($G$2:G1043=G1043)*($I$2:I1043="Duplicate"))-1),"")&amp;".jpeg")</f>
        <v/>
      </c>
      <c r="L1043" s="6"/>
      <c r="M1043" s="5" t="str">
        <f>IFERROR(VLOOKUP(E1043,Specifications!$A$2:$D$9,2,FALSE),"")</f>
        <v/>
      </c>
      <c r="N1043" s="5" t="str">
        <f>IFERROR(VLOOKUP(E1043,Specifications!$A$2:$D$9,3,FALSE),"")</f>
        <v/>
      </c>
      <c r="O1043" s="5" t="str">
        <f>IFERROR(VLOOKUP(E1043,Specifications!$A$2:$D$9,4,FALSE),"")</f>
        <v/>
      </c>
      <c r="P1043" s="8" t="str">
        <f t="shared" si="51"/>
        <v/>
      </c>
      <c r="Q1043" s="9"/>
    </row>
    <row r="1044" spans="1:17" ht="15">
      <c r="A1044" s="5" t="str">
        <f t="shared" si="49"/>
        <v/>
      </c>
      <c r="B1044" s="6"/>
      <c r="C1044" s="5" t="str">
        <f>IFERROR(VLOOKUP(B1044,Lists!$A$2:$B$25,2,FALSE),"")</f>
        <v/>
      </c>
      <c r="D1044" s="7"/>
      <c r="E1044" s="6"/>
      <c r="F1044" s="6" t="str">
        <f t="shared" si="50"/>
        <v/>
      </c>
      <c r="G1044" s="6"/>
      <c r="H1044" s="6"/>
      <c r="I1044" s="6"/>
      <c r="J1044" s="7"/>
      <c r="K1044" s="5" t="str" cm="1">
        <f t="array" ref="K1044">IF(OR(A1044="",B1044="",D1044="",E1044=""),"",A1044&amp;"_"&amp;SUBSTITUTE(B1044," ","-")&amp;"_"&amp;D1044&amp;"_"&amp;SUBSTITUTE(SUBSTITUTE(E1044," ",""),"€","Euro")&amp;"_"&amp;IF(F1044="","Unknown",F1044)&amp;IF(F1044="Commemorative",IF(G1044="","","_"&amp;SUBSTITUTE(SUBSTITUTE(SUBSTITUTE(G1044," ","-"),"/","-"),CHAR(39),"")),"")&amp;IF(I1044="Duplicate","_Dub"&amp;IF(SUMPRODUCT(($B$2:B1044=B1044)*($D$2:D1044=D1044)*($E$2:E1044=E1044)*($F$2:F1044=F1044)*($G$2:G1044=G1044)*($I$2:I1044="Duplicate"))&lt;=1,"",SUMPRODUCT(($B$2:B1044=B1044)*($D$2:D1044=D1044)*($E$2:E1044=E1044)*($F$2:F1044=F1044)*($G$2:G1044=G1044)*($I$2:I1044="Duplicate"))-1),"")&amp;".jpeg")</f>
        <v/>
      </c>
      <c r="L1044" s="6"/>
      <c r="M1044" s="5" t="str">
        <f>IFERROR(VLOOKUP(E1044,Specifications!$A$2:$D$9,2,FALSE),"")</f>
        <v/>
      </c>
      <c r="N1044" s="5" t="str">
        <f>IFERROR(VLOOKUP(E1044,Specifications!$A$2:$D$9,3,FALSE),"")</f>
        <v/>
      </c>
      <c r="O1044" s="5" t="str">
        <f>IFERROR(VLOOKUP(E1044,Specifications!$A$2:$D$9,4,FALSE),"")</f>
        <v/>
      </c>
      <c r="P1044" s="8" t="str">
        <f t="shared" si="51"/>
        <v/>
      </c>
      <c r="Q1044" s="9"/>
    </row>
    <row r="1045" spans="1:17" ht="15">
      <c r="A1045" s="5" t="str">
        <f t="shared" si="49"/>
        <v/>
      </c>
      <c r="B1045" s="6"/>
      <c r="C1045" s="5" t="str">
        <f>IFERROR(VLOOKUP(B1045,Lists!$A$2:$B$25,2,FALSE),"")</f>
        <v/>
      </c>
      <c r="D1045" s="7"/>
      <c r="E1045" s="6"/>
      <c r="F1045" s="6" t="str">
        <f t="shared" si="50"/>
        <v/>
      </c>
      <c r="G1045" s="6"/>
      <c r="H1045" s="6"/>
      <c r="I1045" s="6"/>
      <c r="J1045" s="7"/>
      <c r="K1045" s="5" t="str" cm="1">
        <f t="array" ref="K1045">IF(OR(A1045="",B1045="",D1045="",E1045=""),"",A1045&amp;"_"&amp;SUBSTITUTE(B1045," ","-")&amp;"_"&amp;D1045&amp;"_"&amp;SUBSTITUTE(SUBSTITUTE(E1045," ",""),"€","Euro")&amp;"_"&amp;IF(F1045="","Unknown",F1045)&amp;IF(F1045="Commemorative",IF(G1045="","","_"&amp;SUBSTITUTE(SUBSTITUTE(SUBSTITUTE(G1045," ","-"),"/","-"),CHAR(39),"")),"")&amp;IF(I1045="Duplicate","_Dub"&amp;IF(SUMPRODUCT(($B$2:B1045=B1045)*($D$2:D1045=D1045)*($E$2:E1045=E1045)*($F$2:F1045=F1045)*($G$2:G1045=G1045)*($I$2:I1045="Duplicate"))&lt;=1,"",SUMPRODUCT(($B$2:B1045=B1045)*($D$2:D1045=D1045)*($E$2:E1045=E1045)*($F$2:F1045=F1045)*($G$2:G1045=G1045)*($I$2:I1045="Duplicate"))-1),"")&amp;".jpeg")</f>
        <v/>
      </c>
      <c r="L1045" s="6"/>
      <c r="M1045" s="5" t="str">
        <f>IFERROR(VLOOKUP(E1045,Specifications!$A$2:$D$9,2,FALSE),"")</f>
        <v/>
      </c>
      <c r="N1045" s="5" t="str">
        <f>IFERROR(VLOOKUP(E1045,Specifications!$A$2:$D$9,3,FALSE),"")</f>
        <v/>
      </c>
      <c r="O1045" s="5" t="str">
        <f>IFERROR(VLOOKUP(E1045,Specifications!$A$2:$D$9,4,FALSE),"")</f>
        <v/>
      </c>
      <c r="P1045" s="8" t="str">
        <f t="shared" si="51"/>
        <v/>
      </c>
      <c r="Q1045" s="9"/>
    </row>
    <row r="1046" spans="1:17" ht="15">
      <c r="A1046" s="5" t="str">
        <f t="shared" si="49"/>
        <v/>
      </c>
      <c r="B1046" s="6"/>
      <c r="C1046" s="5" t="str">
        <f>IFERROR(VLOOKUP(B1046,Lists!$A$2:$B$25,2,FALSE),"")</f>
        <v/>
      </c>
      <c r="D1046" s="7"/>
      <c r="E1046" s="6"/>
      <c r="F1046" s="6" t="str">
        <f t="shared" si="50"/>
        <v/>
      </c>
      <c r="G1046" s="6"/>
      <c r="H1046" s="6"/>
      <c r="I1046" s="6"/>
      <c r="J1046" s="7"/>
      <c r="K1046" s="5" t="str" cm="1">
        <f t="array" ref="K1046">IF(OR(A1046="",B1046="",D1046="",E1046=""),"",A1046&amp;"_"&amp;SUBSTITUTE(B1046," ","-")&amp;"_"&amp;D1046&amp;"_"&amp;SUBSTITUTE(SUBSTITUTE(E1046," ",""),"€","Euro")&amp;"_"&amp;IF(F1046="","Unknown",F1046)&amp;IF(F1046="Commemorative",IF(G1046="","","_"&amp;SUBSTITUTE(SUBSTITUTE(SUBSTITUTE(G1046," ","-"),"/","-"),CHAR(39),"")),"")&amp;IF(I1046="Duplicate","_Dub"&amp;IF(SUMPRODUCT(($B$2:B1046=B1046)*($D$2:D1046=D1046)*($E$2:E1046=E1046)*($F$2:F1046=F1046)*($G$2:G1046=G1046)*($I$2:I1046="Duplicate"))&lt;=1,"",SUMPRODUCT(($B$2:B1046=B1046)*($D$2:D1046=D1046)*($E$2:E1046=E1046)*($F$2:F1046=F1046)*($G$2:G1046=G1046)*($I$2:I1046="Duplicate"))-1),"")&amp;".jpeg")</f>
        <v/>
      </c>
      <c r="L1046" s="6"/>
      <c r="M1046" s="5" t="str">
        <f>IFERROR(VLOOKUP(E1046,Specifications!$A$2:$D$9,2,FALSE),"")</f>
        <v/>
      </c>
      <c r="N1046" s="5" t="str">
        <f>IFERROR(VLOOKUP(E1046,Specifications!$A$2:$D$9,3,FALSE),"")</f>
        <v/>
      </c>
      <c r="O1046" s="5" t="str">
        <f>IFERROR(VLOOKUP(E1046,Specifications!$A$2:$D$9,4,FALSE),"")</f>
        <v/>
      </c>
      <c r="P1046" s="8" t="str">
        <f t="shared" si="51"/>
        <v/>
      </c>
      <c r="Q1046" s="9"/>
    </row>
    <row r="1047" spans="1:17" ht="15">
      <c r="A1047" s="5" t="str">
        <f t="shared" si="49"/>
        <v/>
      </c>
      <c r="B1047" s="6"/>
      <c r="C1047" s="5" t="str">
        <f>IFERROR(VLOOKUP(B1047,Lists!$A$2:$B$25,2,FALSE),"")</f>
        <v/>
      </c>
      <c r="D1047" s="7"/>
      <c r="E1047" s="6"/>
      <c r="F1047" s="6" t="str">
        <f t="shared" si="50"/>
        <v/>
      </c>
      <c r="G1047" s="6"/>
      <c r="H1047" s="6"/>
      <c r="I1047" s="6"/>
      <c r="J1047" s="7"/>
      <c r="K1047" s="5" t="str" cm="1">
        <f t="array" ref="K1047">IF(OR(A1047="",B1047="",D1047="",E1047=""),"",A1047&amp;"_"&amp;SUBSTITUTE(B1047," ","-")&amp;"_"&amp;D1047&amp;"_"&amp;SUBSTITUTE(SUBSTITUTE(E1047," ",""),"€","Euro")&amp;"_"&amp;IF(F1047="","Unknown",F1047)&amp;IF(F1047="Commemorative",IF(G1047="","","_"&amp;SUBSTITUTE(SUBSTITUTE(SUBSTITUTE(G1047," ","-"),"/","-"),CHAR(39),"")),"")&amp;IF(I1047="Duplicate","_Dub"&amp;IF(SUMPRODUCT(($B$2:B1047=B1047)*($D$2:D1047=D1047)*($E$2:E1047=E1047)*($F$2:F1047=F1047)*($G$2:G1047=G1047)*($I$2:I1047="Duplicate"))&lt;=1,"",SUMPRODUCT(($B$2:B1047=B1047)*($D$2:D1047=D1047)*($E$2:E1047=E1047)*($F$2:F1047=F1047)*($G$2:G1047=G1047)*($I$2:I1047="Duplicate"))-1),"")&amp;".jpeg")</f>
        <v/>
      </c>
      <c r="L1047" s="6"/>
      <c r="M1047" s="5" t="str">
        <f>IFERROR(VLOOKUP(E1047,Specifications!$A$2:$D$9,2,FALSE),"")</f>
        <v/>
      </c>
      <c r="N1047" s="5" t="str">
        <f>IFERROR(VLOOKUP(E1047,Specifications!$A$2:$D$9,3,FALSE),"")</f>
        <v/>
      </c>
      <c r="O1047" s="5" t="str">
        <f>IFERROR(VLOOKUP(E1047,Specifications!$A$2:$D$9,4,FALSE),"")</f>
        <v/>
      </c>
      <c r="P1047" s="8" t="str">
        <f t="shared" si="51"/>
        <v/>
      </c>
      <c r="Q1047" s="9"/>
    </row>
    <row r="1048" spans="1:17" ht="15">
      <c r="A1048" s="5" t="str">
        <f t="shared" si="49"/>
        <v/>
      </c>
      <c r="B1048" s="6"/>
      <c r="C1048" s="5" t="str">
        <f>IFERROR(VLOOKUP(B1048,Lists!$A$2:$B$25,2,FALSE),"")</f>
        <v/>
      </c>
      <c r="D1048" s="7"/>
      <c r="E1048" s="6"/>
      <c r="F1048" s="6" t="str">
        <f t="shared" si="50"/>
        <v/>
      </c>
      <c r="G1048" s="6"/>
      <c r="H1048" s="6"/>
      <c r="I1048" s="6"/>
      <c r="J1048" s="7"/>
      <c r="K1048" s="5" t="str" cm="1">
        <f t="array" ref="K1048">IF(OR(A1048="",B1048="",D1048="",E1048=""),"",A1048&amp;"_"&amp;SUBSTITUTE(B1048," ","-")&amp;"_"&amp;D1048&amp;"_"&amp;SUBSTITUTE(SUBSTITUTE(E1048," ",""),"€","Euro")&amp;"_"&amp;IF(F1048="","Unknown",F1048)&amp;IF(F1048="Commemorative",IF(G1048="","","_"&amp;SUBSTITUTE(SUBSTITUTE(SUBSTITUTE(G1048," ","-"),"/","-"),CHAR(39),"")),"")&amp;IF(I1048="Duplicate","_Dub"&amp;IF(SUMPRODUCT(($B$2:B1048=B1048)*($D$2:D1048=D1048)*($E$2:E1048=E1048)*($F$2:F1048=F1048)*($G$2:G1048=G1048)*($I$2:I1048="Duplicate"))&lt;=1,"",SUMPRODUCT(($B$2:B1048=B1048)*($D$2:D1048=D1048)*($E$2:E1048=E1048)*($F$2:F1048=F1048)*($G$2:G1048=G1048)*($I$2:I1048="Duplicate"))-1),"")&amp;".jpeg")</f>
        <v/>
      </c>
      <c r="L1048" s="6"/>
      <c r="M1048" s="5" t="str">
        <f>IFERROR(VLOOKUP(E1048,Specifications!$A$2:$D$9,2,FALSE),"")</f>
        <v/>
      </c>
      <c r="N1048" s="5" t="str">
        <f>IFERROR(VLOOKUP(E1048,Specifications!$A$2:$D$9,3,FALSE),"")</f>
        <v/>
      </c>
      <c r="O1048" s="5" t="str">
        <f>IFERROR(VLOOKUP(E1048,Specifications!$A$2:$D$9,4,FALSE),"")</f>
        <v/>
      </c>
      <c r="P1048" s="8" t="str">
        <f t="shared" si="51"/>
        <v/>
      </c>
      <c r="Q1048" s="9"/>
    </row>
    <row r="1049" spans="1:17" ht="15">
      <c r="A1049" s="5" t="str">
        <f t="shared" si="49"/>
        <v/>
      </c>
      <c r="B1049" s="6"/>
      <c r="C1049" s="5" t="str">
        <f>IFERROR(VLOOKUP(B1049,Lists!$A$2:$B$25,2,FALSE),"")</f>
        <v/>
      </c>
      <c r="D1049" s="7"/>
      <c r="E1049" s="6"/>
      <c r="F1049" s="6" t="str">
        <f t="shared" si="50"/>
        <v/>
      </c>
      <c r="G1049" s="6"/>
      <c r="H1049" s="6"/>
      <c r="I1049" s="6"/>
      <c r="J1049" s="7"/>
      <c r="K1049" s="5" t="str" cm="1">
        <f t="array" ref="K1049">IF(OR(A1049="",B1049="",D1049="",E1049=""),"",A1049&amp;"_"&amp;SUBSTITUTE(B1049," ","-")&amp;"_"&amp;D1049&amp;"_"&amp;SUBSTITUTE(SUBSTITUTE(E1049," ",""),"€","Euro")&amp;"_"&amp;IF(F1049="","Unknown",F1049)&amp;IF(F1049="Commemorative",IF(G1049="","","_"&amp;SUBSTITUTE(SUBSTITUTE(SUBSTITUTE(G1049," ","-"),"/","-"),CHAR(39),"")),"")&amp;IF(I1049="Duplicate","_Dub"&amp;IF(SUMPRODUCT(($B$2:B1049=B1049)*($D$2:D1049=D1049)*($E$2:E1049=E1049)*($F$2:F1049=F1049)*($G$2:G1049=G1049)*($I$2:I1049="Duplicate"))&lt;=1,"",SUMPRODUCT(($B$2:B1049=B1049)*($D$2:D1049=D1049)*($E$2:E1049=E1049)*($F$2:F1049=F1049)*($G$2:G1049=G1049)*($I$2:I1049="Duplicate"))-1),"")&amp;".jpeg")</f>
        <v/>
      </c>
      <c r="L1049" s="6"/>
      <c r="M1049" s="5" t="str">
        <f>IFERROR(VLOOKUP(E1049,Specifications!$A$2:$D$9,2,FALSE),"")</f>
        <v/>
      </c>
      <c r="N1049" s="5" t="str">
        <f>IFERROR(VLOOKUP(E1049,Specifications!$A$2:$D$9,3,FALSE),"")</f>
        <v/>
      </c>
      <c r="O1049" s="5" t="str">
        <f>IFERROR(VLOOKUP(E1049,Specifications!$A$2:$D$9,4,FALSE),"")</f>
        <v/>
      </c>
      <c r="P1049" s="8" t="str">
        <f t="shared" si="51"/>
        <v/>
      </c>
      <c r="Q1049" s="9"/>
    </row>
    <row r="1050" spans="1:17" ht="15">
      <c r="A1050" s="5" t="str">
        <f t="shared" si="49"/>
        <v/>
      </c>
      <c r="B1050" s="6"/>
      <c r="C1050" s="5" t="str">
        <f>IFERROR(VLOOKUP(B1050,Lists!$A$2:$B$25,2,FALSE),"")</f>
        <v/>
      </c>
      <c r="D1050" s="7"/>
      <c r="E1050" s="6"/>
      <c r="F1050" s="6" t="str">
        <f t="shared" si="50"/>
        <v/>
      </c>
      <c r="G1050" s="6"/>
      <c r="H1050" s="6"/>
      <c r="I1050" s="6"/>
      <c r="J1050" s="7"/>
      <c r="K1050" s="5" t="str" cm="1">
        <f t="array" ref="K1050">IF(OR(A1050="",B1050="",D1050="",E1050=""),"",A1050&amp;"_"&amp;SUBSTITUTE(B1050," ","-")&amp;"_"&amp;D1050&amp;"_"&amp;SUBSTITUTE(SUBSTITUTE(E1050," ",""),"€","Euro")&amp;"_"&amp;IF(F1050="","Unknown",F1050)&amp;IF(F1050="Commemorative",IF(G1050="","","_"&amp;SUBSTITUTE(SUBSTITUTE(SUBSTITUTE(G1050," ","-"),"/","-"),CHAR(39),"")),"")&amp;IF(I1050="Duplicate","_Dub"&amp;IF(SUMPRODUCT(($B$2:B1050=B1050)*($D$2:D1050=D1050)*($E$2:E1050=E1050)*($F$2:F1050=F1050)*($G$2:G1050=G1050)*($I$2:I1050="Duplicate"))&lt;=1,"",SUMPRODUCT(($B$2:B1050=B1050)*($D$2:D1050=D1050)*($E$2:E1050=E1050)*($F$2:F1050=F1050)*($G$2:G1050=G1050)*($I$2:I1050="Duplicate"))-1),"")&amp;".jpeg")</f>
        <v/>
      </c>
      <c r="L1050" s="6"/>
      <c r="M1050" s="5" t="str">
        <f>IFERROR(VLOOKUP(E1050,Specifications!$A$2:$D$9,2,FALSE),"")</f>
        <v/>
      </c>
      <c r="N1050" s="5" t="str">
        <f>IFERROR(VLOOKUP(E1050,Specifications!$A$2:$D$9,3,FALSE),"")</f>
        <v/>
      </c>
      <c r="O1050" s="5" t="str">
        <f>IFERROR(VLOOKUP(E1050,Specifications!$A$2:$D$9,4,FALSE),"")</f>
        <v/>
      </c>
      <c r="P1050" s="8" t="str">
        <f t="shared" si="51"/>
        <v/>
      </c>
      <c r="Q1050" s="9"/>
    </row>
    <row r="1051" spans="1:17" ht="15">
      <c r="A1051" s="5" t="str">
        <f t="shared" si="49"/>
        <v/>
      </c>
      <c r="B1051" s="6"/>
      <c r="C1051" s="5" t="str">
        <f>IFERROR(VLOOKUP(B1051,Lists!$A$2:$B$25,2,FALSE),"")</f>
        <v/>
      </c>
      <c r="D1051" s="7"/>
      <c r="E1051" s="6"/>
      <c r="F1051" s="6" t="str">
        <f t="shared" si="50"/>
        <v/>
      </c>
      <c r="G1051" s="6"/>
      <c r="H1051" s="6"/>
      <c r="I1051" s="6"/>
      <c r="J1051" s="7"/>
      <c r="K1051" s="5" t="str" cm="1">
        <f t="array" ref="K1051">IF(OR(A1051="",B1051="",D1051="",E1051=""),"",A1051&amp;"_"&amp;SUBSTITUTE(B1051," ","-")&amp;"_"&amp;D1051&amp;"_"&amp;SUBSTITUTE(SUBSTITUTE(E1051," ",""),"€","Euro")&amp;"_"&amp;IF(F1051="","Unknown",F1051)&amp;IF(F1051="Commemorative",IF(G1051="","","_"&amp;SUBSTITUTE(SUBSTITUTE(SUBSTITUTE(G1051," ","-"),"/","-"),CHAR(39),"")),"")&amp;IF(I1051="Duplicate","_Dub"&amp;IF(SUMPRODUCT(($B$2:B1051=B1051)*($D$2:D1051=D1051)*($E$2:E1051=E1051)*($F$2:F1051=F1051)*($G$2:G1051=G1051)*($I$2:I1051="Duplicate"))&lt;=1,"",SUMPRODUCT(($B$2:B1051=B1051)*($D$2:D1051=D1051)*($E$2:E1051=E1051)*($F$2:F1051=F1051)*($G$2:G1051=G1051)*($I$2:I1051="Duplicate"))-1),"")&amp;".jpeg")</f>
        <v/>
      </c>
      <c r="L1051" s="6"/>
      <c r="M1051" s="5" t="str">
        <f>IFERROR(VLOOKUP(E1051,Specifications!$A$2:$D$9,2,FALSE),"")</f>
        <v/>
      </c>
      <c r="N1051" s="5" t="str">
        <f>IFERROR(VLOOKUP(E1051,Specifications!$A$2:$D$9,3,FALSE),"")</f>
        <v/>
      </c>
      <c r="O1051" s="5" t="str">
        <f>IFERROR(VLOOKUP(E1051,Specifications!$A$2:$D$9,4,FALSE),"")</f>
        <v/>
      </c>
      <c r="P1051" s="8" t="str">
        <f t="shared" si="51"/>
        <v/>
      </c>
      <c r="Q1051" s="9"/>
    </row>
    <row r="1052" spans="1:17" ht="15">
      <c r="A1052" s="5" t="str">
        <f t="shared" si="49"/>
        <v/>
      </c>
      <c r="B1052" s="6"/>
      <c r="C1052" s="5" t="str">
        <f>IFERROR(VLOOKUP(B1052,Lists!$A$2:$B$25,2,FALSE),"")</f>
        <v/>
      </c>
      <c r="D1052" s="7"/>
      <c r="E1052" s="6"/>
      <c r="F1052" s="6" t="str">
        <f t="shared" si="50"/>
        <v/>
      </c>
      <c r="G1052" s="6"/>
      <c r="H1052" s="6"/>
      <c r="I1052" s="6"/>
      <c r="J1052" s="7"/>
      <c r="K1052" s="5" t="str" cm="1">
        <f t="array" ref="K1052">IF(OR(A1052="",B1052="",D1052="",E1052=""),"",A1052&amp;"_"&amp;SUBSTITUTE(B1052," ","-")&amp;"_"&amp;D1052&amp;"_"&amp;SUBSTITUTE(SUBSTITUTE(E1052," ",""),"€","Euro")&amp;"_"&amp;IF(F1052="","Unknown",F1052)&amp;IF(F1052="Commemorative",IF(G1052="","","_"&amp;SUBSTITUTE(SUBSTITUTE(SUBSTITUTE(G1052," ","-"),"/","-"),CHAR(39),"")),"")&amp;IF(I1052="Duplicate","_Dub"&amp;IF(SUMPRODUCT(($B$2:B1052=B1052)*($D$2:D1052=D1052)*($E$2:E1052=E1052)*($F$2:F1052=F1052)*($G$2:G1052=G1052)*($I$2:I1052="Duplicate"))&lt;=1,"",SUMPRODUCT(($B$2:B1052=B1052)*($D$2:D1052=D1052)*($E$2:E1052=E1052)*($F$2:F1052=F1052)*($G$2:G1052=G1052)*($I$2:I1052="Duplicate"))-1),"")&amp;".jpeg")</f>
        <v/>
      </c>
      <c r="L1052" s="6"/>
      <c r="M1052" s="5" t="str">
        <f>IFERROR(VLOOKUP(E1052,Specifications!$A$2:$D$9,2,FALSE),"")</f>
        <v/>
      </c>
      <c r="N1052" s="5" t="str">
        <f>IFERROR(VLOOKUP(E1052,Specifications!$A$2:$D$9,3,FALSE),"")</f>
        <v/>
      </c>
      <c r="O1052" s="5" t="str">
        <f>IFERROR(VLOOKUP(E1052,Specifications!$A$2:$D$9,4,FALSE),"")</f>
        <v/>
      </c>
      <c r="P1052" s="8" t="str">
        <f t="shared" si="51"/>
        <v/>
      </c>
      <c r="Q1052" s="9"/>
    </row>
    <row r="1053" spans="1:17" ht="15">
      <c r="A1053" s="5" t="str">
        <f t="shared" si="49"/>
        <v/>
      </c>
      <c r="B1053" s="6"/>
      <c r="C1053" s="5" t="str">
        <f>IFERROR(VLOOKUP(B1053,Lists!$A$2:$B$25,2,FALSE),"")</f>
        <v/>
      </c>
      <c r="D1053" s="7"/>
      <c r="E1053" s="6"/>
      <c r="F1053" s="6" t="str">
        <f t="shared" si="50"/>
        <v/>
      </c>
      <c r="G1053" s="6"/>
      <c r="H1053" s="6"/>
      <c r="I1053" s="6"/>
      <c r="J1053" s="7"/>
      <c r="K1053" s="5" t="str" cm="1">
        <f t="array" ref="K1053">IF(OR(A1053="",B1053="",D1053="",E1053=""),"",A1053&amp;"_"&amp;SUBSTITUTE(B1053," ","-")&amp;"_"&amp;D1053&amp;"_"&amp;SUBSTITUTE(SUBSTITUTE(E1053," ",""),"€","Euro")&amp;"_"&amp;IF(F1053="","Unknown",F1053)&amp;IF(F1053="Commemorative",IF(G1053="","","_"&amp;SUBSTITUTE(SUBSTITUTE(SUBSTITUTE(G1053," ","-"),"/","-"),CHAR(39),"")),"")&amp;IF(I1053="Duplicate","_Dub"&amp;IF(SUMPRODUCT(($B$2:B1053=B1053)*($D$2:D1053=D1053)*($E$2:E1053=E1053)*($F$2:F1053=F1053)*($G$2:G1053=G1053)*($I$2:I1053="Duplicate"))&lt;=1,"",SUMPRODUCT(($B$2:B1053=B1053)*($D$2:D1053=D1053)*($E$2:E1053=E1053)*($F$2:F1053=F1053)*($G$2:G1053=G1053)*($I$2:I1053="Duplicate"))-1),"")&amp;".jpeg")</f>
        <v/>
      </c>
      <c r="L1053" s="6"/>
      <c r="M1053" s="5" t="str">
        <f>IFERROR(VLOOKUP(E1053,Specifications!$A$2:$D$9,2,FALSE),"")</f>
        <v/>
      </c>
      <c r="N1053" s="5" t="str">
        <f>IFERROR(VLOOKUP(E1053,Specifications!$A$2:$D$9,3,FALSE),"")</f>
        <v/>
      </c>
      <c r="O1053" s="5" t="str">
        <f>IFERROR(VLOOKUP(E1053,Specifications!$A$2:$D$9,4,FALSE),"")</f>
        <v/>
      </c>
      <c r="P1053" s="8" t="str">
        <f t="shared" si="51"/>
        <v/>
      </c>
      <c r="Q1053" s="9"/>
    </row>
    <row r="1054" spans="1:17" ht="15">
      <c r="A1054" s="5" t="str">
        <f t="shared" si="49"/>
        <v/>
      </c>
      <c r="B1054" s="6"/>
      <c r="C1054" s="5" t="str">
        <f>IFERROR(VLOOKUP(B1054,Lists!$A$2:$B$25,2,FALSE),"")</f>
        <v/>
      </c>
      <c r="D1054" s="7"/>
      <c r="E1054" s="6"/>
      <c r="F1054" s="6" t="str">
        <f t="shared" si="50"/>
        <v/>
      </c>
      <c r="G1054" s="6"/>
      <c r="H1054" s="6"/>
      <c r="I1054" s="6"/>
      <c r="J1054" s="7"/>
      <c r="K1054" s="5" t="str" cm="1">
        <f t="array" ref="K1054">IF(OR(A1054="",B1054="",D1054="",E1054=""),"",A1054&amp;"_"&amp;SUBSTITUTE(B1054," ","-")&amp;"_"&amp;D1054&amp;"_"&amp;SUBSTITUTE(SUBSTITUTE(E1054," ",""),"€","Euro")&amp;"_"&amp;IF(F1054="","Unknown",F1054)&amp;IF(F1054="Commemorative",IF(G1054="","","_"&amp;SUBSTITUTE(SUBSTITUTE(SUBSTITUTE(G1054," ","-"),"/","-"),CHAR(39),"")),"")&amp;IF(I1054="Duplicate","_Dub"&amp;IF(SUMPRODUCT(($B$2:B1054=B1054)*($D$2:D1054=D1054)*($E$2:E1054=E1054)*($F$2:F1054=F1054)*($G$2:G1054=G1054)*($I$2:I1054="Duplicate"))&lt;=1,"",SUMPRODUCT(($B$2:B1054=B1054)*($D$2:D1054=D1054)*($E$2:E1054=E1054)*($F$2:F1054=F1054)*($G$2:G1054=G1054)*($I$2:I1054="Duplicate"))-1),"")&amp;".jpeg")</f>
        <v/>
      </c>
      <c r="L1054" s="6"/>
      <c r="M1054" s="5" t="str">
        <f>IFERROR(VLOOKUP(E1054,Specifications!$A$2:$D$9,2,FALSE),"")</f>
        <v/>
      </c>
      <c r="N1054" s="5" t="str">
        <f>IFERROR(VLOOKUP(E1054,Specifications!$A$2:$D$9,3,FALSE),"")</f>
        <v/>
      </c>
      <c r="O1054" s="5" t="str">
        <f>IFERROR(VLOOKUP(E1054,Specifications!$A$2:$D$9,4,FALSE),"")</f>
        <v/>
      </c>
      <c r="P1054" s="8" t="str">
        <f t="shared" si="51"/>
        <v/>
      </c>
      <c r="Q1054" s="9"/>
    </row>
    <row r="1055" spans="1:17" ht="15">
      <c r="A1055" s="5" t="str">
        <f t="shared" si="49"/>
        <v/>
      </c>
      <c r="B1055" s="6"/>
      <c r="C1055" s="5" t="str">
        <f>IFERROR(VLOOKUP(B1055,Lists!$A$2:$B$25,2,FALSE),"")</f>
        <v/>
      </c>
      <c r="D1055" s="7"/>
      <c r="E1055" s="6"/>
      <c r="F1055" s="6" t="str">
        <f t="shared" si="50"/>
        <v/>
      </c>
      <c r="G1055" s="6"/>
      <c r="H1055" s="6"/>
      <c r="I1055" s="6"/>
      <c r="J1055" s="7"/>
      <c r="K1055" s="5" t="str" cm="1">
        <f t="array" ref="K1055">IF(OR(A1055="",B1055="",D1055="",E1055=""),"",A1055&amp;"_"&amp;SUBSTITUTE(B1055," ","-")&amp;"_"&amp;D1055&amp;"_"&amp;SUBSTITUTE(SUBSTITUTE(E1055," ",""),"€","Euro")&amp;"_"&amp;IF(F1055="","Unknown",F1055)&amp;IF(F1055="Commemorative",IF(G1055="","","_"&amp;SUBSTITUTE(SUBSTITUTE(SUBSTITUTE(G1055," ","-"),"/","-"),CHAR(39),"")),"")&amp;IF(I1055="Duplicate","_Dub"&amp;IF(SUMPRODUCT(($B$2:B1055=B1055)*($D$2:D1055=D1055)*($E$2:E1055=E1055)*($F$2:F1055=F1055)*($G$2:G1055=G1055)*($I$2:I1055="Duplicate"))&lt;=1,"",SUMPRODUCT(($B$2:B1055=B1055)*($D$2:D1055=D1055)*($E$2:E1055=E1055)*($F$2:F1055=F1055)*($G$2:G1055=G1055)*($I$2:I1055="Duplicate"))-1),"")&amp;".jpeg")</f>
        <v/>
      </c>
      <c r="L1055" s="6"/>
      <c r="M1055" s="5" t="str">
        <f>IFERROR(VLOOKUP(E1055,Specifications!$A$2:$D$9,2,FALSE),"")</f>
        <v/>
      </c>
      <c r="N1055" s="5" t="str">
        <f>IFERROR(VLOOKUP(E1055,Specifications!$A$2:$D$9,3,FALSE),"")</f>
        <v/>
      </c>
      <c r="O1055" s="5" t="str">
        <f>IFERROR(VLOOKUP(E1055,Specifications!$A$2:$D$9,4,FALSE),"")</f>
        <v/>
      </c>
      <c r="P1055" s="8" t="str">
        <f t="shared" si="51"/>
        <v/>
      </c>
      <c r="Q1055" s="9"/>
    </row>
    <row r="1056" spans="1:17" ht="15">
      <c r="A1056" s="5" t="str">
        <f t="shared" si="49"/>
        <v/>
      </c>
      <c r="B1056" s="6"/>
      <c r="C1056" s="5" t="str">
        <f>IFERROR(VLOOKUP(B1056,Lists!$A$2:$B$25,2,FALSE),"")</f>
        <v/>
      </c>
      <c r="D1056" s="7"/>
      <c r="E1056" s="6"/>
      <c r="F1056" s="6" t="str">
        <f t="shared" si="50"/>
        <v/>
      </c>
      <c r="G1056" s="6"/>
      <c r="H1056" s="6"/>
      <c r="I1056" s="6"/>
      <c r="J1056" s="7"/>
      <c r="K1056" s="5" t="str" cm="1">
        <f t="array" ref="K1056">IF(OR(A1056="",B1056="",D1056="",E1056=""),"",A1056&amp;"_"&amp;SUBSTITUTE(B1056," ","-")&amp;"_"&amp;D1056&amp;"_"&amp;SUBSTITUTE(SUBSTITUTE(E1056," ",""),"€","Euro")&amp;"_"&amp;IF(F1056="","Unknown",F1056)&amp;IF(F1056="Commemorative",IF(G1056="","","_"&amp;SUBSTITUTE(SUBSTITUTE(SUBSTITUTE(G1056," ","-"),"/","-"),CHAR(39),"")),"")&amp;IF(I1056="Duplicate","_Dub"&amp;IF(SUMPRODUCT(($B$2:B1056=B1056)*($D$2:D1056=D1056)*($E$2:E1056=E1056)*($F$2:F1056=F1056)*($G$2:G1056=G1056)*($I$2:I1056="Duplicate"))&lt;=1,"",SUMPRODUCT(($B$2:B1056=B1056)*($D$2:D1056=D1056)*($E$2:E1056=E1056)*($F$2:F1056=F1056)*($G$2:G1056=G1056)*($I$2:I1056="Duplicate"))-1),"")&amp;".jpeg")</f>
        <v/>
      </c>
      <c r="L1056" s="6"/>
      <c r="M1056" s="5" t="str">
        <f>IFERROR(VLOOKUP(E1056,Specifications!$A$2:$D$9,2,FALSE),"")</f>
        <v/>
      </c>
      <c r="N1056" s="5" t="str">
        <f>IFERROR(VLOOKUP(E1056,Specifications!$A$2:$D$9,3,FALSE),"")</f>
        <v/>
      </c>
      <c r="O1056" s="5" t="str">
        <f>IFERROR(VLOOKUP(E1056,Specifications!$A$2:$D$9,4,FALSE),"")</f>
        <v/>
      </c>
      <c r="P1056" s="8" t="str">
        <f t="shared" si="51"/>
        <v/>
      </c>
      <c r="Q1056" s="9"/>
    </row>
    <row r="1057" spans="1:17" ht="15">
      <c r="A1057" s="5" t="str">
        <f t="shared" si="49"/>
        <v/>
      </c>
      <c r="B1057" s="6"/>
      <c r="C1057" s="5" t="str">
        <f>IFERROR(VLOOKUP(B1057,Lists!$A$2:$B$25,2,FALSE),"")</f>
        <v/>
      </c>
      <c r="D1057" s="7"/>
      <c r="E1057" s="6"/>
      <c r="F1057" s="6" t="str">
        <f t="shared" si="50"/>
        <v/>
      </c>
      <c r="G1057" s="6"/>
      <c r="H1057" s="6"/>
      <c r="I1057" s="6"/>
      <c r="J1057" s="7"/>
      <c r="K1057" s="5" t="str" cm="1">
        <f t="array" ref="K1057">IF(OR(A1057="",B1057="",D1057="",E1057=""),"",A1057&amp;"_"&amp;SUBSTITUTE(B1057," ","-")&amp;"_"&amp;D1057&amp;"_"&amp;SUBSTITUTE(SUBSTITUTE(E1057," ",""),"€","Euro")&amp;"_"&amp;IF(F1057="","Unknown",F1057)&amp;IF(F1057="Commemorative",IF(G1057="","","_"&amp;SUBSTITUTE(SUBSTITUTE(SUBSTITUTE(G1057," ","-"),"/","-"),CHAR(39),"")),"")&amp;IF(I1057="Duplicate","_Dub"&amp;IF(SUMPRODUCT(($B$2:B1057=B1057)*($D$2:D1057=D1057)*($E$2:E1057=E1057)*($F$2:F1057=F1057)*($G$2:G1057=G1057)*($I$2:I1057="Duplicate"))&lt;=1,"",SUMPRODUCT(($B$2:B1057=B1057)*($D$2:D1057=D1057)*($E$2:E1057=E1057)*($F$2:F1057=F1057)*($G$2:G1057=G1057)*($I$2:I1057="Duplicate"))-1),"")&amp;".jpeg")</f>
        <v/>
      </c>
      <c r="L1057" s="6"/>
      <c r="M1057" s="5" t="str">
        <f>IFERROR(VLOOKUP(E1057,Specifications!$A$2:$D$9,2,FALSE),"")</f>
        <v/>
      </c>
      <c r="N1057" s="5" t="str">
        <f>IFERROR(VLOOKUP(E1057,Specifications!$A$2:$D$9,3,FALSE),"")</f>
        <v/>
      </c>
      <c r="O1057" s="5" t="str">
        <f>IFERROR(VLOOKUP(E1057,Specifications!$A$2:$D$9,4,FALSE),"")</f>
        <v/>
      </c>
      <c r="P1057" s="8" t="str">
        <f t="shared" si="51"/>
        <v/>
      </c>
      <c r="Q1057" s="9"/>
    </row>
    <row r="1058" spans="1:17" ht="15">
      <c r="A1058" s="5" t="str">
        <f t="shared" si="49"/>
        <v/>
      </c>
      <c r="B1058" s="6"/>
      <c r="C1058" s="5" t="str">
        <f>IFERROR(VLOOKUP(B1058,Lists!$A$2:$B$25,2,FALSE),"")</f>
        <v/>
      </c>
      <c r="D1058" s="7"/>
      <c r="E1058" s="6"/>
      <c r="F1058" s="6" t="str">
        <f t="shared" si="50"/>
        <v/>
      </c>
      <c r="G1058" s="6"/>
      <c r="H1058" s="6"/>
      <c r="I1058" s="6"/>
      <c r="J1058" s="7"/>
      <c r="K1058" s="5" t="str" cm="1">
        <f t="array" ref="K1058">IF(OR(A1058="",B1058="",D1058="",E1058=""),"",A1058&amp;"_"&amp;SUBSTITUTE(B1058," ","-")&amp;"_"&amp;D1058&amp;"_"&amp;SUBSTITUTE(SUBSTITUTE(E1058," ",""),"€","Euro")&amp;"_"&amp;IF(F1058="","Unknown",F1058)&amp;IF(F1058="Commemorative",IF(G1058="","","_"&amp;SUBSTITUTE(SUBSTITUTE(SUBSTITUTE(G1058," ","-"),"/","-"),CHAR(39),"")),"")&amp;IF(I1058="Duplicate","_Dub"&amp;IF(SUMPRODUCT(($B$2:B1058=B1058)*($D$2:D1058=D1058)*($E$2:E1058=E1058)*($F$2:F1058=F1058)*($G$2:G1058=G1058)*($I$2:I1058="Duplicate"))&lt;=1,"",SUMPRODUCT(($B$2:B1058=B1058)*($D$2:D1058=D1058)*($E$2:E1058=E1058)*($F$2:F1058=F1058)*($G$2:G1058=G1058)*($I$2:I1058="Duplicate"))-1),"")&amp;".jpeg")</f>
        <v/>
      </c>
      <c r="L1058" s="6"/>
      <c r="M1058" s="5" t="str">
        <f>IFERROR(VLOOKUP(E1058,Specifications!$A$2:$D$9,2,FALSE),"")</f>
        <v/>
      </c>
      <c r="N1058" s="5" t="str">
        <f>IFERROR(VLOOKUP(E1058,Specifications!$A$2:$D$9,3,FALSE),"")</f>
        <v/>
      </c>
      <c r="O1058" s="5" t="str">
        <f>IFERROR(VLOOKUP(E1058,Specifications!$A$2:$D$9,4,FALSE),"")</f>
        <v/>
      </c>
      <c r="P1058" s="8" t="str">
        <f t="shared" si="51"/>
        <v/>
      </c>
      <c r="Q1058" s="9"/>
    </row>
    <row r="1059" spans="1:17" ht="15">
      <c r="A1059" s="5" t="str">
        <f t="shared" si="49"/>
        <v/>
      </c>
      <c r="B1059" s="6"/>
      <c r="C1059" s="5" t="str">
        <f>IFERROR(VLOOKUP(B1059,Lists!$A$2:$B$25,2,FALSE),"")</f>
        <v/>
      </c>
      <c r="D1059" s="7"/>
      <c r="E1059" s="6"/>
      <c r="F1059" s="6" t="str">
        <f t="shared" si="50"/>
        <v/>
      </c>
      <c r="G1059" s="6"/>
      <c r="H1059" s="6"/>
      <c r="I1059" s="6"/>
      <c r="J1059" s="7"/>
      <c r="K1059" s="5" t="str" cm="1">
        <f t="array" ref="K1059">IF(OR(A1059="",B1059="",D1059="",E1059=""),"",A1059&amp;"_"&amp;SUBSTITUTE(B1059," ","-")&amp;"_"&amp;D1059&amp;"_"&amp;SUBSTITUTE(SUBSTITUTE(E1059," ",""),"€","Euro")&amp;"_"&amp;IF(F1059="","Unknown",F1059)&amp;IF(F1059="Commemorative",IF(G1059="","","_"&amp;SUBSTITUTE(SUBSTITUTE(SUBSTITUTE(G1059," ","-"),"/","-"),CHAR(39),"")),"")&amp;IF(I1059="Duplicate","_Dub"&amp;IF(SUMPRODUCT(($B$2:B1059=B1059)*($D$2:D1059=D1059)*($E$2:E1059=E1059)*($F$2:F1059=F1059)*($G$2:G1059=G1059)*($I$2:I1059="Duplicate"))&lt;=1,"",SUMPRODUCT(($B$2:B1059=B1059)*($D$2:D1059=D1059)*($E$2:E1059=E1059)*($F$2:F1059=F1059)*($G$2:G1059=G1059)*($I$2:I1059="Duplicate"))-1),"")&amp;".jpeg")</f>
        <v/>
      </c>
      <c r="L1059" s="6"/>
      <c r="M1059" s="5" t="str">
        <f>IFERROR(VLOOKUP(E1059,Specifications!$A$2:$D$9,2,FALSE),"")</f>
        <v/>
      </c>
      <c r="N1059" s="5" t="str">
        <f>IFERROR(VLOOKUP(E1059,Specifications!$A$2:$D$9,3,FALSE),"")</f>
        <v/>
      </c>
      <c r="O1059" s="5" t="str">
        <f>IFERROR(VLOOKUP(E1059,Specifications!$A$2:$D$9,4,FALSE),"")</f>
        <v/>
      </c>
      <c r="P1059" s="8" t="str">
        <f t="shared" si="51"/>
        <v/>
      </c>
      <c r="Q1059" s="9"/>
    </row>
    <row r="1060" spans="1:17" ht="15">
      <c r="A1060" s="5" t="str">
        <f t="shared" si="49"/>
        <v/>
      </c>
      <c r="B1060" s="6"/>
      <c r="C1060" s="5" t="str">
        <f>IFERROR(VLOOKUP(B1060,Lists!$A$2:$B$25,2,FALSE),"")</f>
        <v/>
      </c>
      <c r="D1060" s="7"/>
      <c r="E1060" s="6"/>
      <c r="F1060" s="6" t="str">
        <f t="shared" si="50"/>
        <v/>
      </c>
      <c r="G1060" s="6"/>
      <c r="H1060" s="6"/>
      <c r="I1060" s="6"/>
      <c r="J1060" s="7"/>
      <c r="K1060" s="5" t="str" cm="1">
        <f t="array" ref="K1060">IF(OR(A1060="",B1060="",D1060="",E1060=""),"",A1060&amp;"_"&amp;SUBSTITUTE(B1060," ","-")&amp;"_"&amp;D1060&amp;"_"&amp;SUBSTITUTE(SUBSTITUTE(E1060," ",""),"€","Euro")&amp;"_"&amp;IF(F1060="","Unknown",F1060)&amp;IF(F1060="Commemorative",IF(G1060="","","_"&amp;SUBSTITUTE(SUBSTITUTE(SUBSTITUTE(G1060," ","-"),"/","-"),CHAR(39),"")),"")&amp;IF(I1060="Duplicate","_Dub"&amp;IF(SUMPRODUCT(($B$2:B1060=B1060)*($D$2:D1060=D1060)*($E$2:E1060=E1060)*($F$2:F1060=F1060)*($G$2:G1060=G1060)*($I$2:I1060="Duplicate"))&lt;=1,"",SUMPRODUCT(($B$2:B1060=B1060)*($D$2:D1060=D1060)*($E$2:E1060=E1060)*($F$2:F1060=F1060)*($G$2:G1060=G1060)*($I$2:I1060="Duplicate"))-1),"")&amp;".jpeg")</f>
        <v/>
      </c>
      <c r="L1060" s="6"/>
      <c r="M1060" s="5" t="str">
        <f>IFERROR(VLOOKUP(E1060,Specifications!$A$2:$D$9,2,FALSE),"")</f>
        <v/>
      </c>
      <c r="N1060" s="5" t="str">
        <f>IFERROR(VLOOKUP(E1060,Specifications!$A$2:$D$9,3,FALSE),"")</f>
        <v/>
      </c>
      <c r="O1060" s="5" t="str">
        <f>IFERROR(VLOOKUP(E1060,Specifications!$A$2:$D$9,4,FALSE),"")</f>
        <v/>
      </c>
      <c r="P1060" s="8" t="str">
        <f t="shared" si="51"/>
        <v/>
      </c>
      <c r="Q1060" s="9"/>
    </row>
    <row r="1061" spans="1:17" ht="15">
      <c r="A1061" s="5" t="str">
        <f t="shared" si="49"/>
        <v/>
      </c>
      <c r="B1061" s="6"/>
      <c r="C1061" s="5" t="str">
        <f>IFERROR(VLOOKUP(B1061,Lists!$A$2:$B$25,2,FALSE),"")</f>
        <v/>
      </c>
      <c r="D1061" s="7"/>
      <c r="E1061" s="6"/>
      <c r="F1061" s="6" t="str">
        <f t="shared" si="50"/>
        <v/>
      </c>
      <c r="G1061" s="6"/>
      <c r="H1061" s="6"/>
      <c r="I1061" s="6"/>
      <c r="J1061" s="7"/>
      <c r="K1061" s="5" t="str" cm="1">
        <f t="array" ref="K1061">IF(OR(A1061="",B1061="",D1061="",E1061=""),"",A1061&amp;"_"&amp;SUBSTITUTE(B1061," ","-")&amp;"_"&amp;D1061&amp;"_"&amp;SUBSTITUTE(SUBSTITUTE(E1061," ",""),"€","Euro")&amp;"_"&amp;IF(F1061="","Unknown",F1061)&amp;IF(F1061="Commemorative",IF(G1061="","","_"&amp;SUBSTITUTE(SUBSTITUTE(SUBSTITUTE(G1061," ","-"),"/","-"),CHAR(39),"")),"")&amp;IF(I1061="Duplicate","_Dub"&amp;IF(SUMPRODUCT(($B$2:B1061=B1061)*($D$2:D1061=D1061)*($E$2:E1061=E1061)*($F$2:F1061=F1061)*($G$2:G1061=G1061)*($I$2:I1061="Duplicate"))&lt;=1,"",SUMPRODUCT(($B$2:B1061=B1061)*($D$2:D1061=D1061)*($E$2:E1061=E1061)*($F$2:F1061=F1061)*($G$2:G1061=G1061)*($I$2:I1061="Duplicate"))-1),"")&amp;".jpeg")</f>
        <v/>
      </c>
      <c r="L1061" s="6"/>
      <c r="M1061" s="5" t="str">
        <f>IFERROR(VLOOKUP(E1061,Specifications!$A$2:$D$9,2,FALSE),"")</f>
        <v/>
      </c>
      <c r="N1061" s="5" t="str">
        <f>IFERROR(VLOOKUP(E1061,Specifications!$A$2:$D$9,3,FALSE),"")</f>
        <v/>
      </c>
      <c r="O1061" s="5" t="str">
        <f>IFERROR(VLOOKUP(E1061,Specifications!$A$2:$D$9,4,FALSE),"")</f>
        <v/>
      </c>
      <c r="P1061" s="8" t="str">
        <f t="shared" si="51"/>
        <v/>
      </c>
      <c r="Q1061" s="9"/>
    </row>
    <row r="1062" spans="1:17" ht="15">
      <c r="A1062" s="5" t="str">
        <f t="shared" si="49"/>
        <v/>
      </c>
      <c r="B1062" s="6"/>
      <c r="C1062" s="5" t="str">
        <f>IFERROR(VLOOKUP(B1062,Lists!$A$2:$B$25,2,FALSE),"")</f>
        <v/>
      </c>
      <c r="D1062" s="7"/>
      <c r="E1062" s="6"/>
      <c r="F1062" s="6" t="str">
        <f t="shared" si="50"/>
        <v/>
      </c>
      <c r="G1062" s="6"/>
      <c r="H1062" s="6"/>
      <c r="I1062" s="6"/>
      <c r="J1062" s="7"/>
      <c r="K1062" s="5" t="str" cm="1">
        <f t="array" ref="K1062">IF(OR(A1062="",B1062="",D1062="",E1062=""),"",A1062&amp;"_"&amp;SUBSTITUTE(B1062," ","-")&amp;"_"&amp;D1062&amp;"_"&amp;SUBSTITUTE(SUBSTITUTE(E1062," ",""),"€","Euro")&amp;"_"&amp;IF(F1062="","Unknown",F1062)&amp;IF(F1062="Commemorative",IF(G1062="","","_"&amp;SUBSTITUTE(SUBSTITUTE(SUBSTITUTE(G1062," ","-"),"/","-"),CHAR(39),"")),"")&amp;IF(I1062="Duplicate","_Dub"&amp;IF(SUMPRODUCT(($B$2:B1062=B1062)*($D$2:D1062=D1062)*($E$2:E1062=E1062)*($F$2:F1062=F1062)*($G$2:G1062=G1062)*($I$2:I1062="Duplicate"))&lt;=1,"",SUMPRODUCT(($B$2:B1062=B1062)*($D$2:D1062=D1062)*($E$2:E1062=E1062)*($F$2:F1062=F1062)*($G$2:G1062=G1062)*($I$2:I1062="Duplicate"))-1),"")&amp;".jpeg")</f>
        <v/>
      </c>
      <c r="L1062" s="6"/>
      <c r="M1062" s="5" t="str">
        <f>IFERROR(VLOOKUP(E1062,Specifications!$A$2:$D$9,2,FALSE),"")</f>
        <v/>
      </c>
      <c r="N1062" s="5" t="str">
        <f>IFERROR(VLOOKUP(E1062,Specifications!$A$2:$D$9,3,FALSE),"")</f>
        <v/>
      </c>
      <c r="O1062" s="5" t="str">
        <f>IFERROR(VLOOKUP(E1062,Specifications!$A$2:$D$9,4,FALSE),"")</f>
        <v/>
      </c>
      <c r="P1062" s="8" t="str">
        <f t="shared" si="51"/>
        <v/>
      </c>
      <c r="Q1062" s="9"/>
    </row>
    <row r="1063" spans="1:17" ht="15">
      <c r="A1063" s="5" t="str">
        <f t="shared" si="49"/>
        <v/>
      </c>
      <c r="B1063" s="6"/>
      <c r="C1063" s="5" t="str">
        <f>IFERROR(VLOOKUP(B1063,Lists!$A$2:$B$25,2,FALSE),"")</f>
        <v/>
      </c>
      <c r="D1063" s="7"/>
      <c r="E1063" s="6"/>
      <c r="F1063" s="6" t="str">
        <f t="shared" si="50"/>
        <v/>
      </c>
      <c r="G1063" s="6"/>
      <c r="H1063" s="6"/>
      <c r="I1063" s="6"/>
      <c r="J1063" s="7"/>
      <c r="K1063" s="5" t="str" cm="1">
        <f t="array" ref="K1063">IF(OR(A1063="",B1063="",D1063="",E1063=""),"",A1063&amp;"_"&amp;SUBSTITUTE(B1063," ","-")&amp;"_"&amp;D1063&amp;"_"&amp;SUBSTITUTE(SUBSTITUTE(E1063," ",""),"€","Euro")&amp;"_"&amp;IF(F1063="","Unknown",F1063)&amp;IF(F1063="Commemorative",IF(G1063="","","_"&amp;SUBSTITUTE(SUBSTITUTE(SUBSTITUTE(G1063," ","-"),"/","-"),CHAR(39),"")),"")&amp;IF(I1063="Duplicate","_Dub"&amp;IF(SUMPRODUCT(($B$2:B1063=B1063)*($D$2:D1063=D1063)*($E$2:E1063=E1063)*($F$2:F1063=F1063)*($G$2:G1063=G1063)*($I$2:I1063="Duplicate"))&lt;=1,"",SUMPRODUCT(($B$2:B1063=B1063)*($D$2:D1063=D1063)*($E$2:E1063=E1063)*($F$2:F1063=F1063)*($G$2:G1063=G1063)*($I$2:I1063="Duplicate"))-1),"")&amp;".jpeg")</f>
        <v/>
      </c>
      <c r="L1063" s="6"/>
      <c r="M1063" s="5" t="str">
        <f>IFERROR(VLOOKUP(E1063,Specifications!$A$2:$D$9,2,FALSE),"")</f>
        <v/>
      </c>
      <c r="N1063" s="5" t="str">
        <f>IFERROR(VLOOKUP(E1063,Specifications!$A$2:$D$9,3,FALSE),"")</f>
        <v/>
      </c>
      <c r="O1063" s="5" t="str">
        <f>IFERROR(VLOOKUP(E1063,Specifications!$A$2:$D$9,4,FALSE),"")</f>
        <v/>
      </c>
      <c r="P1063" s="8" t="str">
        <f t="shared" si="51"/>
        <v/>
      </c>
      <c r="Q1063" s="9"/>
    </row>
    <row r="1064" spans="1:17" ht="15">
      <c r="A1064" s="5" t="str">
        <f t="shared" si="49"/>
        <v/>
      </c>
      <c r="B1064" s="6"/>
      <c r="C1064" s="5" t="str">
        <f>IFERROR(VLOOKUP(B1064,Lists!$A$2:$B$25,2,FALSE),"")</f>
        <v/>
      </c>
      <c r="D1064" s="7"/>
      <c r="E1064" s="6"/>
      <c r="F1064" s="6" t="str">
        <f t="shared" si="50"/>
        <v/>
      </c>
      <c r="G1064" s="6"/>
      <c r="H1064" s="6"/>
      <c r="I1064" s="6"/>
      <c r="J1064" s="7"/>
      <c r="K1064" s="5" t="str" cm="1">
        <f t="array" ref="K1064">IF(OR(A1064="",B1064="",D1064="",E1064=""),"",A1064&amp;"_"&amp;SUBSTITUTE(B1064," ","-")&amp;"_"&amp;D1064&amp;"_"&amp;SUBSTITUTE(SUBSTITUTE(E1064," ",""),"€","Euro")&amp;"_"&amp;IF(F1064="","Unknown",F1064)&amp;IF(F1064="Commemorative",IF(G1064="","","_"&amp;SUBSTITUTE(SUBSTITUTE(SUBSTITUTE(G1064," ","-"),"/","-"),CHAR(39),"")),"")&amp;IF(I1064="Duplicate","_Dub"&amp;IF(SUMPRODUCT(($B$2:B1064=B1064)*($D$2:D1064=D1064)*($E$2:E1064=E1064)*($F$2:F1064=F1064)*($G$2:G1064=G1064)*($I$2:I1064="Duplicate"))&lt;=1,"",SUMPRODUCT(($B$2:B1064=B1064)*($D$2:D1064=D1064)*($E$2:E1064=E1064)*($F$2:F1064=F1064)*($G$2:G1064=G1064)*($I$2:I1064="Duplicate"))-1),"")&amp;".jpeg")</f>
        <v/>
      </c>
      <c r="L1064" s="6"/>
      <c r="M1064" s="5" t="str">
        <f>IFERROR(VLOOKUP(E1064,Specifications!$A$2:$D$9,2,FALSE),"")</f>
        <v/>
      </c>
      <c r="N1064" s="5" t="str">
        <f>IFERROR(VLOOKUP(E1064,Specifications!$A$2:$D$9,3,FALSE),"")</f>
        <v/>
      </c>
      <c r="O1064" s="5" t="str">
        <f>IFERROR(VLOOKUP(E1064,Specifications!$A$2:$D$9,4,FALSE),"")</f>
        <v/>
      </c>
      <c r="P1064" s="8" t="str">
        <f t="shared" si="51"/>
        <v/>
      </c>
      <c r="Q1064" s="9"/>
    </row>
    <row r="1065" spans="1:17" ht="15">
      <c r="A1065" s="5" t="str">
        <f t="shared" si="49"/>
        <v/>
      </c>
      <c r="B1065" s="6"/>
      <c r="C1065" s="5" t="str">
        <f>IFERROR(VLOOKUP(B1065,Lists!$A$2:$B$25,2,FALSE),"")</f>
        <v/>
      </c>
      <c r="D1065" s="7"/>
      <c r="E1065" s="6"/>
      <c r="F1065" s="6" t="str">
        <f t="shared" si="50"/>
        <v/>
      </c>
      <c r="G1065" s="6"/>
      <c r="H1065" s="6"/>
      <c r="I1065" s="6"/>
      <c r="J1065" s="7"/>
      <c r="K1065" s="5" t="str" cm="1">
        <f t="array" ref="K1065">IF(OR(A1065="",B1065="",D1065="",E1065=""),"",A1065&amp;"_"&amp;SUBSTITUTE(B1065," ","-")&amp;"_"&amp;D1065&amp;"_"&amp;SUBSTITUTE(SUBSTITUTE(E1065," ",""),"€","Euro")&amp;"_"&amp;IF(F1065="","Unknown",F1065)&amp;IF(F1065="Commemorative",IF(G1065="","","_"&amp;SUBSTITUTE(SUBSTITUTE(SUBSTITUTE(G1065," ","-"),"/","-"),CHAR(39),"")),"")&amp;IF(I1065="Duplicate","_Dub"&amp;IF(SUMPRODUCT(($B$2:B1065=B1065)*($D$2:D1065=D1065)*($E$2:E1065=E1065)*($F$2:F1065=F1065)*($G$2:G1065=G1065)*($I$2:I1065="Duplicate"))&lt;=1,"",SUMPRODUCT(($B$2:B1065=B1065)*($D$2:D1065=D1065)*($E$2:E1065=E1065)*($F$2:F1065=F1065)*($G$2:G1065=G1065)*($I$2:I1065="Duplicate"))-1),"")&amp;".jpeg")</f>
        <v/>
      </c>
      <c r="L1065" s="6"/>
      <c r="M1065" s="5" t="str">
        <f>IFERROR(VLOOKUP(E1065,Specifications!$A$2:$D$9,2,FALSE),"")</f>
        <v/>
      </c>
      <c r="N1065" s="5" t="str">
        <f>IFERROR(VLOOKUP(E1065,Specifications!$A$2:$D$9,3,FALSE),"")</f>
        <v/>
      </c>
      <c r="O1065" s="5" t="str">
        <f>IFERROR(VLOOKUP(E1065,Specifications!$A$2:$D$9,4,FALSE),"")</f>
        <v/>
      </c>
      <c r="P1065" s="8" t="str">
        <f t="shared" si="51"/>
        <v/>
      </c>
      <c r="Q1065" s="9"/>
    </row>
    <row r="1066" spans="1:17" ht="15">
      <c r="A1066" s="5" t="str">
        <f t="shared" si="49"/>
        <v/>
      </c>
      <c r="B1066" s="6"/>
      <c r="C1066" s="5" t="str">
        <f>IFERROR(VLOOKUP(B1066,Lists!$A$2:$B$25,2,FALSE),"")</f>
        <v/>
      </c>
      <c r="D1066" s="7"/>
      <c r="E1066" s="6"/>
      <c r="F1066" s="6" t="str">
        <f t="shared" si="50"/>
        <v/>
      </c>
      <c r="G1066" s="6"/>
      <c r="H1066" s="6"/>
      <c r="I1066" s="6"/>
      <c r="J1066" s="7"/>
      <c r="K1066" s="5" t="str" cm="1">
        <f t="array" ref="K1066">IF(OR(A1066="",B1066="",D1066="",E1066=""),"",A1066&amp;"_"&amp;SUBSTITUTE(B1066," ","-")&amp;"_"&amp;D1066&amp;"_"&amp;SUBSTITUTE(SUBSTITUTE(E1066," ",""),"€","Euro")&amp;"_"&amp;IF(F1066="","Unknown",F1066)&amp;IF(F1066="Commemorative",IF(G1066="","","_"&amp;SUBSTITUTE(SUBSTITUTE(SUBSTITUTE(G1066," ","-"),"/","-"),CHAR(39),"")),"")&amp;IF(I1066="Duplicate","_Dub"&amp;IF(SUMPRODUCT(($B$2:B1066=B1066)*($D$2:D1066=D1066)*($E$2:E1066=E1066)*($F$2:F1066=F1066)*($G$2:G1066=G1066)*($I$2:I1066="Duplicate"))&lt;=1,"",SUMPRODUCT(($B$2:B1066=B1066)*($D$2:D1066=D1066)*($E$2:E1066=E1066)*($F$2:F1066=F1066)*($G$2:G1066=G1066)*($I$2:I1066="Duplicate"))-1),"")&amp;".jpeg")</f>
        <v/>
      </c>
      <c r="L1066" s="6"/>
      <c r="M1066" s="5" t="str">
        <f>IFERROR(VLOOKUP(E1066,Specifications!$A$2:$D$9,2,FALSE),"")</f>
        <v/>
      </c>
      <c r="N1066" s="5" t="str">
        <f>IFERROR(VLOOKUP(E1066,Specifications!$A$2:$D$9,3,FALSE),"")</f>
        <v/>
      </c>
      <c r="O1066" s="5" t="str">
        <f>IFERROR(VLOOKUP(E1066,Specifications!$A$2:$D$9,4,FALSE),"")</f>
        <v/>
      </c>
      <c r="P1066" s="8" t="str">
        <f t="shared" si="51"/>
        <v/>
      </c>
      <c r="Q1066" s="9"/>
    </row>
    <row r="1067" spans="1:17" ht="15">
      <c r="A1067" s="5" t="str">
        <f t="shared" si="49"/>
        <v/>
      </c>
      <c r="B1067" s="6"/>
      <c r="C1067" s="5" t="str">
        <f>IFERROR(VLOOKUP(B1067,Lists!$A$2:$B$25,2,FALSE),"")</f>
        <v/>
      </c>
      <c r="D1067" s="7"/>
      <c r="E1067" s="6"/>
      <c r="F1067" s="6" t="str">
        <f t="shared" si="50"/>
        <v/>
      </c>
      <c r="G1067" s="6"/>
      <c r="H1067" s="6"/>
      <c r="I1067" s="6"/>
      <c r="J1067" s="7"/>
      <c r="K1067" s="5" t="str" cm="1">
        <f t="array" ref="K1067">IF(OR(A1067="",B1067="",D1067="",E1067=""),"",A1067&amp;"_"&amp;SUBSTITUTE(B1067," ","-")&amp;"_"&amp;D1067&amp;"_"&amp;SUBSTITUTE(SUBSTITUTE(E1067," ",""),"€","Euro")&amp;"_"&amp;IF(F1067="","Unknown",F1067)&amp;IF(F1067="Commemorative",IF(G1067="","","_"&amp;SUBSTITUTE(SUBSTITUTE(SUBSTITUTE(G1067," ","-"),"/","-"),CHAR(39),"")),"")&amp;IF(I1067="Duplicate","_Dub"&amp;IF(SUMPRODUCT(($B$2:B1067=B1067)*($D$2:D1067=D1067)*($E$2:E1067=E1067)*($F$2:F1067=F1067)*($G$2:G1067=G1067)*($I$2:I1067="Duplicate"))&lt;=1,"",SUMPRODUCT(($B$2:B1067=B1067)*($D$2:D1067=D1067)*($E$2:E1067=E1067)*($F$2:F1067=F1067)*($G$2:G1067=G1067)*($I$2:I1067="Duplicate"))-1),"")&amp;".jpeg")</f>
        <v/>
      </c>
      <c r="L1067" s="6"/>
      <c r="M1067" s="5" t="str">
        <f>IFERROR(VLOOKUP(E1067,Specifications!$A$2:$D$9,2,FALSE),"")</f>
        <v/>
      </c>
      <c r="N1067" s="5" t="str">
        <f>IFERROR(VLOOKUP(E1067,Specifications!$A$2:$D$9,3,FALSE),"")</f>
        <v/>
      </c>
      <c r="O1067" s="5" t="str">
        <f>IFERROR(VLOOKUP(E1067,Specifications!$A$2:$D$9,4,FALSE),"")</f>
        <v/>
      </c>
      <c r="P1067" s="8" t="str">
        <f t="shared" si="51"/>
        <v/>
      </c>
      <c r="Q1067" s="9"/>
    </row>
    <row r="1068" spans="1:17" ht="15">
      <c r="A1068" s="5" t="str">
        <f t="shared" si="49"/>
        <v/>
      </c>
      <c r="B1068" s="6"/>
      <c r="C1068" s="5" t="str">
        <f>IFERROR(VLOOKUP(B1068,Lists!$A$2:$B$25,2,FALSE),"")</f>
        <v/>
      </c>
      <c r="D1068" s="7"/>
      <c r="E1068" s="6"/>
      <c r="F1068" s="6" t="str">
        <f t="shared" si="50"/>
        <v/>
      </c>
      <c r="G1068" s="6"/>
      <c r="H1068" s="6"/>
      <c r="I1068" s="6"/>
      <c r="J1068" s="7"/>
      <c r="K1068" s="5" t="str" cm="1">
        <f t="array" ref="K1068">IF(OR(A1068="",B1068="",D1068="",E1068=""),"",A1068&amp;"_"&amp;SUBSTITUTE(B1068," ","-")&amp;"_"&amp;D1068&amp;"_"&amp;SUBSTITUTE(SUBSTITUTE(E1068," ",""),"€","Euro")&amp;"_"&amp;IF(F1068="","Unknown",F1068)&amp;IF(F1068="Commemorative",IF(G1068="","","_"&amp;SUBSTITUTE(SUBSTITUTE(SUBSTITUTE(G1068," ","-"),"/","-"),CHAR(39),"")),"")&amp;IF(I1068="Duplicate","_Dub"&amp;IF(SUMPRODUCT(($B$2:B1068=B1068)*($D$2:D1068=D1068)*($E$2:E1068=E1068)*($F$2:F1068=F1068)*($G$2:G1068=G1068)*($I$2:I1068="Duplicate"))&lt;=1,"",SUMPRODUCT(($B$2:B1068=B1068)*($D$2:D1068=D1068)*($E$2:E1068=E1068)*($F$2:F1068=F1068)*($G$2:G1068=G1068)*($I$2:I1068="Duplicate"))-1),"")&amp;".jpeg")</f>
        <v/>
      </c>
      <c r="L1068" s="6"/>
      <c r="M1068" s="5" t="str">
        <f>IFERROR(VLOOKUP(E1068,Specifications!$A$2:$D$9,2,FALSE),"")</f>
        <v/>
      </c>
      <c r="N1068" s="5" t="str">
        <f>IFERROR(VLOOKUP(E1068,Specifications!$A$2:$D$9,3,FALSE),"")</f>
        <v/>
      </c>
      <c r="O1068" s="5" t="str">
        <f>IFERROR(VLOOKUP(E1068,Specifications!$A$2:$D$9,4,FALSE),"")</f>
        <v/>
      </c>
      <c r="P1068" s="8" t="str">
        <f t="shared" si="51"/>
        <v/>
      </c>
      <c r="Q1068" s="9"/>
    </row>
    <row r="1069" spans="1:17" ht="15">
      <c r="A1069" s="5" t="str">
        <f t="shared" si="49"/>
        <v/>
      </c>
      <c r="B1069" s="6"/>
      <c r="C1069" s="5" t="str">
        <f>IFERROR(VLOOKUP(B1069,Lists!$A$2:$B$25,2,FALSE),"")</f>
        <v/>
      </c>
      <c r="D1069" s="7"/>
      <c r="E1069" s="6"/>
      <c r="F1069" s="6" t="str">
        <f t="shared" si="50"/>
        <v/>
      </c>
      <c r="G1069" s="6"/>
      <c r="H1069" s="6"/>
      <c r="I1069" s="6"/>
      <c r="J1069" s="7"/>
      <c r="K1069" s="5" t="str" cm="1">
        <f t="array" ref="K1069">IF(OR(A1069="",B1069="",D1069="",E1069=""),"",A1069&amp;"_"&amp;SUBSTITUTE(B1069," ","-")&amp;"_"&amp;D1069&amp;"_"&amp;SUBSTITUTE(SUBSTITUTE(E1069," ",""),"€","Euro")&amp;"_"&amp;IF(F1069="","Unknown",F1069)&amp;IF(F1069="Commemorative",IF(G1069="","","_"&amp;SUBSTITUTE(SUBSTITUTE(SUBSTITUTE(G1069," ","-"),"/","-"),CHAR(39),"")),"")&amp;IF(I1069="Duplicate","_Dub"&amp;IF(SUMPRODUCT(($B$2:B1069=B1069)*($D$2:D1069=D1069)*($E$2:E1069=E1069)*($F$2:F1069=F1069)*($G$2:G1069=G1069)*($I$2:I1069="Duplicate"))&lt;=1,"",SUMPRODUCT(($B$2:B1069=B1069)*($D$2:D1069=D1069)*($E$2:E1069=E1069)*($F$2:F1069=F1069)*($G$2:G1069=G1069)*($I$2:I1069="Duplicate"))-1),"")&amp;".jpeg")</f>
        <v/>
      </c>
      <c r="L1069" s="6"/>
      <c r="M1069" s="5" t="str">
        <f>IFERROR(VLOOKUP(E1069,Specifications!$A$2:$D$9,2,FALSE),"")</f>
        <v/>
      </c>
      <c r="N1069" s="5" t="str">
        <f>IFERROR(VLOOKUP(E1069,Specifications!$A$2:$D$9,3,FALSE),"")</f>
        <v/>
      </c>
      <c r="O1069" s="5" t="str">
        <f>IFERROR(VLOOKUP(E1069,Specifications!$A$2:$D$9,4,FALSE),"")</f>
        <v/>
      </c>
      <c r="P1069" s="8" t="str">
        <f t="shared" si="51"/>
        <v/>
      </c>
      <c r="Q1069" s="9"/>
    </row>
    <row r="1070" spans="1:17" ht="15">
      <c r="A1070" s="5" t="str">
        <f t="shared" si="49"/>
        <v/>
      </c>
      <c r="B1070" s="6"/>
      <c r="C1070" s="5" t="str">
        <f>IFERROR(VLOOKUP(B1070,Lists!$A$2:$B$25,2,FALSE),"")</f>
        <v/>
      </c>
      <c r="D1070" s="7"/>
      <c r="E1070" s="6"/>
      <c r="F1070" s="6" t="str">
        <f t="shared" si="50"/>
        <v/>
      </c>
      <c r="G1070" s="6"/>
      <c r="H1070" s="6"/>
      <c r="I1070" s="6"/>
      <c r="J1070" s="7"/>
      <c r="K1070" s="5" t="str" cm="1">
        <f t="array" ref="K1070">IF(OR(A1070="",B1070="",D1070="",E1070=""),"",A1070&amp;"_"&amp;SUBSTITUTE(B1070," ","-")&amp;"_"&amp;D1070&amp;"_"&amp;SUBSTITUTE(SUBSTITUTE(E1070," ",""),"€","Euro")&amp;"_"&amp;IF(F1070="","Unknown",F1070)&amp;IF(F1070="Commemorative",IF(G1070="","","_"&amp;SUBSTITUTE(SUBSTITUTE(SUBSTITUTE(G1070," ","-"),"/","-"),CHAR(39),"")),"")&amp;IF(I1070="Duplicate","_Dub"&amp;IF(SUMPRODUCT(($B$2:B1070=B1070)*($D$2:D1070=D1070)*($E$2:E1070=E1070)*($F$2:F1070=F1070)*($G$2:G1070=G1070)*($I$2:I1070="Duplicate"))&lt;=1,"",SUMPRODUCT(($B$2:B1070=B1070)*($D$2:D1070=D1070)*($E$2:E1070=E1070)*($F$2:F1070=F1070)*($G$2:G1070=G1070)*($I$2:I1070="Duplicate"))-1),"")&amp;".jpeg")</f>
        <v/>
      </c>
      <c r="L1070" s="6"/>
      <c r="M1070" s="5" t="str">
        <f>IFERROR(VLOOKUP(E1070,Specifications!$A$2:$D$9,2,FALSE),"")</f>
        <v/>
      </c>
      <c r="N1070" s="5" t="str">
        <f>IFERROR(VLOOKUP(E1070,Specifications!$A$2:$D$9,3,FALSE),"")</f>
        <v/>
      </c>
      <c r="O1070" s="5" t="str">
        <f>IFERROR(VLOOKUP(E1070,Specifications!$A$2:$D$9,4,FALSE),"")</f>
        <v/>
      </c>
      <c r="P1070" s="8" t="str">
        <f t="shared" si="51"/>
        <v/>
      </c>
      <c r="Q1070" s="9"/>
    </row>
    <row r="1071" spans="1:17" ht="15">
      <c r="A1071" s="5" t="str">
        <f t="shared" si="49"/>
        <v/>
      </c>
      <c r="B1071" s="6"/>
      <c r="C1071" s="5" t="str">
        <f>IFERROR(VLOOKUP(B1071,Lists!$A$2:$B$25,2,FALSE),"")</f>
        <v/>
      </c>
      <c r="D1071" s="7"/>
      <c r="E1071" s="6"/>
      <c r="F1071" s="6" t="str">
        <f t="shared" si="50"/>
        <v/>
      </c>
      <c r="G1071" s="6"/>
      <c r="H1071" s="6"/>
      <c r="I1071" s="6"/>
      <c r="J1071" s="7"/>
      <c r="K1071" s="5" t="str" cm="1">
        <f t="array" ref="K1071">IF(OR(A1071="",B1071="",D1071="",E1071=""),"",A1071&amp;"_"&amp;SUBSTITUTE(B1071," ","-")&amp;"_"&amp;D1071&amp;"_"&amp;SUBSTITUTE(SUBSTITUTE(E1071," ",""),"€","Euro")&amp;"_"&amp;IF(F1071="","Unknown",F1071)&amp;IF(F1071="Commemorative",IF(G1071="","","_"&amp;SUBSTITUTE(SUBSTITUTE(SUBSTITUTE(G1071," ","-"),"/","-"),CHAR(39),"")),"")&amp;IF(I1071="Duplicate","_Dub"&amp;IF(SUMPRODUCT(($B$2:B1071=B1071)*($D$2:D1071=D1071)*($E$2:E1071=E1071)*($F$2:F1071=F1071)*($G$2:G1071=G1071)*($I$2:I1071="Duplicate"))&lt;=1,"",SUMPRODUCT(($B$2:B1071=B1071)*($D$2:D1071=D1071)*($E$2:E1071=E1071)*($F$2:F1071=F1071)*($G$2:G1071=G1071)*($I$2:I1071="Duplicate"))-1),"")&amp;".jpeg")</f>
        <v/>
      </c>
      <c r="L1071" s="6"/>
      <c r="M1071" s="5" t="str">
        <f>IFERROR(VLOOKUP(E1071,Specifications!$A$2:$D$9,2,FALSE),"")</f>
        <v/>
      </c>
      <c r="N1071" s="5" t="str">
        <f>IFERROR(VLOOKUP(E1071,Specifications!$A$2:$D$9,3,FALSE),"")</f>
        <v/>
      </c>
      <c r="O1071" s="5" t="str">
        <f>IFERROR(VLOOKUP(E1071,Specifications!$A$2:$D$9,4,FALSE),"")</f>
        <v/>
      </c>
      <c r="P1071" s="8" t="str">
        <f t="shared" si="51"/>
        <v/>
      </c>
      <c r="Q1071" s="9"/>
    </row>
    <row r="1072" spans="1:17" ht="15">
      <c r="A1072" s="5" t="str">
        <f t="shared" si="49"/>
        <v/>
      </c>
      <c r="B1072" s="6"/>
      <c r="C1072" s="5" t="str">
        <f>IFERROR(VLOOKUP(B1072,Lists!$A$2:$B$25,2,FALSE),"")</f>
        <v/>
      </c>
      <c r="D1072" s="7"/>
      <c r="E1072" s="6"/>
      <c r="F1072" s="6" t="str">
        <f t="shared" si="50"/>
        <v/>
      </c>
      <c r="G1072" s="6"/>
      <c r="H1072" s="6"/>
      <c r="I1072" s="6"/>
      <c r="J1072" s="7"/>
      <c r="K1072" s="5" t="str" cm="1">
        <f t="array" ref="K1072">IF(OR(A1072="",B1072="",D1072="",E1072=""),"",A1072&amp;"_"&amp;SUBSTITUTE(B1072," ","-")&amp;"_"&amp;D1072&amp;"_"&amp;SUBSTITUTE(SUBSTITUTE(E1072," ",""),"€","Euro")&amp;"_"&amp;IF(F1072="","Unknown",F1072)&amp;IF(F1072="Commemorative",IF(G1072="","","_"&amp;SUBSTITUTE(SUBSTITUTE(SUBSTITUTE(G1072," ","-"),"/","-"),CHAR(39),"")),"")&amp;IF(I1072="Duplicate","_Dub"&amp;IF(SUMPRODUCT(($B$2:B1072=B1072)*($D$2:D1072=D1072)*($E$2:E1072=E1072)*($F$2:F1072=F1072)*($G$2:G1072=G1072)*($I$2:I1072="Duplicate"))&lt;=1,"",SUMPRODUCT(($B$2:B1072=B1072)*($D$2:D1072=D1072)*($E$2:E1072=E1072)*($F$2:F1072=F1072)*($G$2:G1072=G1072)*($I$2:I1072="Duplicate"))-1),"")&amp;".jpeg")</f>
        <v/>
      </c>
      <c r="L1072" s="6"/>
      <c r="M1072" s="5" t="str">
        <f>IFERROR(VLOOKUP(E1072,Specifications!$A$2:$D$9,2,FALSE),"")</f>
        <v/>
      </c>
      <c r="N1072" s="5" t="str">
        <f>IFERROR(VLOOKUP(E1072,Specifications!$A$2:$D$9,3,FALSE),"")</f>
        <v/>
      </c>
      <c r="O1072" s="5" t="str">
        <f>IFERROR(VLOOKUP(E1072,Specifications!$A$2:$D$9,4,FALSE),"")</f>
        <v/>
      </c>
      <c r="P1072" s="8" t="str">
        <f t="shared" si="51"/>
        <v/>
      </c>
      <c r="Q1072" s="9"/>
    </row>
    <row r="1073" spans="1:17" ht="15">
      <c r="A1073" s="5" t="str">
        <f t="shared" si="49"/>
        <v/>
      </c>
      <c r="B1073" s="6"/>
      <c r="C1073" s="5" t="str">
        <f>IFERROR(VLOOKUP(B1073,Lists!$A$2:$B$25,2,FALSE),"")</f>
        <v/>
      </c>
      <c r="D1073" s="7"/>
      <c r="E1073" s="6"/>
      <c r="F1073" s="6" t="str">
        <f t="shared" si="50"/>
        <v/>
      </c>
      <c r="G1073" s="6"/>
      <c r="H1073" s="6"/>
      <c r="I1073" s="6"/>
      <c r="J1073" s="7"/>
      <c r="K1073" s="5" t="str" cm="1">
        <f t="array" ref="K1073">IF(OR(A1073="",B1073="",D1073="",E1073=""),"",A1073&amp;"_"&amp;SUBSTITUTE(B1073," ","-")&amp;"_"&amp;D1073&amp;"_"&amp;SUBSTITUTE(SUBSTITUTE(E1073," ",""),"€","Euro")&amp;"_"&amp;IF(F1073="","Unknown",F1073)&amp;IF(F1073="Commemorative",IF(G1073="","","_"&amp;SUBSTITUTE(SUBSTITUTE(SUBSTITUTE(G1073," ","-"),"/","-"),CHAR(39),"")),"")&amp;IF(I1073="Duplicate","_Dub"&amp;IF(SUMPRODUCT(($B$2:B1073=B1073)*($D$2:D1073=D1073)*($E$2:E1073=E1073)*($F$2:F1073=F1073)*($G$2:G1073=G1073)*($I$2:I1073="Duplicate"))&lt;=1,"",SUMPRODUCT(($B$2:B1073=B1073)*($D$2:D1073=D1073)*($E$2:E1073=E1073)*($F$2:F1073=F1073)*($G$2:G1073=G1073)*($I$2:I1073="Duplicate"))-1),"")&amp;".jpeg")</f>
        <v/>
      </c>
      <c r="L1073" s="6"/>
      <c r="M1073" s="5" t="str">
        <f>IFERROR(VLOOKUP(E1073,Specifications!$A$2:$D$9,2,FALSE),"")</f>
        <v/>
      </c>
      <c r="N1073" s="5" t="str">
        <f>IFERROR(VLOOKUP(E1073,Specifications!$A$2:$D$9,3,FALSE),"")</f>
        <v/>
      </c>
      <c r="O1073" s="5" t="str">
        <f>IFERROR(VLOOKUP(E1073,Specifications!$A$2:$D$9,4,FALSE),"")</f>
        <v/>
      </c>
      <c r="P1073" s="8" t="str">
        <f t="shared" si="51"/>
        <v/>
      </c>
      <c r="Q1073" s="9"/>
    </row>
    <row r="1074" spans="1:17" ht="15">
      <c r="A1074" s="5" t="str">
        <f t="shared" si="49"/>
        <v/>
      </c>
      <c r="B1074" s="6"/>
      <c r="C1074" s="5" t="str">
        <f>IFERROR(VLOOKUP(B1074,Lists!$A$2:$B$25,2,FALSE),"")</f>
        <v/>
      </c>
      <c r="D1074" s="7"/>
      <c r="E1074" s="6"/>
      <c r="F1074" s="6" t="str">
        <f t="shared" si="50"/>
        <v/>
      </c>
      <c r="G1074" s="6"/>
      <c r="H1074" s="6"/>
      <c r="I1074" s="6"/>
      <c r="J1074" s="7"/>
      <c r="K1074" s="5" t="str" cm="1">
        <f t="array" ref="K1074">IF(OR(A1074="",B1074="",D1074="",E1074=""),"",A1074&amp;"_"&amp;SUBSTITUTE(B1074," ","-")&amp;"_"&amp;D1074&amp;"_"&amp;SUBSTITUTE(SUBSTITUTE(E1074," ",""),"€","Euro")&amp;"_"&amp;IF(F1074="","Unknown",F1074)&amp;IF(F1074="Commemorative",IF(G1074="","","_"&amp;SUBSTITUTE(SUBSTITUTE(SUBSTITUTE(G1074," ","-"),"/","-"),CHAR(39),"")),"")&amp;IF(I1074="Duplicate","_Dub"&amp;IF(SUMPRODUCT(($B$2:B1074=B1074)*($D$2:D1074=D1074)*($E$2:E1074=E1074)*($F$2:F1074=F1074)*($G$2:G1074=G1074)*($I$2:I1074="Duplicate"))&lt;=1,"",SUMPRODUCT(($B$2:B1074=B1074)*($D$2:D1074=D1074)*($E$2:E1074=E1074)*($F$2:F1074=F1074)*($G$2:G1074=G1074)*($I$2:I1074="Duplicate"))-1),"")&amp;".jpeg")</f>
        <v/>
      </c>
      <c r="L1074" s="6"/>
      <c r="M1074" s="5" t="str">
        <f>IFERROR(VLOOKUP(E1074,Specifications!$A$2:$D$9,2,FALSE),"")</f>
        <v/>
      </c>
      <c r="N1074" s="5" t="str">
        <f>IFERROR(VLOOKUP(E1074,Specifications!$A$2:$D$9,3,FALSE),"")</f>
        <v/>
      </c>
      <c r="O1074" s="5" t="str">
        <f>IFERROR(VLOOKUP(E1074,Specifications!$A$2:$D$9,4,FALSE),"")</f>
        <v/>
      </c>
      <c r="P1074" s="8" t="str">
        <f t="shared" si="51"/>
        <v/>
      </c>
      <c r="Q1074" s="9"/>
    </row>
    <row r="1075" spans="1:17" ht="15">
      <c r="A1075" s="5" t="str">
        <f t="shared" si="49"/>
        <v/>
      </c>
      <c r="B1075" s="6"/>
      <c r="C1075" s="5" t="str">
        <f>IFERROR(VLOOKUP(B1075,Lists!$A$2:$B$25,2,FALSE),"")</f>
        <v/>
      </c>
      <c r="D1075" s="7"/>
      <c r="E1075" s="6"/>
      <c r="F1075" s="6" t="str">
        <f t="shared" si="50"/>
        <v/>
      </c>
      <c r="G1075" s="6"/>
      <c r="H1075" s="6"/>
      <c r="I1075" s="6"/>
      <c r="J1075" s="7"/>
      <c r="K1075" s="5" t="str" cm="1">
        <f t="array" ref="K1075">IF(OR(A1075="",B1075="",D1075="",E1075=""),"",A1075&amp;"_"&amp;SUBSTITUTE(B1075," ","-")&amp;"_"&amp;D1075&amp;"_"&amp;SUBSTITUTE(SUBSTITUTE(E1075," ",""),"€","Euro")&amp;"_"&amp;IF(F1075="","Unknown",F1075)&amp;IF(F1075="Commemorative",IF(G1075="","","_"&amp;SUBSTITUTE(SUBSTITUTE(SUBSTITUTE(G1075," ","-"),"/","-"),CHAR(39),"")),"")&amp;IF(I1075="Duplicate","_Dub"&amp;IF(SUMPRODUCT(($B$2:B1075=B1075)*($D$2:D1075=D1075)*($E$2:E1075=E1075)*($F$2:F1075=F1075)*($G$2:G1075=G1075)*($I$2:I1075="Duplicate"))&lt;=1,"",SUMPRODUCT(($B$2:B1075=B1075)*($D$2:D1075=D1075)*($E$2:E1075=E1075)*($F$2:F1075=F1075)*($G$2:G1075=G1075)*($I$2:I1075="Duplicate"))-1),"")&amp;".jpeg")</f>
        <v/>
      </c>
      <c r="L1075" s="6"/>
      <c r="M1075" s="5" t="str">
        <f>IFERROR(VLOOKUP(E1075,Specifications!$A$2:$D$9,2,FALSE),"")</f>
        <v/>
      </c>
      <c r="N1075" s="5" t="str">
        <f>IFERROR(VLOOKUP(E1075,Specifications!$A$2:$D$9,3,FALSE),"")</f>
        <v/>
      </c>
      <c r="O1075" s="5" t="str">
        <f>IFERROR(VLOOKUP(E1075,Specifications!$A$2:$D$9,4,FALSE),"")</f>
        <v/>
      </c>
      <c r="P1075" s="8" t="str">
        <f t="shared" si="51"/>
        <v/>
      </c>
      <c r="Q1075" s="9"/>
    </row>
    <row r="1076" spans="1:17" ht="15">
      <c r="A1076" s="5" t="str">
        <f t="shared" si="49"/>
        <v/>
      </c>
      <c r="B1076" s="6"/>
      <c r="C1076" s="5" t="str">
        <f>IFERROR(VLOOKUP(B1076,Lists!$A$2:$B$25,2,FALSE),"")</f>
        <v/>
      </c>
      <c r="D1076" s="7"/>
      <c r="E1076" s="6"/>
      <c r="F1076" s="6" t="str">
        <f t="shared" si="50"/>
        <v/>
      </c>
      <c r="G1076" s="6"/>
      <c r="H1076" s="6"/>
      <c r="I1076" s="6"/>
      <c r="J1076" s="7"/>
      <c r="K1076" s="5" t="str" cm="1">
        <f t="array" ref="K1076">IF(OR(A1076="",B1076="",D1076="",E1076=""),"",A1076&amp;"_"&amp;SUBSTITUTE(B1076," ","-")&amp;"_"&amp;D1076&amp;"_"&amp;SUBSTITUTE(SUBSTITUTE(E1076," ",""),"€","Euro")&amp;"_"&amp;IF(F1076="","Unknown",F1076)&amp;IF(F1076="Commemorative",IF(G1076="","","_"&amp;SUBSTITUTE(SUBSTITUTE(SUBSTITUTE(G1076," ","-"),"/","-"),CHAR(39),"")),"")&amp;IF(I1076="Duplicate","_Dub"&amp;IF(SUMPRODUCT(($B$2:B1076=B1076)*($D$2:D1076=D1076)*($E$2:E1076=E1076)*($F$2:F1076=F1076)*($G$2:G1076=G1076)*($I$2:I1076="Duplicate"))&lt;=1,"",SUMPRODUCT(($B$2:B1076=B1076)*($D$2:D1076=D1076)*($E$2:E1076=E1076)*($F$2:F1076=F1076)*($G$2:G1076=G1076)*($I$2:I1076="Duplicate"))-1),"")&amp;".jpeg")</f>
        <v/>
      </c>
      <c r="L1076" s="6"/>
      <c r="M1076" s="5" t="str">
        <f>IFERROR(VLOOKUP(E1076,Specifications!$A$2:$D$9,2,FALSE),"")</f>
        <v/>
      </c>
      <c r="N1076" s="5" t="str">
        <f>IFERROR(VLOOKUP(E1076,Specifications!$A$2:$D$9,3,FALSE),"")</f>
        <v/>
      </c>
      <c r="O1076" s="5" t="str">
        <f>IFERROR(VLOOKUP(E1076,Specifications!$A$2:$D$9,4,FALSE),"")</f>
        <v/>
      </c>
      <c r="P1076" s="8" t="str">
        <f t="shared" si="51"/>
        <v/>
      </c>
      <c r="Q1076" s="9"/>
    </row>
    <row r="1077" spans="1:17" ht="15">
      <c r="A1077" s="5" t="str">
        <f t="shared" si="49"/>
        <v/>
      </c>
      <c r="B1077" s="6"/>
      <c r="C1077" s="5" t="str">
        <f>IFERROR(VLOOKUP(B1077,Lists!$A$2:$B$25,2,FALSE),"")</f>
        <v/>
      </c>
      <c r="D1077" s="7"/>
      <c r="E1077" s="6"/>
      <c r="F1077" s="6" t="str">
        <f t="shared" si="50"/>
        <v/>
      </c>
      <c r="G1077" s="6"/>
      <c r="H1077" s="6"/>
      <c r="I1077" s="6"/>
      <c r="J1077" s="7"/>
      <c r="K1077" s="5" t="str" cm="1">
        <f t="array" ref="K1077">IF(OR(A1077="",B1077="",D1077="",E1077=""),"",A1077&amp;"_"&amp;SUBSTITUTE(B1077," ","-")&amp;"_"&amp;D1077&amp;"_"&amp;SUBSTITUTE(SUBSTITUTE(E1077," ",""),"€","Euro")&amp;"_"&amp;IF(F1077="","Unknown",F1077)&amp;IF(F1077="Commemorative",IF(G1077="","","_"&amp;SUBSTITUTE(SUBSTITUTE(SUBSTITUTE(G1077," ","-"),"/","-"),CHAR(39),"")),"")&amp;IF(I1077="Duplicate","_Dub"&amp;IF(SUMPRODUCT(($B$2:B1077=B1077)*($D$2:D1077=D1077)*($E$2:E1077=E1077)*($F$2:F1077=F1077)*($G$2:G1077=G1077)*($I$2:I1077="Duplicate"))&lt;=1,"",SUMPRODUCT(($B$2:B1077=B1077)*($D$2:D1077=D1077)*($E$2:E1077=E1077)*($F$2:F1077=F1077)*($G$2:G1077=G1077)*($I$2:I1077="Duplicate"))-1),"")&amp;".jpeg")</f>
        <v/>
      </c>
      <c r="L1077" s="6"/>
      <c r="M1077" s="5" t="str">
        <f>IFERROR(VLOOKUP(E1077,Specifications!$A$2:$D$9,2,FALSE),"")</f>
        <v/>
      </c>
      <c r="N1077" s="5" t="str">
        <f>IFERROR(VLOOKUP(E1077,Specifications!$A$2:$D$9,3,FALSE),"")</f>
        <v/>
      </c>
      <c r="O1077" s="5" t="str">
        <f>IFERROR(VLOOKUP(E1077,Specifications!$A$2:$D$9,4,FALSE),"")</f>
        <v/>
      </c>
      <c r="P1077" s="8" t="str">
        <f t="shared" si="51"/>
        <v/>
      </c>
      <c r="Q1077" s="9"/>
    </row>
    <row r="1078" spans="1:17" ht="15">
      <c r="A1078" s="5" t="str">
        <f t="shared" si="49"/>
        <v/>
      </c>
      <c r="B1078" s="6"/>
      <c r="C1078" s="5" t="str">
        <f>IFERROR(VLOOKUP(B1078,Lists!$A$2:$B$25,2,FALSE),"")</f>
        <v/>
      </c>
      <c r="D1078" s="7"/>
      <c r="E1078" s="6"/>
      <c r="F1078" s="6" t="str">
        <f t="shared" si="50"/>
        <v/>
      </c>
      <c r="G1078" s="6"/>
      <c r="H1078" s="6"/>
      <c r="I1078" s="6"/>
      <c r="J1078" s="7"/>
      <c r="K1078" s="5" t="str" cm="1">
        <f t="array" ref="K1078">IF(OR(A1078="",B1078="",D1078="",E1078=""),"",A1078&amp;"_"&amp;SUBSTITUTE(B1078," ","-")&amp;"_"&amp;D1078&amp;"_"&amp;SUBSTITUTE(SUBSTITUTE(E1078," ",""),"€","Euro")&amp;"_"&amp;IF(F1078="","Unknown",F1078)&amp;IF(F1078="Commemorative",IF(G1078="","","_"&amp;SUBSTITUTE(SUBSTITUTE(SUBSTITUTE(G1078," ","-"),"/","-"),CHAR(39),"")),"")&amp;IF(I1078="Duplicate","_Dub"&amp;IF(SUMPRODUCT(($B$2:B1078=B1078)*($D$2:D1078=D1078)*($E$2:E1078=E1078)*($F$2:F1078=F1078)*($G$2:G1078=G1078)*($I$2:I1078="Duplicate"))&lt;=1,"",SUMPRODUCT(($B$2:B1078=B1078)*($D$2:D1078=D1078)*($E$2:E1078=E1078)*($F$2:F1078=F1078)*($G$2:G1078=G1078)*($I$2:I1078="Duplicate"))-1),"")&amp;".jpeg")</f>
        <v/>
      </c>
      <c r="L1078" s="6"/>
      <c r="M1078" s="5" t="str">
        <f>IFERROR(VLOOKUP(E1078,Specifications!$A$2:$D$9,2,FALSE),"")</f>
        <v/>
      </c>
      <c r="N1078" s="5" t="str">
        <f>IFERROR(VLOOKUP(E1078,Specifications!$A$2:$D$9,3,FALSE),"")</f>
        <v/>
      </c>
      <c r="O1078" s="5" t="str">
        <f>IFERROR(VLOOKUP(E1078,Specifications!$A$2:$D$9,4,FALSE),"")</f>
        <v/>
      </c>
      <c r="P1078" s="8" t="str">
        <f t="shared" si="51"/>
        <v/>
      </c>
      <c r="Q1078" s="9"/>
    </row>
    <row r="1079" spans="1:17" ht="15">
      <c r="A1079" s="5" t="str">
        <f t="shared" si="49"/>
        <v/>
      </c>
      <c r="B1079" s="6"/>
      <c r="C1079" s="5" t="str">
        <f>IFERROR(VLOOKUP(B1079,Lists!$A$2:$B$25,2,FALSE),"")</f>
        <v/>
      </c>
      <c r="D1079" s="7"/>
      <c r="E1079" s="6"/>
      <c r="F1079" s="6" t="str">
        <f t="shared" si="50"/>
        <v/>
      </c>
      <c r="G1079" s="6"/>
      <c r="H1079" s="6"/>
      <c r="I1079" s="6"/>
      <c r="J1079" s="7"/>
      <c r="K1079" s="5" t="str" cm="1">
        <f t="array" ref="K1079">IF(OR(A1079="",B1079="",D1079="",E1079=""),"",A1079&amp;"_"&amp;SUBSTITUTE(B1079," ","-")&amp;"_"&amp;D1079&amp;"_"&amp;SUBSTITUTE(SUBSTITUTE(E1079," ",""),"€","Euro")&amp;"_"&amp;IF(F1079="","Unknown",F1079)&amp;IF(F1079="Commemorative",IF(G1079="","","_"&amp;SUBSTITUTE(SUBSTITUTE(SUBSTITUTE(G1079," ","-"),"/","-"),CHAR(39),"")),"")&amp;IF(I1079="Duplicate","_Dub"&amp;IF(SUMPRODUCT(($B$2:B1079=B1079)*($D$2:D1079=D1079)*($E$2:E1079=E1079)*($F$2:F1079=F1079)*($G$2:G1079=G1079)*($I$2:I1079="Duplicate"))&lt;=1,"",SUMPRODUCT(($B$2:B1079=B1079)*($D$2:D1079=D1079)*($E$2:E1079=E1079)*($F$2:F1079=F1079)*($G$2:G1079=G1079)*($I$2:I1079="Duplicate"))-1),"")&amp;".jpeg")</f>
        <v/>
      </c>
      <c r="L1079" s="6"/>
      <c r="M1079" s="5" t="str">
        <f>IFERROR(VLOOKUP(E1079,Specifications!$A$2:$D$9,2,FALSE),"")</f>
        <v/>
      </c>
      <c r="N1079" s="5" t="str">
        <f>IFERROR(VLOOKUP(E1079,Specifications!$A$2:$D$9,3,FALSE),"")</f>
        <v/>
      </c>
      <c r="O1079" s="5" t="str">
        <f>IFERROR(VLOOKUP(E1079,Specifications!$A$2:$D$9,4,FALSE),"")</f>
        <v/>
      </c>
      <c r="P1079" s="8" t="str">
        <f t="shared" si="51"/>
        <v/>
      </c>
      <c r="Q1079" s="9"/>
    </row>
    <row r="1080" spans="1:17" ht="15">
      <c r="A1080" s="5" t="str">
        <f t="shared" si="49"/>
        <v/>
      </c>
      <c r="B1080" s="6"/>
      <c r="C1080" s="5" t="str">
        <f>IFERROR(VLOOKUP(B1080,Lists!$A$2:$B$25,2,FALSE),"")</f>
        <v/>
      </c>
      <c r="D1080" s="7"/>
      <c r="E1080" s="6"/>
      <c r="F1080" s="6" t="str">
        <f t="shared" si="50"/>
        <v/>
      </c>
      <c r="G1080" s="6"/>
      <c r="H1080" s="6"/>
      <c r="I1080" s="6"/>
      <c r="J1080" s="7"/>
      <c r="K1080" s="5" t="str" cm="1">
        <f t="array" ref="K1080">IF(OR(A1080="",B1080="",D1080="",E1080=""),"",A1080&amp;"_"&amp;SUBSTITUTE(B1080," ","-")&amp;"_"&amp;D1080&amp;"_"&amp;SUBSTITUTE(SUBSTITUTE(E1080," ",""),"€","Euro")&amp;"_"&amp;IF(F1080="","Unknown",F1080)&amp;IF(F1080="Commemorative",IF(G1080="","","_"&amp;SUBSTITUTE(SUBSTITUTE(SUBSTITUTE(G1080," ","-"),"/","-"),CHAR(39),"")),"")&amp;IF(I1080="Duplicate","_Dub"&amp;IF(SUMPRODUCT(($B$2:B1080=B1080)*($D$2:D1080=D1080)*($E$2:E1080=E1080)*($F$2:F1080=F1080)*($G$2:G1080=G1080)*($I$2:I1080="Duplicate"))&lt;=1,"",SUMPRODUCT(($B$2:B1080=B1080)*($D$2:D1080=D1080)*($E$2:E1080=E1080)*($F$2:F1080=F1080)*($G$2:G1080=G1080)*($I$2:I1080="Duplicate"))-1),"")&amp;".jpeg")</f>
        <v/>
      </c>
      <c r="L1080" s="6"/>
      <c r="M1080" s="5" t="str">
        <f>IFERROR(VLOOKUP(E1080,Specifications!$A$2:$D$9,2,FALSE),"")</f>
        <v/>
      </c>
      <c r="N1080" s="5" t="str">
        <f>IFERROR(VLOOKUP(E1080,Specifications!$A$2:$D$9,3,FALSE),"")</f>
        <v/>
      </c>
      <c r="O1080" s="5" t="str">
        <f>IFERROR(VLOOKUP(E1080,Specifications!$A$2:$D$9,4,FALSE),"")</f>
        <v/>
      </c>
      <c r="P1080" s="8" t="str">
        <f t="shared" si="51"/>
        <v/>
      </c>
      <c r="Q1080" s="9"/>
    </row>
    <row r="1081" spans="1:17" ht="15">
      <c r="A1081" s="5" t="str">
        <f t="shared" si="49"/>
        <v/>
      </c>
      <c r="B1081" s="6"/>
      <c r="C1081" s="5" t="str">
        <f>IFERROR(VLOOKUP(B1081,Lists!$A$2:$B$25,2,FALSE),"")</f>
        <v/>
      </c>
      <c r="D1081" s="7"/>
      <c r="E1081" s="6"/>
      <c r="F1081" s="6" t="str">
        <f t="shared" si="50"/>
        <v/>
      </c>
      <c r="G1081" s="6"/>
      <c r="H1081" s="6"/>
      <c r="I1081" s="6"/>
      <c r="J1081" s="7"/>
      <c r="K1081" s="5" t="str" cm="1">
        <f t="array" ref="K1081">IF(OR(A1081="",B1081="",D1081="",E1081=""),"",A1081&amp;"_"&amp;SUBSTITUTE(B1081," ","-")&amp;"_"&amp;D1081&amp;"_"&amp;SUBSTITUTE(SUBSTITUTE(E1081," ",""),"€","Euro")&amp;"_"&amp;IF(F1081="","Unknown",F1081)&amp;IF(F1081="Commemorative",IF(G1081="","","_"&amp;SUBSTITUTE(SUBSTITUTE(SUBSTITUTE(G1081," ","-"),"/","-"),CHAR(39),"")),"")&amp;IF(I1081="Duplicate","_Dub"&amp;IF(SUMPRODUCT(($B$2:B1081=B1081)*($D$2:D1081=D1081)*($E$2:E1081=E1081)*($F$2:F1081=F1081)*($G$2:G1081=G1081)*($I$2:I1081="Duplicate"))&lt;=1,"",SUMPRODUCT(($B$2:B1081=B1081)*($D$2:D1081=D1081)*($E$2:E1081=E1081)*($F$2:F1081=F1081)*($G$2:G1081=G1081)*($I$2:I1081="Duplicate"))-1),"")&amp;".jpeg")</f>
        <v/>
      </c>
      <c r="L1081" s="6"/>
      <c r="M1081" s="5" t="str">
        <f>IFERROR(VLOOKUP(E1081,Specifications!$A$2:$D$9,2,FALSE),"")</f>
        <v/>
      </c>
      <c r="N1081" s="5" t="str">
        <f>IFERROR(VLOOKUP(E1081,Specifications!$A$2:$D$9,3,FALSE),"")</f>
        <v/>
      </c>
      <c r="O1081" s="5" t="str">
        <f>IFERROR(VLOOKUP(E1081,Specifications!$A$2:$D$9,4,FALSE),"")</f>
        <v/>
      </c>
      <c r="P1081" s="8" t="str">
        <f t="shared" si="51"/>
        <v/>
      </c>
      <c r="Q1081" s="9"/>
    </row>
    <row r="1082" spans="1:17" ht="15">
      <c r="A1082" s="5" t="str">
        <f t="shared" si="49"/>
        <v/>
      </c>
      <c r="B1082" s="6"/>
      <c r="C1082" s="5" t="str">
        <f>IFERROR(VLOOKUP(B1082,Lists!$A$2:$B$25,2,FALSE),"")</f>
        <v/>
      </c>
      <c r="D1082" s="7"/>
      <c r="E1082" s="6"/>
      <c r="F1082" s="6" t="str">
        <f t="shared" si="50"/>
        <v/>
      </c>
      <c r="G1082" s="6"/>
      <c r="H1082" s="6"/>
      <c r="I1082" s="6"/>
      <c r="J1082" s="7"/>
      <c r="K1082" s="5" t="str" cm="1">
        <f t="array" ref="K1082">IF(OR(A1082="",B1082="",D1082="",E1082=""),"",A1082&amp;"_"&amp;SUBSTITUTE(B1082," ","-")&amp;"_"&amp;D1082&amp;"_"&amp;SUBSTITUTE(SUBSTITUTE(E1082," ",""),"€","Euro")&amp;"_"&amp;IF(F1082="","Unknown",F1082)&amp;IF(F1082="Commemorative",IF(G1082="","","_"&amp;SUBSTITUTE(SUBSTITUTE(SUBSTITUTE(G1082," ","-"),"/","-"),CHAR(39),"")),"")&amp;IF(I1082="Duplicate","_Dub"&amp;IF(SUMPRODUCT(($B$2:B1082=B1082)*($D$2:D1082=D1082)*($E$2:E1082=E1082)*($F$2:F1082=F1082)*($G$2:G1082=G1082)*($I$2:I1082="Duplicate"))&lt;=1,"",SUMPRODUCT(($B$2:B1082=B1082)*($D$2:D1082=D1082)*($E$2:E1082=E1082)*($F$2:F1082=F1082)*($G$2:G1082=G1082)*($I$2:I1082="Duplicate"))-1),"")&amp;".jpeg")</f>
        <v/>
      </c>
      <c r="L1082" s="6"/>
      <c r="M1082" s="5" t="str">
        <f>IFERROR(VLOOKUP(E1082,Specifications!$A$2:$D$9,2,FALSE),"")</f>
        <v/>
      </c>
      <c r="N1082" s="5" t="str">
        <f>IFERROR(VLOOKUP(E1082,Specifications!$A$2:$D$9,3,FALSE),"")</f>
        <v/>
      </c>
      <c r="O1082" s="5" t="str">
        <f>IFERROR(VLOOKUP(E1082,Specifications!$A$2:$D$9,4,FALSE),"")</f>
        <v/>
      </c>
      <c r="P1082" s="8" t="str">
        <f t="shared" si="51"/>
        <v/>
      </c>
      <c r="Q1082" s="9"/>
    </row>
    <row r="1083" spans="1:17" ht="15">
      <c r="A1083" s="5" t="str">
        <f t="shared" si="49"/>
        <v/>
      </c>
      <c r="B1083" s="6"/>
      <c r="C1083" s="5" t="str">
        <f>IFERROR(VLOOKUP(B1083,Lists!$A$2:$B$25,2,FALSE),"")</f>
        <v/>
      </c>
      <c r="D1083" s="7"/>
      <c r="E1083" s="6"/>
      <c r="F1083" s="6" t="str">
        <f t="shared" si="50"/>
        <v/>
      </c>
      <c r="G1083" s="6"/>
      <c r="H1083" s="6"/>
      <c r="I1083" s="6"/>
      <c r="J1083" s="7"/>
      <c r="K1083" s="5" t="str" cm="1">
        <f t="array" ref="K1083">IF(OR(A1083="",B1083="",D1083="",E1083=""),"",A1083&amp;"_"&amp;SUBSTITUTE(B1083," ","-")&amp;"_"&amp;D1083&amp;"_"&amp;SUBSTITUTE(SUBSTITUTE(E1083," ",""),"€","Euro")&amp;"_"&amp;IF(F1083="","Unknown",F1083)&amp;IF(F1083="Commemorative",IF(G1083="","","_"&amp;SUBSTITUTE(SUBSTITUTE(SUBSTITUTE(G1083," ","-"),"/","-"),CHAR(39),"")),"")&amp;IF(I1083="Duplicate","_Dub"&amp;IF(SUMPRODUCT(($B$2:B1083=B1083)*($D$2:D1083=D1083)*($E$2:E1083=E1083)*($F$2:F1083=F1083)*($G$2:G1083=G1083)*($I$2:I1083="Duplicate"))&lt;=1,"",SUMPRODUCT(($B$2:B1083=B1083)*($D$2:D1083=D1083)*($E$2:E1083=E1083)*($F$2:F1083=F1083)*($G$2:G1083=G1083)*($I$2:I1083="Duplicate"))-1),"")&amp;".jpeg")</f>
        <v/>
      </c>
      <c r="L1083" s="6"/>
      <c r="M1083" s="5" t="str">
        <f>IFERROR(VLOOKUP(E1083,Specifications!$A$2:$D$9,2,FALSE),"")</f>
        <v/>
      </c>
      <c r="N1083" s="5" t="str">
        <f>IFERROR(VLOOKUP(E1083,Specifications!$A$2:$D$9,3,FALSE),"")</f>
        <v/>
      </c>
      <c r="O1083" s="5" t="str">
        <f>IFERROR(VLOOKUP(E1083,Specifications!$A$2:$D$9,4,FALSE),"")</f>
        <v/>
      </c>
      <c r="P1083" s="8" t="str">
        <f t="shared" si="51"/>
        <v/>
      </c>
      <c r="Q1083" s="9"/>
    </row>
    <row r="1084" spans="1:17" ht="15">
      <c r="A1084" s="5" t="str">
        <f t="shared" si="49"/>
        <v/>
      </c>
      <c r="B1084" s="6"/>
      <c r="C1084" s="5" t="str">
        <f>IFERROR(VLOOKUP(B1084,Lists!$A$2:$B$25,2,FALSE),"")</f>
        <v/>
      </c>
      <c r="D1084" s="7"/>
      <c r="E1084" s="6"/>
      <c r="F1084" s="6" t="str">
        <f t="shared" si="50"/>
        <v/>
      </c>
      <c r="G1084" s="6"/>
      <c r="H1084" s="6"/>
      <c r="I1084" s="6"/>
      <c r="J1084" s="7"/>
      <c r="K1084" s="5" t="str" cm="1">
        <f t="array" ref="K1084">IF(OR(A1084="",B1084="",D1084="",E1084=""),"",A1084&amp;"_"&amp;SUBSTITUTE(B1084," ","-")&amp;"_"&amp;D1084&amp;"_"&amp;SUBSTITUTE(SUBSTITUTE(E1084," ",""),"€","Euro")&amp;"_"&amp;IF(F1084="","Unknown",F1084)&amp;IF(F1084="Commemorative",IF(G1084="","","_"&amp;SUBSTITUTE(SUBSTITUTE(SUBSTITUTE(G1084," ","-"),"/","-"),CHAR(39),"")),"")&amp;IF(I1084="Duplicate","_Dub"&amp;IF(SUMPRODUCT(($B$2:B1084=B1084)*($D$2:D1084=D1084)*($E$2:E1084=E1084)*($F$2:F1084=F1084)*($G$2:G1084=G1084)*($I$2:I1084="Duplicate"))&lt;=1,"",SUMPRODUCT(($B$2:B1084=B1084)*($D$2:D1084=D1084)*($E$2:E1084=E1084)*($F$2:F1084=F1084)*($G$2:G1084=G1084)*($I$2:I1084="Duplicate"))-1),"")&amp;".jpeg")</f>
        <v/>
      </c>
      <c r="L1084" s="6"/>
      <c r="M1084" s="5" t="str">
        <f>IFERROR(VLOOKUP(E1084,Specifications!$A$2:$D$9,2,FALSE),"")</f>
        <v/>
      </c>
      <c r="N1084" s="5" t="str">
        <f>IFERROR(VLOOKUP(E1084,Specifications!$A$2:$D$9,3,FALSE),"")</f>
        <v/>
      </c>
      <c r="O1084" s="5" t="str">
        <f>IFERROR(VLOOKUP(E1084,Specifications!$A$2:$D$9,4,FALSE),"")</f>
        <v/>
      </c>
      <c r="P1084" s="8" t="str">
        <f t="shared" si="51"/>
        <v/>
      </c>
      <c r="Q1084" s="9"/>
    </row>
    <row r="1085" spans="1:17" ht="15">
      <c r="A1085" s="5" t="str">
        <f t="shared" si="49"/>
        <v/>
      </c>
      <c r="B1085" s="6"/>
      <c r="C1085" s="5" t="str">
        <f>IFERROR(VLOOKUP(B1085,Lists!$A$2:$B$25,2,FALSE),"")</f>
        <v/>
      </c>
      <c r="D1085" s="7"/>
      <c r="E1085" s="6"/>
      <c r="F1085" s="6" t="str">
        <f t="shared" si="50"/>
        <v/>
      </c>
      <c r="G1085" s="6"/>
      <c r="H1085" s="6"/>
      <c r="I1085" s="6"/>
      <c r="J1085" s="7"/>
      <c r="K1085" s="5" t="str" cm="1">
        <f t="array" ref="K1085">IF(OR(A1085="",B1085="",D1085="",E1085=""),"",A1085&amp;"_"&amp;SUBSTITUTE(B1085," ","-")&amp;"_"&amp;D1085&amp;"_"&amp;SUBSTITUTE(SUBSTITUTE(E1085," ",""),"€","Euro")&amp;"_"&amp;IF(F1085="","Unknown",F1085)&amp;IF(F1085="Commemorative",IF(G1085="","","_"&amp;SUBSTITUTE(SUBSTITUTE(SUBSTITUTE(G1085," ","-"),"/","-"),CHAR(39),"")),"")&amp;IF(I1085="Duplicate","_Dub"&amp;IF(SUMPRODUCT(($B$2:B1085=B1085)*($D$2:D1085=D1085)*($E$2:E1085=E1085)*($F$2:F1085=F1085)*($G$2:G1085=G1085)*($I$2:I1085="Duplicate"))&lt;=1,"",SUMPRODUCT(($B$2:B1085=B1085)*($D$2:D1085=D1085)*($E$2:E1085=E1085)*($F$2:F1085=F1085)*($G$2:G1085=G1085)*($I$2:I1085="Duplicate"))-1),"")&amp;".jpeg")</f>
        <v/>
      </c>
      <c r="L1085" s="6"/>
      <c r="M1085" s="5" t="str">
        <f>IFERROR(VLOOKUP(E1085,Specifications!$A$2:$D$9,2,FALSE),"")</f>
        <v/>
      </c>
      <c r="N1085" s="5" t="str">
        <f>IFERROR(VLOOKUP(E1085,Specifications!$A$2:$D$9,3,FALSE),"")</f>
        <v/>
      </c>
      <c r="O1085" s="5" t="str">
        <f>IFERROR(VLOOKUP(E1085,Specifications!$A$2:$D$9,4,FALSE),"")</f>
        <v/>
      </c>
      <c r="P1085" s="8" t="str">
        <f t="shared" si="51"/>
        <v/>
      </c>
      <c r="Q1085" s="9"/>
    </row>
    <row r="1086" spans="1:17" ht="15">
      <c r="A1086" s="5" t="str">
        <f t="shared" si="49"/>
        <v/>
      </c>
      <c r="B1086" s="6"/>
      <c r="C1086" s="5" t="str">
        <f>IFERROR(VLOOKUP(B1086,Lists!$A$2:$B$25,2,FALSE),"")</f>
        <v/>
      </c>
      <c r="D1086" s="7"/>
      <c r="E1086" s="6"/>
      <c r="F1086" s="6" t="str">
        <f t="shared" si="50"/>
        <v/>
      </c>
      <c r="G1086" s="6"/>
      <c r="H1086" s="6"/>
      <c r="I1086" s="6"/>
      <c r="J1086" s="7"/>
      <c r="K1086" s="5" t="str" cm="1">
        <f t="array" ref="K1086">IF(OR(A1086="",B1086="",D1086="",E1086=""),"",A1086&amp;"_"&amp;SUBSTITUTE(B1086," ","-")&amp;"_"&amp;D1086&amp;"_"&amp;SUBSTITUTE(SUBSTITUTE(E1086," ",""),"€","Euro")&amp;"_"&amp;IF(F1086="","Unknown",F1086)&amp;IF(F1086="Commemorative",IF(G1086="","","_"&amp;SUBSTITUTE(SUBSTITUTE(SUBSTITUTE(G1086," ","-"),"/","-"),CHAR(39),"")),"")&amp;IF(I1086="Duplicate","_Dub"&amp;IF(SUMPRODUCT(($B$2:B1086=B1086)*($D$2:D1086=D1086)*($E$2:E1086=E1086)*($F$2:F1086=F1086)*($G$2:G1086=G1086)*($I$2:I1086="Duplicate"))&lt;=1,"",SUMPRODUCT(($B$2:B1086=B1086)*($D$2:D1086=D1086)*($E$2:E1086=E1086)*($F$2:F1086=F1086)*($G$2:G1086=G1086)*($I$2:I1086="Duplicate"))-1),"")&amp;".jpeg")</f>
        <v/>
      </c>
      <c r="L1086" s="6"/>
      <c r="M1086" s="5" t="str">
        <f>IFERROR(VLOOKUP(E1086,Specifications!$A$2:$D$9,2,FALSE),"")</f>
        <v/>
      </c>
      <c r="N1086" s="5" t="str">
        <f>IFERROR(VLOOKUP(E1086,Specifications!$A$2:$D$9,3,FALSE),"")</f>
        <v/>
      </c>
      <c r="O1086" s="5" t="str">
        <f>IFERROR(VLOOKUP(E1086,Specifications!$A$2:$D$9,4,FALSE),"")</f>
        <v/>
      </c>
      <c r="P1086" s="8" t="str">
        <f t="shared" si="51"/>
        <v/>
      </c>
      <c r="Q1086" s="9"/>
    </row>
    <row r="1087" spans="1:17" ht="15">
      <c r="A1087" s="5" t="str">
        <f t="shared" si="49"/>
        <v/>
      </c>
      <c r="B1087" s="6"/>
      <c r="C1087" s="5" t="str">
        <f>IFERROR(VLOOKUP(B1087,Lists!$A$2:$B$25,2,FALSE),"")</f>
        <v/>
      </c>
      <c r="D1087" s="7"/>
      <c r="E1087" s="6"/>
      <c r="F1087" s="6" t="str">
        <f t="shared" si="50"/>
        <v/>
      </c>
      <c r="G1087" s="6"/>
      <c r="H1087" s="6"/>
      <c r="I1087" s="6"/>
      <c r="J1087" s="7"/>
      <c r="K1087" s="5" t="str" cm="1">
        <f t="array" ref="K1087">IF(OR(A1087="",B1087="",D1087="",E1087=""),"",A1087&amp;"_"&amp;SUBSTITUTE(B1087," ","-")&amp;"_"&amp;D1087&amp;"_"&amp;SUBSTITUTE(SUBSTITUTE(E1087," ",""),"€","Euro")&amp;"_"&amp;IF(F1087="","Unknown",F1087)&amp;IF(F1087="Commemorative",IF(G1087="","","_"&amp;SUBSTITUTE(SUBSTITUTE(SUBSTITUTE(G1087," ","-"),"/","-"),CHAR(39),"")),"")&amp;IF(I1087="Duplicate","_Dub"&amp;IF(SUMPRODUCT(($B$2:B1087=B1087)*($D$2:D1087=D1087)*($E$2:E1087=E1087)*($F$2:F1087=F1087)*($G$2:G1087=G1087)*($I$2:I1087="Duplicate"))&lt;=1,"",SUMPRODUCT(($B$2:B1087=B1087)*($D$2:D1087=D1087)*($E$2:E1087=E1087)*($F$2:F1087=F1087)*($G$2:G1087=G1087)*($I$2:I1087="Duplicate"))-1),"")&amp;".jpeg")</f>
        <v/>
      </c>
      <c r="L1087" s="6"/>
      <c r="M1087" s="5" t="str">
        <f>IFERROR(VLOOKUP(E1087,Specifications!$A$2:$D$9,2,FALSE),"")</f>
        <v/>
      </c>
      <c r="N1087" s="5" t="str">
        <f>IFERROR(VLOOKUP(E1087,Specifications!$A$2:$D$9,3,FALSE),"")</f>
        <v/>
      </c>
      <c r="O1087" s="5" t="str">
        <f>IFERROR(VLOOKUP(E1087,Specifications!$A$2:$D$9,4,FALSE),"")</f>
        <v/>
      </c>
      <c r="P1087" s="8" t="str">
        <f t="shared" si="51"/>
        <v/>
      </c>
      <c r="Q1087" s="9"/>
    </row>
    <row r="1088" spans="1:17" ht="15">
      <c r="A1088" s="5" t="str">
        <f t="shared" si="49"/>
        <v/>
      </c>
      <c r="B1088" s="6"/>
      <c r="C1088" s="5" t="str">
        <f>IFERROR(VLOOKUP(B1088,Lists!$A$2:$B$25,2,FALSE),"")</f>
        <v/>
      </c>
      <c r="D1088" s="7"/>
      <c r="E1088" s="6"/>
      <c r="F1088" s="6" t="str">
        <f t="shared" si="50"/>
        <v/>
      </c>
      <c r="G1088" s="6"/>
      <c r="H1088" s="6"/>
      <c r="I1088" s="6"/>
      <c r="J1088" s="7"/>
      <c r="K1088" s="5" t="str" cm="1">
        <f t="array" ref="K1088">IF(OR(A1088="",B1088="",D1088="",E1088=""),"",A1088&amp;"_"&amp;SUBSTITUTE(B1088," ","-")&amp;"_"&amp;D1088&amp;"_"&amp;SUBSTITUTE(SUBSTITUTE(E1088," ",""),"€","Euro")&amp;"_"&amp;IF(F1088="","Unknown",F1088)&amp;IF(F1088="Commemorative",IF(G1088="","","_"&amp;SUBSTITUTE(SUBSTITUTE(SUBSTITUTE(G1088," ","-"),"/","-"),CHAR(39),"")),"")&amp;IF(I1088="Duplicate","_Dub"&amp;IF(SUMPRODUCT(($B$2:B1088=B1088)*($D$2:D1088=D1088)*($E$2:E1088=E1088)*($F$2:F1088=F1088)*($G$2:G1088=G1088)*($I$2:I1088="Duplicate"))&lt;=1,"",SUMPRODUCT(($B$2:B1088=B1088)*($D$2:D1088=D1088)*($E$2:E1088=E1088)*($F$2:F1088=F1088)*($G$2:G1088=G1088)*($I$2:I1088="Duplicate"))-1),"")&amp;".jpeg")</f>
        <v/>
      </c>
      <c r="L1088" s="6"/>
      <c r="M1088" s="5" t="str">
        <f>IFERROR(VLOOKUP(E1088,Specifications!$A$2:$D$9,2,FALSE),"")</f>
        <v/>
      </c>
      <c r="N1088" s="5" t="str">
        <f>IFERROR(VLOOKUP(E1088,Specifications!$A$2:$D$9,3,FALSE),"")</f>
        <v/>
      </c>
      <c r="O1088" s="5" t="str">
        <f>IFERROR(VLOOKUP(E1088,Specifications!$A$2:$D$9,4,FALSE),"")</f>
        <v/>
      </c>
      <c r="P1088" s="8" t="str">
        <f t="shared" si="51"/>
        <v/>
      </c>
      <c r="Q1088" s="9"/>
    </row>
    <row r="1089" spans="1:17" ht="15">
      <c r="A1089" s="5" t="str">
        <f t="shared" si="49"/>
        <v/>
      </c>
      <c r="B1089" s="6"/>
      <c r="C1089" s="5" t="str">
        <f>IFERROR(VLOOKUP(B1089,Lists!$A$2:$B$25,2,FALSE),"")</f>
        <v/>
      </c>
      <c r="D1089" s="7"/>
      <c r="E1089" s="6"/>
      <c r="F1089" s="6" t="str">
        <f t="shared" si="50"/>
        <v/>
      </c>
      <c r="G1089" s="6"/>
      <c r="H1089" s="6"/>
      <c r="I1089" s="6"/>
      <c r="J1089" s="7"/>
      <c r="K1089" s="5" t="str" cm="1">
        <f t="array" ref="K1089">IF(OR(A1089="",B1089="",D1089="",E1089=""),"",A1089&amp;"_"&amp;SUBSTITUTE(B1089," ","-")&amp;"_"&amp;D1089&amp;"_"&amp;SUBSTITUTE(SUBSTITUTE(E1089," ",""),"€","Euro")&amp;"_"&amp;IF(F1089="","Unknown",F1089)&amp;IF(F1089="Commemorative",IF(G1089="","","_"&amp;SUBSTITUTE(SUBSTITUTE(SUBSTITUTE(G1089," ","-"),"/","-"),CHAR(39),"")),"")&amp;IF(I1089="Duplicate","_Dub"&amp;IF(SUMPRODUCT(($B$2:B1089=B1089)*($D$2:D1089=D1089)*($E$2:E1089=E1089)*($F$2:F1089=F1089)*($G$2:G1089=G1089)*($I$2:I1089="Duplicate"))&lt;=1,"",SUMPRODUCT(($B$2:B1089=B1089)*($D$2:D1089=D1089)*($E$2:E1089=E1089)*($F$2:F1089=F1089)*($G$2:G1089=G1089)*($I$2:I1089="Duplicate"))-1),"")&amp;".jpeg")</f>
        <v/>
      </c>
      <c r="L1089" s="6"/>
      <c r="M1089" s="5" t="str">
        <f>IFERROR(VLOOKUP(E1089,Specifications!$A$2:$D$9,2,FALSE),"")</f>
        <v/>
      </c>
      <c r="N1089" s="5" t="str">
        <f>IFERROR(VLOOKUP(E1089,Specifications!$A$2:$D$9,3,FALSE),"")</f>
        <v/>
      </c>
      <c r="O1089" s="5" t="str">
        <f>IFERROR(VLOOKUP(E1089,Specifications!$A$2:$D$9,4,FALSE),"")</f>
        <v/>
      </c>
      <c r="P1089" s="8" t="str">
        <f t="shared" si="51"/>
        <v/>
      </c>
      <c r="Q1089" s="9"/>
    </row>
    <row r="1090" spans="1:17" ht="15">
      <c r="A1090" s="5" t="str">
        <f t="shared" ref="A1090:A1153" si="52">IF(B1090="","",TEXT(ROW()-1,"000"))</f>
        <v/>
      </c>
      <c r="B1090" s="6"/>
      <c r="C1090" s="5" t="str">
        <f>IFERROR(VLOOKUP(B1090,Lists!$A$2:$B$25,2,FALSE),"")</f>
        <v/>
      </c>
      <c r="D1090" s="7"/>
      <c r="E1090" s="6"/>
      <c r="F1090" s="6" t="str">
        <f t="shared" ref="F1090:F1153" si="53">IF(E1090="","",IF(E1090="2 €","", "Regular"))</f>
        <v/>
      </c>
      <c r="G1090" s="6"/>
      <c r="H1090" s="6"/>
      <c r="I1090" s="6"/>
      <c r="J1090" s="7"/>
      <c r="K1090" s="5" t="str" cm="1">
        <f t="array" ref="K1090">IF(OR(A1090="",B1090="",D1090="",E1090=""),"",A1090&amp;"_"&amp;SUBSTITUTE(B1090," ","-")&amp;"_"&amp;D1090&amp;"_"&amp;SUBSTITUTE(SUBSTITUTE(E1090," ",""),"€","Euro")&amp;"_"&amp;IF(F1090="","Unknown",F1090)&amp;IF(F1090="Commemorative",IF(G1090="","","_"&amp;SUBSTITUTE(SUBSTITUTE(SUBSTITUTE(G1090," ","-"),"/","-"),CHAR(39),"")),"")&amp;IF(I1090="Duplicate","_Dub"&amp;IF(SUMPRODUCT(($B$2:B1090=B1090)*($D$2:D1090=D1090)*($E$2:E1090=E1090)*($F$2:F1090=F1090)*($G$2:G1090=G1090)*($I$2:I1090="Duplicate"))&lt;=1,"",SUMPRODUCT(($B$2:B1090=B1090)*($D$2:D1090=D1090)*($E$2:E1090=E1090)*($F$2:F1090=F1090)*($G$2:G1090=G1090)*($I$2:I1090="Duplicate"))-1),"")&amp;".jpeg")</f>
        <v/>
      </c>
      <c r="L1090" s="6"/>
      <c r="M1090" s="5" t="str">
        <f>IFERROR(VLOOKUP(E1090,Specifications!$A$2:$D$9,2,FALSE),"")</f>
        <v/>
      </c>
      <c r="N1090" s="5" t="str">
        <f>IFERROR(VLOOKUP(E1090,Specifications!$A$2:$D$9,3,FALSE),"")</f>
        <v/>
      </c>
      <c r="O1090" s="5" t="str">
        <f>IFERROR(VLOOKUP(E1090,Specifications!$A$2:$D$9,4,FALSE),"")</f>
        <v/>
      </c>
      <c r="P1090" s="8" t="str">
        <f t="shared" ref="P1090:P1153" si="54">IF(OR(B1090="",E1090="",F1090=""),"",IF(F1090="Regular","Regular "&amp;E1090&amp;" circulation coin of "&amp;B1090&amp;".",IF(F1090="Commemorative",IF(G1090="","",E1090&amp;" commemorative coin of "&amp;B1090&amp;" – "&amp;G1090&amp;"."),"")))</f>
        <v/>
      </c>
      <c r="Q1090" s="9"/>
    </row>
    <row r="1091" spans="1:17" ht="15">
      <c r="A1091" s="5" t="str">
        <f t="shared" si="52"/>
        <v/>
      </c>
      <c r="B1091" s="6"/>
      <c r="C1091" s="5" t="str">
        <f>IFERROR(VLOOKUP(B1091,Lists!$A$2:$B$25,2,FALSE),"")</f>
        <v/>
      </c>
      <c r="D1091" s="7"/>
      <c r="E1091" s="6"/>
      <c r="F1091" s="6" t="str">
        <f t="shared" si="53"/>
        <v/>
      </c>
      <c r="G1091" s="6"/>
      <c r="H1091" s="6"/>
      <c r="I1091" s="6"/>
      <c r="J1091" s="7"/>
      <c r="K1091" s="5" t="str" cm="1">
        <f t="array" ref="K1091">IF(OR(A1091="",B1091="",D1091="",E1091=""),"",A1091&amp;"_"&amp;SUBSTITUTE(B1091," ","-")&amp;"_"&amp;D1091&amp;"_"&amp;SUBSTITUTE(SUBSTITUTE(E1091," ",""),"€","Euro")&amp;"_"&amp;IF(F1091="","Unknown",F1091)&amp;IF(F1091="Commemorative",IF(G1091="","","_"&amp;SUBSTITUTE(SUBSTITUTE(SUBSTITUTE(G1091," ","-"),"/","-"),CHAR(39),"")),"")&amp;IF(I1091="Duplicate","_Dub"&amp;IF(SUMPRODUCT(($B$2:B1091=B1091)*($D$2:D1091=D1091)*($E$2:E1091=E1091)*($F$2:F1091=F1091)*($G$2:G1091=G1091)*($I$2:I1091="Duplicate"))&lt;=1,"",SUMPRODUCT(($B$2:B1091=B1091)*($D$2:D1091=D1091)*($E$2:E1091=E1091)*($F$2:F1091=F1091)*($G$2:G1091=G1091)*($I$2:I1091="Duplicate"))-1),"")&amp;".jpeg")</f>
        <v/>
      </c>
      <c r="L1091" s="6"/>
      <c r="M1091" s="5" t="str">
        <f>IFERROR(VLOOKUP(E1091,Specifications!$A$2:$D$9,2,FALSE),"")</f>
        <v/>
      </c>
      <c r="N1091" s="5" t="str">
        <f>IFERROR(VLOOKUP(E1091,Specifications!$A$2:$D$9,3,FALSE),"")</f>
        <v/>
      </c>
      <c r="O1091" s="5" t="str">
        <f>IFERROR(VLOOKUP(E1091,Specifications!$A$2:$D$9,4,FALSE),"")</f>
        <v/>
      </c>
      <c r="P1091" s="8" t="str">
        <f t="shared" si="54"/>
        <v/>
      </c>
      <c r="Q1091" s="9"/>
    </row>
    <row r="1092" spans="1:17" ht="15">
      <c r="A1092" s="5" t="str">
        <f t="shared" si="52"/>
        <v/>
      </c>
      <c r="B1092" s="6"/>
      <c r="C1092" s="5" t="str">
        <f>IFERROR(VLOOKUP(B1092,Lists!$A$2:$B$25,2,FALSE),"")</f>
        <v/>
      </c>
      <c r="D1092" s="7"/>
      <c r="E1092" s="6"/>
      <c r="F1092" s="6" t="str">
        <f t="shared" si="53"/>
        <v/>
      </c>
      <c r="G1092" s="6"/>
      <c r="H1092" s="6"/>
      <c r="I1092" s="6"/>
      <c r="J1092" s="7"/>
      <c r="K1092" s="5" t="str" cm="1">
        <f t="array" ref="K1092">IF(OR(A1092="",B1092="",D1092="",E1092=""),"",A1092&amp;"_"&amp;SUBSTITUTE(B1092," ","-")&amp;"_"&amp;D1092&amp;"_"&amp;SUBSTITUTE(SUBSTITUTE(E1092," ",""),"€","Euro")&amp;"_"&amp;IF(F1092="","Unknown",F1092)&amp;IF(F1092="Commemorative",IF(G1092="","","_"&amp;SUBSTITUTE(SUBSTITUTE(SUBSTITUTE(G1092," ","-"),"/","-"),CHAR(39),"")),"")&amp;IF(I1092="Duplicate","_Dub"&amp;IF(SUMPRODUCT(($B$2:B1092=B1092)*($D$2:D1092=D1092)*($E$2:E1092=E1092)*($F$2:F1092=F1092)*($G$2:G1092=G1092)*($I$2:I1092="Duplicate"))&lt;=1,"",SUMPRODUCT(($B$2:B1092=B1092)*($D$2:D1092=D1092)*($E$2:E1092=E1092)*($F$2:F1092=F1092)*($G$2:G1092=G1092)*($I$2:I1092="Duplicate"))-1),"")&amp;".jpeg")</f>
        <v/>
      </c>
      <c r="L1092" s="6"/>
      <c r="M1092" s="5" t="str">
        <f>IFERROR(VLOOKUP(E1092,Specifications!$A$2:$D$9,2,FALSE),"")</f>
        <v/>
      </c>
      <c r="N1092" s="5" t="str">
        <f>IFERROR(VLOOKUP(E1092,Specifications!$A$2:$D$9,3,FALSE),"")</f>
        <v/>
      </c>
      <c r="O1092" s="5" t="str">
        <f>IFERROR(VLOOKUP(E1092,Specifications!$A$2:$D$9,4,FALSE),"")</f>
        <v/>
      </c>
      <c r="P1092" s="8" t="str">
        <f t="shared" si="54"/>
        <v/>
      </c>
      <c r="Q1092" s="9"/>
    </row>
    <row r="1093" spans="1:17" ht="15">
      <c r="A1093" s="5" t="str">
        <f t="shared" si="52"/>
        <v/>
      </c>
      <c r="B1093" s="6"/>
      <c r="C1093" s="5" t="str">
        <f>IFERROR(VLOOKUP(B1093,Lists!$A$2:$B$25,2,FALSE),"")</f>
        <v/>
      </c>
      <c r="D1093" s="7"/>
      <c r="E1093" s="6"/>
      <c r="F1093" s="6" t="str">
        <f t="shared" si="53"/>
        <v/>
      </c>
      <c r="G1093" s="6"/>
      <c r="H1093" s="6"/>
      <c r="I1093" s="6"/>
      <c r="J1093" s="7"/>
      <c r="K1093" s="5" t="str" cm="1">
        <f t="array" ref="K1093">IF(OR(A1093="",B1093="",D1093="",E1093=""),"",A1093&amp;"_"&amp;SUBSTITUTE(B1093," ","-")&amp;"_"&amp;D1093&amp;"_"&amp;SUBSTITUTE(SUBSTITUTE(E1093," ",""),"€","Euro")&amp;"_"&amp;IF(F1093="","Unknown",F1093)&amp;IF(F1093="Commemorative",IF(G1093="","","_"&amp;SUBSTITUTE(SUBSTITUTE(SUBSTITUTE(G1093," ","-"),"/","-"),CHAR(39),"")),"")&amp;IF(I1093="Duplicate","_Dub"&amp;IF(SUMPRODUCT(($B$2:B1093=B1093)*($D$2:D1093=D1093)*($E$2:E1093=E1093)*($F$2:F1093=F1093)*($G$2:G1093=G1093)*($I$2:I1093="Duplicate"))&lt;=1,"",SUMPRODUCT(($B$2:B1093=B1093)*($D$2:D1093=D1093)*($E$2:E1093=E1093)*($F$2:F1093=F1093)*($G$2:G1093=G1093)*($I$2:I1093="Duplicate"))-1),"")&amp;".jpeg")</f>
        <v/>
      </c>
      <c r="L1093" s="6"/>
      <c r="M1093" s="5" t="str">
        <f>IFERROR(VLOOKUP(E1093,Specifications!$A$2:$D$9,2,FALSE),"")</f>
        <v/>
      </c>
      <c r="N1093" s="5" t="str">
        <f>IFERROR(VLOOKUP(E1093,Specifications!$A$2:$D$9,3,FALSE),"")</f>
        <v/>
      </c>
      <c r="O1093" s="5" t="str">
        <f>IFERROR(VLOOKUP(E1093,Specifications!$A$2:$D$9,4,FALSE),"")</f>
        <v/>
      </c>
      <c r="P1093" s="8" t="str">
        <f t="shared" si="54"/>
        <v/>
      </c>
      <c r="Q1093" s="9"/>
    </row>
    <row r="1094" spans="1:17" ht="15">
      <c r="A1094" s="5" t="str">
        <f t="shared" si="52"/>
        <v/>
      </c>
      <c r="B1094" s="6"/>
      <c r="C1094" s="5" t="str">
        <f>IFERROR(VLOOKUP(B1094,Lists!$A$2:$B$25,2,FALSE),"")</f>
        <v/>
      </c>
      <c r="D1094" s="7"/>
      <c r="E1094" s="6"/>
      <c r="F1094" s="6" t="str">
        <f t="shared" si="53"/>
        <v/>
      </c>
      <c r="G1094" s="6"/>
      <c r="H1094" s="6"/>
      <c r="I1094" s="6"/>
      <c r="J1094" s="7"/>
      <c r="K1094" s="5" t="str" cm="1">
        <f t="array" ref="K1094">IF(OR(A1094="",B1094="",D1094="",E1094=""),"",A1094&amp;"_"&amp;SUBSTITUTE(B1094," ","-")&amp;"_"&amp;D1094&amp;"_"&amp;SUBSTITUTE(SUBSTITUTE(E1094," ",""),"€","Euro")&amp;"_"&amp;IF(F1094="","Unknown",F1094)&amp;IF(F1094="Commemorative",IF(G1094="","","_"&amp;SUBSTITUTE(SUBSTITUTE(SUBSTITUTE(G1094," ","-"),"/","-"),CHAR(39),"")),"")&amp;IF(I1094="Duplicate","_Dub"&amp;IF(SUMPRODUCT(($B$2:B1094=B1094)*($D$2:D1094=D1094)*($E$2:E1094=E1094)*($F$2:F1094=F1094)*($G$2:G1094=G1094)*($I$2:I1094="Duplicate"))&lt;=1,"",SUMPRODUCT(($B$2:B1094=B1094)*($D$2:D1094=D1094)*($E$2:E1094=E1094)*($F$2:F1094=F1094)*($G$2:G1094=G1094)*($I$2:I1094="Duplicate"))-1),"")&amp;".jpeg")</f>
        <v/>
      </c>
      <c r="L1094" s="6"/>
      <c r="M1094" s="5" t="str">
        <f>IFERROR(VLOOKUP(E1094,Specifications!$A$2:$D$9,2,FALSE),"")</f>
        <v/>
      </c>
      <c r="N1094" s="5" t="str">
        <f>IFERROR(VLOOKUP(E1094,Specifications!$A$2:$D$9,3,FALSE),"")</f>
        <v/>
      </c>
      <c r="O1094" s="5" t="str">
        <f>IFERROR(VLOOKUP(E1094,Specifications!$A$2:$D$9,4,FALSE),"")</f>
        <v/>
      </c>
      <c r="P1094" s="8" t="str">
        <f t="shared" si="54"/>
        <v/>
      </c>
      <c r="Q1094" s="9"/>
    </row>
    <row r="1095" spans="1:17" ht="15">
      <c r="A1095" s="5" t="str">
        <f t="shared" si="52"/>
        <v/>
      </c>
      <c r="B1095" s="6"/>
      <c r="C1095" s="5" t="str">
        <f>IFERROR(VLOOKUP(B1095,Lists!$A$2:$B$25,2,FALSE),"")</f>
        <v/>
      </c>
      <c r="D1095" s="7"/>
      <c r="E1095" s="6"/>
      <c r="F1095" s="6" t="str">
        <f t="shared" si="53"/>
        <v/>
      </c>
      <c r="G1095" s="6"/>
      <c r="H1095" s="6"/>
      <c r="I1095" s="6"/>
      <c r="J1095" s="7"/>
      <c r="K1095" s="5" t="str" cm="1">
        <f t="array" ref="K1095">IF(OR(A1095="",B1095="",D1095="",E1095=""),"",A1095&amp;"_"&amp;SUBSTITUTE(B1095," ","-")&amp;"_"&amp;D1095&amp;"_"&amp;SUBSTITUTE(SUBSTITUTE(E1095," ",""),"€","Euro")&amp;"_"&amp;IF(F1095="","Unknown",F1095)&amp;IF(F1095="Commemorative",IF(G1095="","","_"&amp;SUBSTITUTE(SUBSTITUTE(SUBSTITUTE(G1095," ","-"),"/","-"),CHAR(39),"")),"")&amp;IF(I1095="Duplicate","_Dub"&amp;IF(SUMPRODUCT(($B$2:B1095=B1095)*($D$2:D1095=D1095)*($E$2:E1095=E1095)*($F$2:F1095=F1095)*($G$2:G1095=G1095)*($I$2:I1095="Duplicate"))&lt;=1,"",SUMPRODUCT(($B$2:B1095=B1095)*($D$2:D1095=D1095)*($E$2:E1095=E1095)*($F$2:F1095=F1095)*($G$2:G1095=G1095)*($I$2:I1095="Duplicate"))-1),"")&amp;".jpeg")</f>
        <v/>
      </c>
      <c r="L1095" s="6"/>
      <c r="M1095" s="5" t="str">
        <f>IFERROR(VLOOKUP(E1095,Specifications!$A$2:$D$9,2,FALSE),"")</f>
        <v/>
      </c>
      <c r="N1095" s="5" t="str">
        <f>IFERROR(VLOOKUP(E1095,Specifications!$A$2:$D$9,3,FALSE),"")</f>
        <v/>
      </c>
      <c r="O1095" s="5" t="str">
        <f>IFERROR(VLOOKUP(E1095,Specifications!$A$2:$D$9,4,FALSE),"")</f>
        <v/>
      </c>
      <c r="P1095" s="8" t="str">
        <f t="shared" si="54"/>
        <v/>
      </c>
      <c r="Q1095" s="9"/>
    </row>
    <row r="1096" spans="1:17" ht="15">
      <c r="A1096" s="5" t="str">
        <f t="shared" si="52"/>
        <v/>
      </c>
      <c r="B1096" s="6"/>
      <c r="C1096" s="5" t="str">
        <f>IFERROR(VLOOKUP(B1096,Lists!$A$2:$B$25,2,FALSE),"")</f>
        <v/>
      </c>
      <c r="D1096" s="7"/>
      <c r="E1096" s="6"/>
      <c r="F1096" s="6" t="str">
        <f t="shared" si="53"/>
        <v/>
      </c>
      <c r="G1096" s="6"/>
      <c r="H1096" s="6"/>
      <c r="I1096" s="6"/>
      <c r="J1096" s="7"/>
      <c r="K1096" s="5" t="str" cm="1">
        <f t="array" ref="K1096">IF(OR(A1096="",B1096="",D1096="",E1096=""),"",A1096&amp;"_"&amp;SUBSTITUTE(B1096," ","-")&amp;"_"&amp;D1096&amp;"_"&amp;SUBSTITUTE(SUBSTITUTE(E1096," ",""),"€","Euro")&amp;"_"&amp;IF(F1096="","Unknown",F1096)&amp;IF(F1096="Commemorative",IF(G1096="","","_"&amp;SUBSTITUTE(SUBSTITUTE(SUBSTITUTE(G1096," ","-"),"/","-"),CHAR(39),"")),"")&amp;IF(I1096="Duplicate","_Dub"&amp;IF(SUMPRODUCT(($B$2:B1096=B1096)*($D$2:D1096=D1096)*($E$2:E1096=E1096)*($F$2:F1096=F1096)*($G$2:G1096=G1096)*($I$2:I1096="Duplicate"))&lt;=1,"",SUMPRODUCT(($B$2:B1096=B1096)*($D$2:D1096=D1096)*($E$2:E1096=E1096)*($F$2:F1096=F1096)*($G$2:G1096=G1096)*($I$2:I1096="Duplicate"))-1),"")&amp;".jpeg")</f>
        <v/>
      </c>
      <c r="L1096" s="6"/>
      <c r="M1096" s="5" t="str">
        <f>IFERROR(VLOOKUP(E1096,Specifications!$A$2:$D$9,2,FALSE),"")</f>
        <v/>
      </c>
      <c r="N1096" s="5" t="str">
        <f>IFERROR(VLOOKUP(E1096,Specifications!$A$2:$D$9,3,FALSE),"")</f>
        <v/>
      </c>
      <c r="O1096" s="5" t="str">
        <f>IFERROR(VLOOKUP(E1096,Specifications!$A$2:$D$9,4,FALSE),"")</f>
        <v/>
      </c>
      <c r="P1096" s="8" t="str">
        <f t="shared" si="54"/>
        <v/>
      </c>
      <c r="Q1096" s="9"/>
    </row>
    <row r="1097" spans="1:17" ht="15">
      <c r="A1097" s="5" t="str">
        <f t="shared" si="52"/>
        <v/>
      </c>
      <c r="B1097" s="6"/>
      <c r="C1097" s="5" t="str">
        <f>IFERROR(VLOOKUP(B1097,Lists!$A$2:$B$25,2,FALSE),"")</f>
        <v/>
      </c>
      <c r="D1097" s="7"/>
      <c r="E1097" s="6"/>
      <c r="F1097" s="6" t="str">
        <f t="shared" si="53"/>
        <v/>
      </c>
      <c r="G1097" s="6"/>
      <c r="H1097" s="6"/>
      <c r="I1097" s="6"/>
      <c r="J1097" s="7"/>
      <c r="K1097" s="5" t="str" cm="1">
        <f t="array" ref="K1097">IF(OR(A1097="",B1097="",D1097="",E1097=""),"",A1097&amp;"_"&amp;SUBSTITUTE(B1097," ","-")&amp;"_"&amp;D1097&amp;"_"&amp;SUBSTITUTE(SUBSTITUTE(E1097," ",""),"€","Euro")&amp;"_"&amp;IF(F1097="","Unknown",F1097)&amp;IF(F1097="Commemorative",IF(G1097="","","_"&amp;SUBSTITUTE(SUBSTITUTE(SUBSTITUTE(G1097," ","-"),"/","-"),CHAR(39),"")),"")&amp;IF(I1097="Duplicate","_Dub"&amp;IF(SUMPRODUCT(($B$2:B1097=B1097)*($D$2:D1097=D1097)*($E$2:E1097=E1097)*($F$2:F1097=F1097)*($G$2:G1097=G1097)*($I$2:I1097="Duplicate"))&lt;=1,"",SUMPRODUCT(($B$2:B1097=B1097)*($D$2:D1097=D1097)*($E$2:E1097=E1097)*($F$2:F1097=F1097)*($G$2:G1097=G1097)*($I$2:I1097="Duplicate"))-1),"")&amp;".jpeg")</f>
        <v/>
      </c>
      <c r="L1097" s="6"/>
      <c r="M1097" s="5" t="str">
        <f>IFERROR(VLOOKUP(E1097,Specifications!$A$2:$D$9,2,FALSE),"")</f>
        <v/>
      </c>
      <c r="N1097" s="5" t="str">
        <f>IFERROR(VLOOKUP(E1097,Specifications!$A$2:$D$9,3,FALSE),"")</f>
        <v/>
      </c>
      <c r="O1097" s="5" t="str">
        <f>IFERROR(VLOOKUP(E1097,Specifications!$A$2:$D$9,4,FALSE),"")</f>
        <v/>
      </c>
      <c r="P1097" s="8" t="str">
        <f t="shared" si="54"/>
        <v/>
      </c>
      <c r="Q1097" s="9"/>
    </row>
    <row r="1098" spans="1:17" ht="15">
      <c r="A1098" s="5" t="str">
        <f t="shared" si="52"/>
        <v/>
      </c>
      <c r="B1098" s="6"/>
      <c r="C1098" s="5" t="str">
        <f>IFERROR(VLOOKUP(B1098,Lists!$A$2:$B$25,2,FALSE),"")</f>
        <v/>
      </c>
      <c r="D1098" s="7"/>
      <c r="E1098" s="6"/>
      <c r="F1098" s="6" t="str">
        <f t="shared" si="53"/>
        <v/>
      </c>
      <c r="G1098" s="6"/>
      <c r="H1098" s="6"/>
      <c r="I1098" s="6"/>
      <c r="J1098" s="7"/>
      <c r="K1098" s="5" t="str" cm="1">
        <f t="array" ref="K1098">IF(OR(A1098="",B1098="",D1098="",E1098=""),"",A1098&amp;"_"&amp;SUBSTITUTE(B1098," ","-")&amp;"_"&amp;D1098&amp;"_"&amp;SUBSTITUTE(SUBSTITUTE(E1098," ",""),"€","Euro")&amp;"_"&amp;IF(F1098="","Unknown",F1098)&amp;IF(F1098="Commemorative",IF(G1098="","","_"&amp;SUBSTITUTE(SUBSTITUTE(SUBSTITUTE(G1098," ","-"),"/","-"),CHAR(39),"")),"")&amp;IF(I1098="Duplicate","_Dub"&amp;IF(SUMPRODUCT(($B$2:B1098=B1098)*($D$2:D1098=D1098)*($E$2:E1098=E1098)*($F$2:F1098=F1098)*($G$2:G1098=G1098)*($I$2:I1098="Duplicate"))&lt;=1,"",SUMPRODUCT(($B$2:B1098=B1098)*($D$2:D1098=D1098)*($E$2:E1098=E1098)*($F$2:F1098=F1098)*($G$2:G1098=G1098)*($I$2:I1098="Duplicate"))-1),"")&amp;".jpeg")</f>
        <v/>
      </c>
      <c r="L1098" s="6"/>
      <c r="M1098" s="5" t="str">
        <f>IFERROR(VLOOKUP(E1098,Specifications!$A$2:$D$9,2,FALSE),"")</f>
        <v/>
      </c>
      <c r="N1098" s="5" t="str">
        <f>IFERROR(VLOOKUP(E1098,Specifications!$A$2:$D$9,3,FALSE),"")</f>
        <v/>
      </c>
      <c r="O1098" s="5" t="str">
        <f>IFERROR(VLOOKUP(E1098,Specifications!$A$2:$D$9,4,FALSE),"")</f>
        <v/>
      </c>
      <c r="P1098" s="8" t="str">
        <f t="shared" si="54"/>
        <v/>
      </c>
      <c r="Q1098" s="9"/>
    </row>
    <row r="1099" spans="1:17" ht="15">
      <c r="A1099" s="5" t="str">
        <f t="shared" si="52"/>
        <v/>
      </c>
      <c r="B1099" s="6"/>
      <c r="C1099" s="5" t="str">
        <f>IFERROR(VLOOKUP(B1099,Lists!$A$2:$B$25,2,FALSE),"")</f>
        <v/>
      </c>
      <c r="D1099" s="7"/>
      <c r="E1099" s="6"/>
      <c r="F1099" s="6" t="str">
        <f t="shared" si="53"/>
        <v/>
      </c>
      <c r="G1099" s="6"/>
      <c r="H1099" s="6"/>
      <c r="I1099" s="6"/>
      <c r="J1099" s="7"/>
      <c r="K1099" s="5" t="str" cm="1">
        <f t="array" ref="K1099">IF(OR(A1099="",B1099="",D1099="",E1099=""),"",A1099&amp;"_"&amp;SUBSTITUTE(B1099," ","-")&amp;"_"&amp;D1099&amp;"_"&amp;SUBSTITUTE(SUBSTITUTE(E1099," ",""),"€","Euro")&amp;"_"&amp;IF(F1099="","Unknown",F1099)&amp;IF(F1099="Commemorative",IF(G1099="","","_"&amp;SUBSTITUTE(SUBSTITUTE(SUBSTITUTE(G1099," ","-"),"/","-"),CHAR(39),"")),"")&amp;IF(I1099="Duplicate","_Dub"&amp;IF(SUMPRODUCT(($B$2:B1099=B1099)*($D$2:D1099=D1099)*($E$2:E1099=E1099)*($F$2:F1099=F1099)*($G$2:G1099=G1099)*($I$2:I1099="Duplicate"))&lt;=1,"",SUMPRODUCT(($B$2:B1099=B1099)*($D$2:D1099=D1099)*($E$2:E1099=E1099)*($F$2:F1099=F1099)*($G$2:G1099=G1099)*($I$2:I1099="Duplicate"))-1),"")&amp;".jpeg")</f>
        <v/>
      </c>
      <c r="L1099" s="6"/>
      <c r="M1099" s="5" t="str">
        <f>IFERROR(VLOOKUP(E1099,Specifications!$A$2:$D$9,2,FALSE),"")</f>
        <v/>
      </c>
      <c r="N1099" s="5" t="str">
        <f>IFERROR(VLOOKUP(E1099,Specifications!$A$2:$D$9,3,FALSE),"")</f>
        <v/>
      </c>
      <c r="O1099" s="5" t="str">
        <f>IFERROR(VLOOKUP(E1099,Specifications!$A$2:$D$9,4,FALSE),"")</f>
        <v/>
      </c>
      <c r="P1099" s="8" t="str">
        <f t="shared" si="54"/>
        <v/>
      </c>
      <c r="Q1099" s="9"/>
    </row>
    <row r="1100" spans="1:17" ht="15">
      <c r="A1100" s="5" t="str">
        <f t="shared" si="52"/>
        <v/>
      </c>
      <c r="B1100" s="6"/>
      <c r="C1100" s="5" t="str">
        <f>IFERROR(VLOOKUP(B1100,Lists!$A$2:$B$25,2,FALSE),"")</f>
        <v/>
      </c>
      <c r="D1100" s="7"/>
      <c r="E1100" s="6"/>
      <c r="F1100" s="6" t="str">
        <f t="shared" si="53"/>
        <v/>
      </c>
      <c r="G1100" s="6"/>
      <c r="H1100" s="6"/>
      <c r="I1100" s="6"/>
      <c r="J1100" s="7"/>
      <c r="K1100" s="5" t="str" cm="1">
        <f t="array" ref="K1100">IF(OR(A1100="",B1100="",D1100="",E1100=""),"",A1100&amp;"_"&amp;SUBSTITUTE(B1100," ","-")&amp;"_"&amp;D1100&amp;"_"&amp;SUBSTITUTE(SUBSTITUTE(E1100," ",""),"€","Euro")&amp;"_"&amp;IF(F1100="","Unknown",F1100)&amp;IF(F1100="Commemorative",IF(G1100="","","_"&amp;SUBSTITUTE(SUBSTITUTE(SUBSTITUTE(G1100," ","-"),"/","-"),CHAR(39),"")),"")&amp;IF(I1100="Duplicate","_Dub"&amp;IF(SUMPRODUCT(($B$2:B1100=B1100)*($D$2:D1100=D1100)*($E$2:E1100=E1100)*($F$2:F1100=F1100)*($G$2:G1100=G1100)*($I$2:I1100="Duplicate"))&lt;=1,"",SUMPRODUCT(($B$2:B1100=B1100)*($D$2:D1100=D1100)*($E$2:E1100=E1100)*($F$2:F1100=F1100)*($G$2:G1100=G1100)*($I$2:I1100="Duplicate"))-1),"")&amp;".jpeg")</f>
        <v/>
      </c>
      <c r="L1100" s="6"/>
      <c r="M1100" s="5" t="str">
        <f>IFERROR(VLOOKUP(E1100,Specifications!$A$2:$D$9,2,FALSE),"")</f>
        <v/>
      </c>
      <c r="N1100" s="5" t="str">
        <f>IFERROR(VLOOKUP(E1100,Specifications!$A$2:$D$9,3,FALSE),"")</f>
        <v/>
      </c>
      <c r="O1100" s="5" t="str">
        <f>IFERROR(VLOOKUP(E1100,Specifications!$A$2:$D$9,4,FALSE),"")</f>
        <v/>
      </c>
      <c r="P1100" s="8" t="str">
        <f t="shared" si="54"/>
        <v/>
      </c>
      <c r="Q1100" s="9"/>
    </row>
    <row r="1101" spans="1:17" ht="15">
      <c r="A1101" s="5" t="str">
        <f t="shared" si="52"/>
        <v/>
      </c>
      <c r="B1101" s="6"/>
      <c r="C1101" s="5" t="str">
        <f>IFERROR(VLOOKUP(B1101,Lists!$A$2:$B$25,2,FALSE),"")</f>
        <v/>
      </c>
      <c r="D1101" s="7"/>
      <c r="E1101" s="6"/>
      <c r="F1101" s="6" t="str">
        <f t="shared" si="53"/>
        <v/>
      </c>
      <c r="G1101" s="6"/>
      <c r="H1101" s="6"/>
      <c r="I1101" s="6"/>
      <c r="J1101" s="7"/>
      <c r="K1101" s="5" t="str" cm="1">
        <f t="array" ref="K1101">IF(OR(A1101="",B1101="",D1101="",E1101=""),"",A1101&amp;"_"&amp;SUBSTITUTE(B1101," ","-")&amp;"_"&amp;D1101&amp;"_"&amp;SUBSTITUTE(SUBSTITUTE(E1101," ",""),"€","Euro")&amp;"_"&amp;IF(F1101="","Unknown",F1101)&amp;IF(F1101="Commemorative",IF(G1101="","","_"&amp;SUBSTITUTE(SUBSTITUTE(SUBSTITUTE(G1101," ","-"),"/","-"),CHAR(39),"")),"")&amp;IF(I1101="Duplicate","_Dub"&amp;IF(SUMPRODUCT(($B$2:B1101=B1101)*($D$2:D1101=D1101)*($E$2:E1101=E1101)*($F$2:F1101=F1101)*($G$2:G1101=G1101)*($I$2:I1101="Duplicate"))&lt;=1,"",SUMPRODUCT(($B$2:B1101=B1101)*($D$2:D1101=D1101)*($E$2:E1101=E1101)*($F$2:F1101=F1101)*($G$2:G1101=G1101)*($I$2:I1101="Duplicate"))-1),"")&amp;".jpeg")</f>
        <v/>
      </c>
      <c r="L1101" s="6"/>
      <c r="M1101" s="5" t="str">
        <f>IFERROR(VLOOKUP(E1101,Specifications!$A$2:$D$9,2,FALSE),"")</f>
        <v/>
      </c>
      <c r="N1101" s="5" t="str">
        <f>IFERROR(VLOOKUP(E1101,Specifications!$A$2:$D$9,3,FALSE),"")</f>
        <v/>
      </c>
      <c r="O1101" s="5" t="str">
        <f>IFERROR(VLOOKUP(E1101,Specifications!$A$2:$D$9,4,FALSE),"")</f>
        <v/>
      </c>
      <c r="P1101" s="8" t="str">
        <f t="shared" si="54"/>
        <v/>
      </c>
      <c r="Q1101" s="9"/>
    </row>
    <row r="1102" spans="1:17" ht="15">
      <c r="A1102" s="5" t="str">
        <f t="shared" si="52"/>
        <v/>
      </c>
      <c r="B1102" s="6"/>
      <c r="C1102" s="5" t="str">
        <f>IFERROR(VLOOKUP(B1102,Lists!$A$2:$B$25,2,FALSE),"")</f>
        <v/>
      </c>
      <c r="D1102" s="7"/>
      <c r="E1102" s="6"/>
      <c r="F1102" s="6" t="str">
        <f t="shared" si="53"/>
        <v/>
      </c>
      <c r="G1102" s="6"/>
      <c r="H1102" s="6"/>
      <c r="I1102" s="6"/>
      <c r="J1102" s="7"/>
      <c r="K1102" s="5" t="str" cm="1">
        <f t="array" ref="K1102">IF(OR(A1102="",B1102="",D1102="",E1102=""),"",A1102&amp;"_"&amp;SUBSTITUTE(B1102," ","-")&amp;"_"&amp;D1102&amp;"_"&amp;SUBSTITUTE(SUBSTITUTE(E1102," ",""),"€","Euro")&amp;"_"&amp;IF(F1102="","Unknown",F1102)&amp;IF(F1102="Commemorative",IF(G1102="","","_"&amp;SUBSTITUTE(SUBSTITUTE(SUBSTITUTE(G1102," ","-"),"/","-"),CHAR(39),"")),"")&amp;IF(I1102="Duplicate","_Dub"&amp;IF(SUMPRODUCT(($B$2:B1102=B1102)*($D$2:D1102=D1102)*($E$2:E1102=E1102)*($F$2:F1102=F1102)*($G$2:G1102=G1102)*($I$2:I1102="Duplicate"))&lt;=1,"",SUMPRODUCT(($B$2:B1102=B1102)*($D$2:D1102=D1102)*($E$2:E1102=E1102)*($F$2:F1102=F1102)*($G$2:G1102=G1102)*($I$2:I1102="Duplicate"))-1),"")&amp;".jpeg")</f>
        <v/>
      </c>
      <c r="L1102" s="6"/>
      <c r="M1102" s="5" t="str">
        <f>IFERROR(VLOOKUP(E1102,Specifications!$A$2:$D$9,2,FALSE),"")</f>
        <v/>
      </c>
      <c r="N1102" s="5" t="str">
        <f>IFERROR(VLOOKUP(E1102,Specifications!$A$2:$D$9,3,FALSE),"")</f>
        <v/>
      </c>
      <c r="O1102" s="5" t="str">
        <f>IFERROR(VLOOKUP(E1102,Specifications!$A$2:$D$9,4,FALSE),"")</f>
        <v/>
      </c>
      <c r="P1102" s="8" t="str">
        <f t="shared" si="54"/>
        <v/>
      </c>
      <c r="Q1102" s="9"/>
    </row>
    <row r="1103" spans="1:17" ht="15">
      <c r="A1103" s="5" t="str">
        <f t="shared" si="52"/>
        <v/>
      </c>
      <c r="B1103" s="6"/>
      <c r="C1103" s="5" t="str">
        <f>IFERROR(VLOOKUP(B1103,Lists!$A$2:$B$25,2,FALSE),"")</f>
        <v/>
      </c>
      <c r="D1103" s="7"/>
      <c r="E1103" s="6"/>
      <c r="F1103" s="6" t="str">
        <f t="shared" si="53"/>
        <v/>
      </c>
      <c r="G1103" s="6"/>
      <c r="H1103" s="6"/>
      <c r="I1103" s="6"/>
      <c r="J1103" s="7"/>
      <c r="K1103" s="5" t="str" cm="1">
        <f t="array" ref="K1103">IF(OR(A1103="",B1103="",D1103="",E1103=""),"",A1103&amp;"_"&amp;SUBSTITUTE(B1103," ","-")&amp;"_"&amp;D1103&amp;"_"&amp;SUBSTITUTE(SUBSTITUTE(E1103," ",""),"€","Euro")&amp;"_"&amp;IF(F1103="","Unknown",F1103)&amp;IF(F1103="Commemorative",IF(G1103="","","_"&amp;SUBSTITUTE(SUBSTITUTE(SUBSTITUTE(G1103," ","-"),"/","-"),CHAR(39),"")),"")&amp;IF(I1103="Duplicate","_Dub"&amp;IF(SUMPRODUCT(($B$2:B1103=B1103)*($D$2:D1103=D1103)*($E$2:E1103=E1103)*($F$2:F1103=F1103)*($G$2:G1103=G1103)*($I$2:I1103="Duplicate"))&lt;=1,"",SUMPRODUCT(($B$2:B1103=B1103)*($D$2:D1103=D1103)*($E$2:E1103=E1103)*($F$2:F1103=F1103)*($G$2:G1103=G1103)*($I$2:I1103="Duplicate"))-1),"")&amp;".jpeg")</f>
        <v/>
      </c>
      <c r="L1103" s="6"/>
      <c r="M1103" s="5" t="str">
        <f>IFERROR(VLOOKUP(E1103,Specifications!$A$2:$D$9,2,FALSE),"")</f>
        <v/>
      </c>
      <c r="N1103" s="5" t="str">
        <f>IFERROR(VLOOKUP(E1103,Specifications!$A$2:$D$9,3,FALSE),"")</f>
        <v/>
      </c>
      <c r="O1103" s="5" t="str">
        <f>IFERROR(VLOOKUP(E1103,Specifications!$A$2:$D$9,4,FALSE),"")</f>
        <v/>
      </c>
      <c r="P1103" s="8" t="str">
        <f t="shared" si="54"/>
        <v/>
      </c>
      <c r="Q1103" s="9"/>
    </row>
    <row r="1104" spans="1:17" ht="15">
      <c r="A1104" s="5" t="str">
        <f t="shared" si="52"/>
        <v/>
      </c>
      <c r="B1104" s="6"/>
      <c r="C1104" s="5" t="str">
        <f>IFERROR(VLOOKUP(B1104,Lists!$A$2:$B$25,2,FALSE),"")</f>
        <v/>
      </c>
      <c r="D1104" s="7"/>
      <c r="E1104" s="6"/>
      <c r="F1104" s="6" t="str">
        <f t="shared" si="53"/>
        <v/>
      </c>
      <c r="G1104" s="6"/>
      <c r="H1104" s="6"/>
      <c r="I1104" s="6"/>
      <c r="J1104" s="7"/>
      <c r="K1104" s="5" t="str" cm="1">
        <f t="array" ref="K1104">IF(OR(A1104="",B1104="",D1104="",E1104=""),"",A1104&amp;"_"&amp;SUBSTITUTE(B1104," ","-")&amp;"_"&amp;D1104&amp;"_"&amp;SUBSTITUTE(SUBSTITUTE(E1104," ",""),"€","Euro")&amp;"_"&amp;IF(F1104="","Unknown",F1104)&amp;IF(F1104="Commemorative",IF(G1104="","","_"&amp;SUBSTITUTE(SUBSTITUTE(SUBSTITUTE(G1104," ","-"),"/","-"),CHAR(39),"")),"")&amp;IF(I1104="Duplicate","_Dub"&amp;IF(SUMPRODUCT(($B$2:B1104=B1104)*($D$2:D1104=D1104)*($E$2:E1104=E1104)*($F$2:F1104=F1104)*($G$2:G1104=G1104)*($I$2:I1104="Duplicate"))&lt;=1,"",SUMPRODUCT(($B$2:B1104=B1104)*($D$2:D1104=D1104)*($E$2:E1104=E1104)*($F$2:F1104=F1104)*($G$2:G1104=G1104)*($I$2:I1104="Duplicate"))-1),"")&amp;".jpeg")</f>
        <v/>
      </c>
      <c r="L1104" s="6"/>
      <c r="M1104" s="5" t="str">
        <f>IFERROR(VLOOKUP(E1104,Specifications!$A$2:$D$9,2,FALSE),"")</f>
        <v/>
      </c>
      <c r="N1104" s="5" t="str">
        <f>IFERROR(VLOOKUP(E1104,Specifications!$A$2:$D$9,3,FALSE),"")</f>
        <v/>
      </c>
      <c r="O1104" s="5" t="str">
        <f>IFERROR(VLOOKUP(E1104,Specifications!$A$2:$D$9,4,FALSE),"")</f>
        <v/>
      </c>
      <c r="P1104" s="8" t="str">
        <f t="shared" si="54"/>
        <v/>
      </c>
      <c r="Q1104" s="9"/>
    </row>
    <row r="1105" spans="1:17" ht="15">
      <c r="A1105" s="5" t="str">
        <f t="shared" si="52"/>
        <v/>
      </c>
      <c r="B1105" s="6"/>
      <c r="C1105" s="5" t="str">
        <f>IFERROR(VLOOKUP(B1105,Lists!$A$2:$B$25,2,FALSE),"")</f>
        <v/>
      </c>
      <c r="D1105" s="7"/>
      <c r="E1105" s="6"/>
      <c r="F1105" s="6" t="str">
        <f t="shared" si="53"/>
        <v/>
      </c>
      <c r="G1105" s="6"/>
      <c r="H1105" s="6"/>
      <c r="I1105" s="6"/>
      <c r="J1105" s="7"/>
      <c r="K1105" s="5" t="str" cm="1">
        <f t="array" ref="K1105">IF(OR(A1105="",B1105="",D1105="",E1105=""),"",A1105&amp;"_"&amp;SUBSTITUTE(B1105," ","-")&amp;"_"&amp;D1105&amp;"_"&amp;SUBSTITUTE(SUBSTITUTE(E1105," ",""),"€","Euro")&amp;"_"&amp;IF(F1105="","Unknown",F1105)&amp;IF(F1105="Commemorative",IF(G1105="","","_"&amp;SUBSTITUTE(SUBSTITUTE(SUBSTITUTE(G1105," ","-"),"/","-"),CHAR(39),"")),"")&amp;IF(I1105="Duplicate","_Dub"&amp;IF(SUMPRODUCT(($B$2:B1105=B1105)*($D$2:D1105=D1105)*($E$2:E1105=E1105)*($F$2:F1105=F1105)*($G$2:G1105=G1105)*($I$2:I1105="Duplicate"))&lt;=1,"",SUMPRODUCT(($B$2:B1105=B1105)*($D$2:D1105=D1105)*($E$2:E1105=E1105)*($F$2:F1105=F1105)*($G$2:G1105=G1105)*($I$2:I1105="Duplicate"))-1),"")&amp;".jpeg")</f>
        <v/>
      </c>
      <c r="L1105" s="6"/>
      <c r="M1105" s="5" t="str">
        <f>IFERROR(VLOOKUP(E1105,Specifications!$A$2:$D$9,2,FALSE),"")</f>
        <v/>
      </c>
      <c r="N1105" s="5" t="str">
        <f>IFERROR(VLOOKUP(E1105,Specifications!$A$2:$D$9,3,FALSE),"")</f>
        <v/>
      </c>
      <c r="O1105" s="5" t="str">
        <f>IFERROR(VLOOKUP(E1105,Specifications!$A$2:$D$9,4,FALSE),"")</f>
        <v/>
      </c>
      <c r="P1105" s="8" t="str">
        <f t="shared" si="54"/>
        <v/>
      </c>
      <c r="Q1105" s="9"/>
    </row>
    <row r="1106" spans="1:17" ht="15">
      <c r="A1106" s="5" t="str">
        <f t="shared" si="52"/>
        <v/>
      </c>
      <c r="B1106" s="6"/>
      <c r="C1106" s="5" t="str">
        <f>IFERROR(VLOOKUP(B1106,Lists!$A$2:$B$25,2,FALSE),"")</f>
        <v/>
      </c>
      <c r="D1106" s="7"/>
      <c r="E1106" s="6"/>
      <c r="F1106" s="6" t="str">
        <f t="shared" si="53"/>
        <v/>
      </c>
      <c r="G1106" s="6"/>
      <c r="H1106" s="6"/>
      <c r="I1106" s="6"/>
      <c r="J1106" s="7"/>
      <c r="K1106" s="5" t="str" cm="1">
        <f t="array" ref="K1106">IF(OR(A1106="",B1106="",D1106="",E1106=""),"",A1106&amp;"_"&amp;SUBSTITUTE(B1106," ","-")&amp;"_"&amp;D1106&amp;"_"&amp;SUBSTITUTE(SUBSTITUTE(E1106," ",""),"€","Euro")&amp;"_"&amp;IF(F1106="","Unknown",F1106)&amp;IF(F1106="Commemorative",IF(G1106="","","_"&amp;SUBSTITUTE(SUBSTITUTE(SUBSTITUTE(G1106," ","-"),"/","-"),CHAR(39),"")),"")&amp;IF(I1106="Duplicate","_Dub"&amp;IF(SUMPRODUCT(($B$2:B1106=B1106)*($D$2:D1106=D1106)*($E$2:E1106=E1106)*($F$2:F1106=F1106)*($G$2:G1106=G1106)*($I$2:I1106="Duplicate"))&lt;=1,"",SUMPRODUCT(($B$2:B1106=B1106)*($D$2:D1106=D1106)*($E$2:E1106=E1106)*($F$2:F1106=F1106)*($G$2:G1106=G1106)*($I$2:I1106="Duplicate"))-1),"")&amp;".jpeg")</f>
        <v/>
      </c>
      <c r="L1106" s="6"/>
      <c r="M1106" s="5" t="str">
        <f>IFERROR(VLOOKUP(E1106,Specifications!$A$2:$D$9,2,FALSE),"")</f>
        <v/>
      </c>
      <c r="N1106" s="5" t="str">
        <f>IFERROR(VLOOKUP(E1106,Specifications!$A$2:$D$9,3,FALSE),"")</f>
        <v/>
      </c>
      <c r="O1106" s="5" t="str">
        <f>IFERROR(VLOOKUP(E1106,Specifications!$A$2:$D$9,4,FALSE),"")</f>
        <v/>
      </c>
      <c r="P1106" s="8" t="str">
        <f t="shared" si="54"/>
        <v/>
      </c>
      <c r="Q1106" s="9"/>
    </row>
    <row r="1107" spans="1:17" ht="15">
      <c r="A1107" s="5" t="str">
        <f t="shared" si="52"/>
        <v/>
      </c>
      <c r="B1107" s="6"/>
      <c r="C1107" s="5" t="str">
        <f>IFERROR(VLOOKUP(B1107,Lists!$A$2:$B$25,2,FALSE),"")</f>
        <v/>
      </c>
      <c r="D1107" s="7"/>
      <c r="E1107" s="6"/>
      <c r="F1107" s="6" t="str">
        <f t="shared" si="53"/>
        <v/>
      </c>
      <c r="G1107" s="6"/>
      <c r="H1107" s="6"/>
      <c r="I1107" s="6"/>
      <c r="J1107" s="7"/>
      <c r="K1107" s="5" t="str" cm="1">
        <f t="array" ref="K1107">IF(OR(A1107="",B1107="",D1107="",E1107=""),"",A1107&amp;"_"&amp;SUBSTITUTE(B1107," ","-")&amp;"_"&amp;D1107&amp;"_"&amp;SUBSTITUTE(SUBSTITUTE(E1107," ",""),"€","Euro")&amp;"_"&amp;IF(F1107="","Unknown",F1107)&amp;IF(F1107="Commemorative",IF(G1107="","","_"&amp;SUBSTITUTE(SUBSTITUTE(SUBSTITUTE(G1107," ","-"),"/","-"),CHAR(39),"")),"")&amp;IF(I1107="Duplicate","_Dub"&amp;IF(SUMPRODUCT(($B$2:B1107=B1107)*($D$2:D1107=D1107)*($E$2:E1107=E1107)*($F$2:F1107=F1107)*($G$2:G1107=G1107)*($I$2:I1107="Duplicate"))&lt;=1,"",SUMPRODUCT(($B$2:B1107=B1107)*($D$2:D1107=D1107)*($E$2:E1107=E1107)*($F$2:F1107=F1107)*($G$2:G1107=G1107)*($I$2:I1107="Duplicate"))-1),"")&amp;".jpeg")</f>
        <v/>
      </c>
      <c r="L1107" s="6"/>
      <c r="M1107" s="5" t="str">
        <f>IFERROR(VLOOKUP(E1107,Specifications!$A$2:$D$9,2,FALSE),"")</f>
        <v/>
      </c>
      <c r="N1107" s="5" t="str">
        <f>IFERROR(VLOOKUP(E1107,Specifications!$A$2:$D$9,3,FALSE),"")</f>
        <v/>
      </c>
      <c r="O1107" s="5" t="str">
        <f>IFERROR(VLOOKUP(E1107,Specifications!$A$2:$D$9,4,FALSE),"")</f>
        <v/>
      </c>
      <c r="P1107" s="8" t="str">
        <f t="shared" si="54"/>
        <v/>
      </c>
      <c r="Q1107" s="9"/>
    </row>
    <row r="1108" spans="1:17" ht="15">
      <c r="A1108" s="5" t="str">
        <f t="shared" si="52"/>
        <v/>
      </c>
      <c r="B1108" s="6"/>
      <c r="C1108" s="5" t="str">
        <f>IFERROR(VLOOKUP(B1108,Lists!$A$2:$B$25,2,FALSE),"")</f>
        <v/>
      </c>
      <c r="D1108" s="7"/>
      <c r="E1108" s="6"/>
      <c r="F1108" s="6" t="str">
        <f t="shared" si="53"/>
        <v/>
      </c>
      <c r="G1108" s="6"/>
      <c r="H1108" s="6"/>
      <c r="I1108" s="6"/>
      <c r="J1108" s="7"/>
      <c r="K1108" s="5" t="str" cm="1">
        <f t="array" ref="K1108">IF(OR(A1108="",B1108="",D1108="",E1108=""),"",A1108&amp;"_"&amp;SUBSTITUTE(B1108," ","-")&amp;"_"&amp;D1108&amp;"_"&amp;SUBSTITUTE(SUBSTITUTE(E1108," ",""),"€","Euro")&amp;"_"&amp;IF(F1108="","Unknown",F1108)&amp;IF(F1108="Commemorative",IF(G1108="","","_"&amp;SUBSTITUTE(SUBSTITUTE(SUBSTITUTE(G1108," ","-"),"/","-"),CHAR(39),"")),"")&amp;IF(I1108="Duplicate","_Dub"&amp;IF(SUMPRODUCT(($B$2:B1108=B1108)*($D$2:D1108=D1108)*($E$2:E1108=E1108)*($F$2:F1108=F1108)*($G$2:G1108=G1108)*($I$2:I1108="Duplicate"))&lt;=1,"",SUMPRODUCT(($B$2:B1108=B1108)*($D$2:D1108=D1108)*($E$2:E1108=E1108)*($F$2:F1108=F1108)*($G$2:G1108=G1108)*($I$2:I1108="Duplicate"))-1),"")&amp;".jpeg")</f>
        <v/>
      </c>
      <c r="L1108" s="6"/>
      <c r="M1108" s="5" t="str">
        <f>IFERROR(VLOOKUP(E1108,Specifications!$A$2:$D$9,2,FALSE),"")</f>
        <v/>
      </c>
      <c r="N1108" s="5" t="str">
        <f>IFERROR(VLOOKUP(E1108,Specifications!$A$2:$D$9,3,FALSE),"")</f>
        <v/>
      </c>
      <c r="O1108" s="5" t="str">
        <f>IFERROR(VLOOKUP(E1108,Specifications!$A$2:$D$9,4,FALSE),"")</f>
        <v/>
      </c>
      <c r="P1108" s="8" t="str">
        <f t="shared" si="54"/>
        <v/>
      </c>
      <c r="Q1108" s="9"/>
    </row>
    <row r="1109" spans="1:17" ht="15">
      <c r="A1109" s="5" t="str">
        <f t="shared" si="52"/>
        <v/>
      </c>
      <c r="B1109" s="6"/>
      <c r="C1109" s="5" t="str">
        <f>IFERROR(VLOOKUP(B1109,Lists!$A$2:$B$25,2,FALSE),"")</f>
        <v/>
      </c>
      <c r="D1109" s="7"/>
      <c r="E1109" s="6"/>
      <c r="F1109" s="6" t="str">
        <f t="shared" si="53"/>
        <v/>
      </c>
      <c r="G1109" s="6"/>
      <c r="H1109" s="6"/>
      <c r="I1109" s="6"/>
      <c r="J1109" s="7"/>
      <c r="K1109" s="5" t="str" cm="1">
        <f t="array" ref="K1109">IF(OR(A1109="",B1109="",D1109="",E1109=""),"",A1109&amp;"_"&amp;SUBSTITUTE(B1109," ","-")&amp;"_"&amp;D1109&amp;"_"&amp;SUBSTITUTE(SUBSTITUTE(E1109," ",""),"€","Euro")&amp;"_"&amp;IF(F1109="","Unknown",F1109)&amp;IF(F1109="Commemorative",IF(G1109="","","_"&amp;SUBSTITUTE(SUBSTITUTE(SUBSTITUTE(G1109," ","-"),"/","-"),CHAR(39),"")),"")&amp;IF(I1109="Duplicate","_Dub"&amp;IF(SUMPRODUCT(($B$2:B1109=B1109)*($D$2:D1109=D1109)*($E$2:E1109=E1109)*($F$2:F1109=F1109)*($G$2:G1109=G1109)*($I$2:I1109="Duplicate"))&lt;=1,"",SUMPRODUCT(($B$2:B1109=B1109)*($D$2:D1109=D1109)*($E$2:E1109=E1109)*($F$2:F1109=F1109)*($G$2:G1109=G1109)*($I$2:I1109="Duplicate"))-1),"")&amp;".jpeg")</f>
        <v/>
      </c>
      <c r="L1109" s="6"/>
      <c r="M1109" s="5" t="str">
        <f>IFERROR(VLOOKUP(E1109,Specifications!$A$2:$D$9,2,FALSE),"")</f>
        <v/>
      </c>
      <c r="N1109" s="5" t="str">
        <f>IFERROR(VLOOKUP(E1109,Specifications!$A$2:$D$9,3,FALSE),"")</f>
        <v/>
      </c>
      <c r="O1109" s="5" t="str">
        <f>IFERROR(VLOOKUP(E1109,Specifications!$A$2:$D$9,4,FALSE),"")</f>
        <v/>
      </c>
      <c r="P1109" s="8" t="str">
        <f t="shared" si="54"/>
        <v/>
      </c>
      <c r="Q1109" s="9"/>
    </row>
    <row r="1110" spans="1:17" ht="15">
      <c r="A1110" s="5" t="str">
        <f t="shared" si="52"/>
        <v/>
      </c>
      <c r="B1110" s="6"/>
      <c r="C1110" s="5" t="str">
        <f>IFERROR(VLOOKUP(B1110,Lists!$A$2:$B$25,2,FALSE),"")</f>
        <v/>
      </c>
      <c r="D1110" s="7"/>
      <c r="E1110" s="6"/>
      <c r="F1110" s="6" t="str">
        <f t="shared" si="53"/>
        <v/>
      </c>
      <c r="G1110" s="6"/>
      <c r="H1110" s="6"/>
      <c r="I1110" s="6"/>
      <c r="J1110" s="7"/>
      <c r="K1110" s="5" t="str" cm="1">
        <f t="array" ref="K1110">IF(OR(A1110="",B1110="",D1110="",E1110=""),"",A1110&amp;"_"&amp;SUBSTITUTE(B1110," ","-")&amp;"_"&amp;D1110&amp;"_"&amp;SUBSTITUTE(SUBSTITUTE(E1110," ",""),"€","Euro")&amp;"_"&amp;IF(F1110="","Unknown",F1110)&amp;IF(F1110="Commemorative",IF(G1110="","","_"&amp;SUBSTITUTE(SUBSTITUTE(SUBSTITUTE(G1110," ","-"),"/","-"),CHAR(39),"")),"")&amp;IF(I1110="Duplicate","_Dub"&amp;IF(SUMPRODUCT(($B$2:B1110=B1110)*($D$2:D1110=D1110)*($E$2:E1110=E1110)*($F$2:F1110=F1110)*($G$2:G1110=G1110)*($I$2:I1110="Duplicate"))&lt;=1,"",SUMPRODUCT(($B$2:B1110=B1110)*($D$2:D1110=D1110)*($E$2:E1110=E1110)*($F$2:F1110=F1110)*($G$2:G1110=G1110)*($I$2:I1110="Duplicate"))-1),"")&amp;".jpeg")</f>
        <v/>
      </c>
      <c r="L1110" s="6"/>
      <c r="M1110" s="5" t="str">
        <f>IFERROR(VLOOKUP(E1110,Specifications!$A$2:$D$9,2,FALSE),"")</f>
        <v/>
      </c>
      <c r="N1110" s="5" t="str">
        <f>IFERROR(VLOOKUP(E1110,Specifications!$A$2:$D$9,3,FALSE),"")</f>
        <v/>
      </c>
      <c r="O1110" s="5" t="str">
        <f>IFERROR(VLOOKUP(E1110,Specifications!$A$2:$D$9,4,FALSE),"")</f>
        <v/>
      </c>
      <c r="P1110" s="8" t="str">
        <f t="shared" si="54"/>
        <v/>
      </c>
      <c r="Q1110" s="9"/>
    </row>
    <row r="1111" spans="1:17" ht="15">
      <c r="A1111" s="5" t="str">
        <f t="shared" si="52"/>
        <v/>
      </c>
      <c r="B1111" s="6"/>
      <c r="C1111" s="5" t="str">
        <f>IFERROR(VLOOKUP(B1111,Lists!$A$2:$B$25,2,FALSE),"")</f>
        <v/>
      </c>
      <c r="D1111" s="7"/>
      <c r="E1111" s="6"/>
      <c r="F1111" s="6" t="str">
        <f t="shared" si="53"/>
        <v/>
      </c>
      <c r="G1111" s="6"/>
      <c r="H1111" s="6"/>
      <c r="I1111" s="6"/>
      <c r="J1111" s="7"/>
      <c r="K1111" s="5" t="str" cm="1">
        <f t="array" ref="K1111">IF(OR(A1111="",B1111="",D1111="",E1111=""),"",A1111&amp;"_"&amp;SUBSTITUTE(B1111," ","-")&amp;"_"&amp;D1111&amp;"_"&amp;SUBSTITUTE(SUBSTITUTE(E1111," ",""),"€","Euro")&amp;"_"&amp;IF(F1111="","Unknown",F1111)&amp;IF(F1111="Commemorative",IF(G1111="","","_"&amp;SUBSTITUTE(SUBSTITUTE(SUBSTITUTE(G1111," ","-"),"/","-"),CHAR(39),"")),"")&amp;IF(I1111="Duplicate","_Dub"&amp;IF(SUMPRODUCT(($B$2:B1111=B1111)*($D$2:D1111=D1111)*($E$2:E1111=E1111)*($F$2:F1111=F1111)*($G$2:G1111=G1111)*($I$2:I1111="Duplicate"))&lt;=1,"",SUMPRODUCT(($B$2:B1111=B1111)*($D$2:D1111=D1111)*($E$2:E1111=E1111)*($F$2:F1111=F1111)*($G$2:G1111=G1111)*($I$2:I1111="Duplicate"))-1),"")&amp;".jpeg")</f>
        <v/>
      </c>
      <c r="L1111" s="6"/>
      <c r="M1111" s="5" t="str">
        <f>IFERROR(VLOOKUP(E1111,Specifications!$A$2:$D$9,2,FALSE),"")</f>
        <v/>
      </c>
      <c r="N1111" s="5" t="str">
        <f>IFERROR(VLOOKUP(E1111,Specifications!$A$2:$D$9,3,FALSE),"")</f>
        <v/>
      </c>
      <c r="O1111" s="5" t="str">
        <f>IFERROR(VLOOKUP(E1111,Specifications!$A$2:$D$9,4,FALSE),"")</f>
        <v/>
      </c>
      <c r="P1111" s="8" t="str">
        <f t="shared" si="54"/>
        <v/>
      </c>
      <c r="Q1111" s="9"/>
    </row>
    <row r="1112" spans="1:17" ht="15">
      <c r="A1112" s="5" t="str">
        <f t="shared" si="52"/>
        <v/>
      </c>
      <c r="B1112" s="6"/>
      <c r="C1112" s="5" t="str">
        <f>IFERROR(VLOOKUP(B1112,Lists!$A$2:$B$25,2,FALSE),"")</f>
        <v/>
      </c>
      <c r="D1112" s="7"/>
      <c r="E1112" s="6"/>
      <c r="F1112" s="6" t="str">
        <f t="shared" si="53"/>
        <v/>
      </c>
      <c r="G1112" s="6"/>
      <c r="H1112" s="6"/>
      <c r="I1112" s="6"/>
      <c r="J1112" s="7"/>
      <c r="K1112" s="5" t="str" cm="1">
        <f t="array" ref="K1112">IF(OR(A1112="",B1112="",D1112="",E1112=""),"",A1112&amp;"_"&amp;SUBSTITUTE(B1112," ","-")&amp;"_"&amp;D1112&amp;"_"&amp;SUBSTITUTE(SUBSTITUTE(E1112," ",""),"€","Euro")&amp;"_"&amp;IF(F1112="","Unknown",F1112)&amp;IF(F1112="Commemorative",IF(G1112="","","_"&amp;SUBSTITUTE(SUBSTITUTE(SUBSTITUTE(G1112," ","-"),"/","-"),CHAR(39),"")),"")&amp;IF(I1112="Duplicate","_Dub"&amp;IF(SUMPRODUCT(($B$2:B1112=B1112)*($D$2:D1112=D1112)*($E$2:E1112=E1112)*($F$2:F1112=F1112)*($G$2:G1112=G1112)*($I$2:I1112="Duplicate"))&lt;=1,"",SUMPRODUCT(($B$2:B1112=B1112)*($D$2:D1112=D1112)*($E$2:E1112=E1112)*($F$2:F1112=F1112)*($G$2:G1112=G1112)*($I$2:I1112="Duplicate"))-1),"")&amp;".jpeg")</f>
        <v/>
      </c>
      <c r="L1112" s="6"/>
      <c r="M1112" s="5" t="str">
        <f>IFERROR(VLOOKUP(E1112,Specifications!$A$2:$D$9,2,FALSE),"")</f>
        <v/>
      </c>
      <c r="N1112" s="5" t="str">
        <f>IFERROR(VLOOKUP(E1112,Specifications!$A$2:$D$9,3,FALSE),"")</f>
        <v/>
      </c>
      <c r="O1112" s="5" t="str">
        <f>IFERROR(VLOOKUP(E1112,Specifications!$A$2:$D$9,4,FALSE),"")</f>
        <v/>
      </c>
      <c r="P1112" s="8" t="str">
        <f t="shared" si="54"/>
        <v/>
      </c>
      <c r="Q1112" s="9"/>
    </row>
    <row r="1113" spans="1:17" ht="15">
      <c r="A1113" s="5" t="str">
        <f t="shared" si="52"/>
        <v/>
      </c>
      <c r="B1113" s="6"/>
      <c r="C1113" s="5" t="str">
        <f>IFERROR(VLOOKUP(B1113,Lists!$A$2:$B$25,2,FALSE),"")</f>
        <v/>
      </c>
      <c r="D1113" s="7"/>
      <c r="E1113" s="6"/>
      <c r="F1113" s="6" t="str">
        <f t="shared" si="53"/>
        <v/>
      </c>
      <c r="G1113" s="6"/>
      <c r="H1113" s="6"/>
      <c r="I1113" s="6"/>
      <c r="J1113" s="7"/>
      <c r="K1113" s="5" t="str" cm="1">
        <f t="array" ref="K1113">IF(OR(A1113="",B1113="",D1113="",E1113=""),"",A1113&amp;"_"&amp;SUBSTITUTE(B1113," ","-")&amp;"_"&amp;D1113&amp;"_"&amp;SUBSTITUTE(SUBSTITUTE(E1113," ",""),"€","Euro")&amp;"_"&amp;IF(F1113="","Unknown",F1113)&amp;IF(F1113="Commemorative",IF(G1113="","","_"&amp;SUBSTITUTE(SUBSTITUTE(SUBSTITUTE(G1113," ","-"),"/","-"),CHAR(39),"")),"")&amp;IF(I1113="Duplicate","_Dub"&amp;IF(SUMPRODUCT(($B$2:B1113=B1113)*($D$2:D1113=D1113)*($E$2:E1113=E1113)*($F$2:F1113=F1113)*($G$2:G1113=G1113)*($I$2:I1113="Duplicate"))&lt;=1,"",SUMPRODUCT(($B$2:B1113=B1113)*($D$2:D1113=D1113)*($E$2:E1113=E1113)*($F$2:F1113=F1113)*($G$2:G1113=G1113)*($I$2:I1113="Duplicate"))-1),"")&amp;".jpeg")</f>
        <v/>
      </c>
      <c r="L1113" s="6"/>
      <c r="M1113" s="5" t="str">
        <f>IFERROR(VLOOKUP(E1113,Specifications!$A$2:$D$9,2,FALSE),"")</f>
        <v/>
      </c>
      <c r="N1113" s="5" t="str">
        <f>IFERROR(VLOOKUP(E1113,Specifications!$A$2:$D$9,3,FALSE),"")</f>
        <v/>
      </c>
      <c r="O1113" s="5" t="str">
        <f>IFERROR(VLOOKUP(E1113,Specifications!$A$2:$D$9,4,FALSE),"")</f>
        <v/>
      </c>
      <c r="P1113" s="8" t="str">
        <f t="shared" si="54"/>
        <v/>
      </c>
      <c r="Q1113" s="9"/>
    </row>
    <row r="1114" spans="1:17" ht="15">
      <c r="A1114" s="5" t="str">
        <f t="shared" si="52"/>
        <v/>
      </c>
      <c r="B1114" s="6"/>
      <c r="C1114" s="5" t="str">
        <f>IFERROR(VLOOKUP(B1114,Lists!$A$2:$B$25,2,FALSE),"")</f>
        <v/>
      </c>
      <c r="D1114" s="7"/>
      <c r="E1114" s="6"/>
      <c r="F1114" s="6" t="str">
        <f t="shared" si="53"/>
        <v/>
      </c>
      <c r="G1114" s="6"/>
      <c r="H1114" s="6"/>
      <c r="I1114" s="6"/>
      <c r="J1114" s="7"/>
      <c r="K1114" s="5" t="str" cm="1">
        <f t="array" ref="K1114">IF(OR(A1114="",B1114="",D1114="",E1114=""),"",A1114&amp;"_"&amp;SUBSTITUTE(B1114," ","-")&amp;"_"&amp;D1114&amp;"_"&amp;SUBSTITUTE(SUBSTITUTE(E1114," ",""),"€","Euro")&amp;"_"&amp;IF(F1114="","Unknown",F1114)&amp;IF(F1114="Commemorative",IF(G1114="","","_"&amp;SUBSTITUTE(SUBSTITUTE(SUBSTITUTE(G1114," ","-"),"/","-"),CHAR(39),"")),"")&amp;IF(I1114="Duplicate","_Dub"&amp;IF(SUMPRODUCT(($B$2:B1114=B1114)*($D$2:D1114=D1114)*($E$2:E1114=E1114)*($F$2:F1114=F1114)*($G$2:G1114=G1114)*($I$2:I1114="Duplicate"))&lt;=1,"",SUMPRODUCT(($B$2:B1114=B1114)*($D$2:D1114=D1114)*($E$2:E1114=E1114)*($F$2:F1114=F1114)*($G$2:G1114=G1114)*($I$2:I1114="Duplicate"))-1),"")&amp;".jpeg")</f>
        <v/>
      </c>
      <c r="L1114" s="6"/>
      <c r="M1114" s="5" t="str">
        <f>IFERROR(VLOOKUP(E1114,Specifications!$A$2:$D$9,2,FALSE),"")</f>
        <v/>
      </c>
      <c r="N1114" s="5" t="str">
        <f>IFERROR(VLOOKUP(E1114,Specifications!$A$2:$D$9,3,FALSE),"")</f>
        <v/>
      </c>
      <c r="O1114" s="5" t="str">
        <f>IFERROR(VLOOKUP(E1114,Specifications!$A$2:$D$9,4,FALSE),"")</f>
        <v/>
      </c>
      <c r="P1114" s="8" t="str">
        <f t="shared" si="54"/>
        <v/>
      </c>
      <c r="Q1114" s="9"/>
    </row>
    <row r="1115" spans="1:17" ht="15">
      <c r="A1115" s="5" t="str">
        <f t="shared" si="52"/>
        <v/>
      </c>
      <c r="B1115" s="6"/>
      <c r="C1115" s="5" t="str">
        <f>IFERROR(VLOOKUP(B1115,Lists!$A$2:$B$25,2,FALSE),"")</f>
        <v/>
      </c>
      <c r="D1115" s="7"/>
      <c r="E1115" s="6"/>
      <c r="F1115" s="6" t="str">
        <f t="shared" si="53"/>
        <v/>
      </c>
      <c r="G1115" s="6"/>
      <c r="H1115" s="6"/>
      <c r="I1115" s="6"/>
      <c r="J1115" s="7"/>
      <c r="K1115" s="5" t="str" cm="1">
        <f t="array" ref="K1115">IF(OR(A1115="",B1115="",D1115="",E1115=""),"",A1115&amp;"_"&amp;SUBSTITUTE(B1115," ","-")&amp;"_"&amp;D1115&amp;"_"&amp;SUBSTITUTE(SUBSTITUTE(E1115," ",""),"€","Euro")&amp;"_"&amp;IF(F1115="","Unknown",F1115)&amp;IF(F1115="Commemorative",IF(G1115="","","_"&amp;SUBSTITUTE(SUBSTITUTE(SUBSTITUTE(G1115," ","-"),"/","-"),CHAR(39),"")),"")&amp;IF(I1115="Duplicate","_Dub"&amp;IF(SUMPRODUCT(($B$2:B1115=B1115)*($D$2:D1115=D1115)*($E$2:E1115=E1115)*($F$2:F1115=F1115)*($G$2:G1115=G1115)*($I$2:I1115="Duplicate"))&lt;=1,"",SUMPRODUCT(($B$2:B1115=B1115)*($D$2:D1115=D1115)*($E$2:E1115=E1115)*($F$2:F1115=F1115)*($G$2:G1115=G1115)*($I$2:I1115="Duplicate"))-1),"")&amp;".jpeg")</f>
        <v/>
      </c>
      <c r="L1115" s="6"/>
      <c r="M1115" s="5" t="str">
        <f>IFERROR(VLOOKUP(E1115,Specifications!$A$2:$D$9,2,FALSE),"")</f>
        <v/>
      </c>
      <c r="N1115" s="5" t="str">
        <f>IFERROR(VLOOKUP(E1115,Specifications!$A$2:$D$9,3,FALSE),"")</f>
        <v/>
      </c>
      <c r="O1115" s="5" t="str">
        <f>IFERROR(VLOOKUP(E1115,Specifications!$A$2:$D$9,4,FALSE),"")</f>
        <v/>
      </c>
      <c r="P1115" s="8" t="str">
        <f t="shared" si="54"/>
        <v/>
      </c>
      <c r="Q1115" s="9"/>
    </row>
    <row r="1116" spans="1:17" ht="15">
      <c r="A1116" s="5" t="str">
        <f t="shared" si="52"/>
        <v/>
      </c>
      <c r="B1116" s="6"/>
      <c r="C1116" s="5" t="str">
        <f>IFERROR(VLOOKUP(B1116,Lists!$A$2:$B$25,2,FALSE),"")</f>
        <v/>
      </c>
      <c r="D1116" s="7"/>
      <c r="E1116" s="6"/>
      <c r="F1116" s="6" t="str">
        <f t="shared" si="53"/>
        <v/>
      </c>
      <c r="G1116" s="6"/>
      <c r="H1116" s="6"/>
      <c r="I1116" s="6"/>
      <c r="J1116" s="7"/>
      <c r="K1116" s="5" t="str" cm="1">
        <f t="array" ref="K1116">IF(OR(A1116="",B1116="",D1116="",E1116=""),"",A1116&amp;"_"&amp;SUBSTITUTE(B1116," ","-")&amp;"_"&amp;D1116&amp;"_"&amp;SUBSTITUTE(SUBSTITUTE(E1116," ",""),"€","Euro")&amp;"_"&amp;IF(F1116="","Unknown",F1116)&amp;IF(F1116="Commemorative",IF(G1116="","","_"&amp;SUBSTITUTE(SUBSTITUTE(SUBSTITUTE(G1116," ","-"),"/","-"),CHAR(39),"")),"")&amp;IF(I1116="Duplicate","_Dub"&amp;IF(SUMPRODUCT(($B$2:B1116=B1116)*($D$2:D1116=D1116)*($E$2:E1116=E1116)*($F$2:F1116=F1116)*($G$2:G1116=G1116)*($I$2:I1116="Duplicate"))&lt;=1,"",SUMPRODUCT(($B$2:B1116=B1116)*($D$2:D1116=D1116)*($E$2:E1116=E1116)*($F$2:F1116=F1116)*($G$2:G1116=G1116)*($I$2:I1116="Duplicate"))-1),"")&amp;".jpeg")</f>
        <v/>
      </c>
      <c r="L1116" s="6"/>
      <c r="M1116" s="5" t="str">
        <f>IFERROR(VLOOKUP(E1116,Specifications!$A$2:$D$9,2,FALSE),"")</f>
        <v/>
      </c>
      <c r="N1116" s="5" t="str">
        <f>IFERROR(VLOOKUP(E1116,Specifications!$A$2:$D$9,3,FALSE),"")</f>
        <v/>
      </c>
      <c r="O1116" s="5" t="str">
        <f>IFERROR(VLOOKUP(E1116,Specifications!$A$2:$D$9,4,FALSE),"")</f>
        <v/>
      </c>
      <c r="P1116" s="8" t="str">
        <f t="shared" si="54"/>
        <v/>
      </c>
      <c r="Q1116" s="9"/>
    </row>
    <row r="1117" spans="1:17" ht="15">
      <c r="A1117" s="5" t="str">
        <f t="shared" si="52"/>
        <v/>
      </c>
      <c r="B1117" s="6"/>
      <c r="C1117" s="5" t="str">
        <f>IFERROR(VLOOKUP(B1117,Lists!$A$2:$B$25,2,FALSE),"")</f>
        <v/>
      </c>
      <c r="D1117" s="7"/>
      <c r="E1117" s="6"/>
      <c r="F1117" s="6" t="str">
        <f t="shared" si="53"/>
        <v/>
      </c>
      <c r="G1117" s="6"/>
      <c r="H1117" s="6"/>
      <c r="I1117" s="6"/>
      <c r="J1117" s="7"/>
      <c r="K1117" s="5" t="str" cm="1">
        <f t="array" ref="K1117">IF(OR(A1117="",B1117="",D1117="",E1117=""),"",A1117&amp;"_"&amp;SUBSTITUTE(B1117," ","-")&amp;"_"&amp;D1117&amp;"_"&amp;SUBSTITUTE(SUBSTITUTE(E1117," ",""),"€","Euro")&amp;"_"&amp;IF(F1117="","Unknown",F1117)&amp;IF(F1117="Commemorative",IF(G1117="","","_"&amp;SUBSTITUTE(SUBSTITUTE(SUBSTITUTE(G1117," ","-"),"/","-"),CHAR(39),"")),"")&amp;IF(I1117="Duplicate","_Dub"&amp;IF(SUMPRODUCT(($B$2:B1117=B1117)*($D$2:D1117=D1117)*($E$2:E1117=E1117)*($F$2:F1117=F1117)*($G$2:G1117=G1117)*($I$2:I1117="Duplicate"))&lt;=1,"",SUMPRODUCT(($B$2:B1117=B1117)*($D$2:D1117=D1117)*($E$2:E1117=E1117)*($F$2:F1117=F1117)*($G$2:G1117=G1117)*($I$2:I1117="Duplicate"))-1),"")&amp;".jpeg")</f>
        <v/>
      </c>
      <c r="L1117" s="6"/>
      <c r="M1117" s="5" t="str">
        <f>IFERROR(VLOOKUP(E1117,Specifications!$A$2:$D$9,2,FALSE),"")</f>
        <v/>
      </c>
      <c r="N1117" s="5" t="str">
        <f>IFERROR(VLOOKUP(E1117,Specifications!$A$2:$D$9,3,FALSE),"")</f>
        <v/>
      </c>
      <c r="O1117" s="5" t="str">
        <f>IFERROR(VLOOKUP(E1117,Specifications!$A$2:$D$9,4,FALSE),"")</f>
        <v/>
      </c>
      <c r="P1117" s="8" t="str">
        <f t="shared" si="54"/>
        <v/>
      </c>
      <c r="Q1117" s="9"/>
    </row>
    <row r="1118" spans="1:17" ht="15">
      <c r="A1118" s="5" t="str">
        <f t="shared" si="52"/>
        <v/>
      </c>
      <c r="B1118" s="6"/>
      <c r="C1118" s="5" t="str">
        <f>IFERROR(VLOOKUP(B1118,Lists!$A$2:$B$25,2,FALSE),"")</f>
        <v/>
      </c>
      <c r="D1118" s="7"/>
      <c r="E1118" s="6"/>
      <c r="F1118" s="6" t="str">
        <f t="shared" si="53"/>
        <v/>
      </c>
      <c r="G1118" s="6"/>
      <c r="H1118" s="6"/>
      <c r="I1118" s="6"/>
      <c r="J1118" s="7"/>
      <c r="K1118" s="5" t="str" cm="1">
        <f t="array" ref="K1118">IF(OR(A1118="",B1118="",D1118="",E1118=""),"",A1118&amp;"_"&amp;SUBSTITUTE(B1118," ","-")&amp;"_"&amp;D1118&amp;"_"&amp;SUBSTITUTE(SUBSTITUTE(E1118," ",""),"€","Euro")&amp;"_"&amp;IF(F1118="","Unknown",F1118)&amp;IF(F1118="Commemorative",IF(G1118="","","_"&amp;SUBSTITUTE(SUBSTITUTE(SUBSTITUTE(G1118," ","-"),"/","-"),CHAR(39),"")),"")&amp;IF(I1118="Duplicate","_Dub"&amp;IF(SUMPRODUCT(($B$2:B1118=B1118)*($D$2:D1118=D1118)*($E$2:E1118=E1118)*($F$2:F1118=F1118)*($G$2:G1118=G1118)*($I$2:I1118="Duplicate"))&lt;=1,"",SUMPRODUCT(($B$2:B1118=B1118)*($D$2:D1118=D1118)*($E$2:E1118=E1118)*($F$2:F1118=F1118)*($G$2:G1118=G1118)*($I$2:I1118="Duplicate"))-1),"")&amp;".jpeg")</f>
        <v/>
      </c>
      <c r="L1118" s="6"/>
      <c r="M1118" s="5" t="str">
        <f>IFERROR(VLOOKUP(E1118,Specifications!$A$2:$D$9,2,FALSE),"")</f>
        <v/>
      </c>
      <c r="N1118" s="5" t="str">
        <f>IFERROR(VLOOKUP(E1118,Specifications!$A$2:$D$9,3,FALSE),"")</f>
        <v/>
      </c>
      <c r="O1118" s="5" t="str">
        <f>IFERROR(VLOOKUP(E1118,Specifications!$A$2:$D$9,4,FALSE),"")</f>
        <v/>
      </c>
      <c r="P1118" s="8" t="str">
        <f t="shared" si="54"/>
        <v/>
      </c>
      <c r="Q1118" s="9"/>
    </row>
    <row r="1119" spans="1:17" ht="15">
      <c r="A1119" s="5" t="str">
        <f t="shared" si="52"/>
        <v/>
      </c>
      <c r="B1119" s="6"/>
      <c r="C1119" s="5" t="str">
        <f>IFERROR(VLOOKUP(B1119,Lists!$A$2:$B$25,2,FALSE),"")</f>
        <v/>
      </c>
      <c r="D1119" s="7"/>
      <c r="E1119" s="6"/>
      <c r="F1119" s="6" t="str">
        <f t="shared" si="53"/>
        <v/>
      </c>
      <c r="G1119" s="6"/>
      <c r="H1119" s="6"/>
      <c r="I1119" s="6"/>
      <c r="J1119" s="7"/>
      <c r="K1119" s="5" t="str" cm="1">
        <f t="array" ref="K1119">IF(OR(A1119="",B1119="",D1119="",E1119=""),"",A1119&amp;"_"&amp;SUBSTITUTE(B1119," ","-")&amp;"_"&amp;D1119&amp;"_"&amp;SUBSTITUTE(SUBSTITUTE(E1119," ",""),"€","Euro")&amp;"_"&amp;IF(F1119="","Unknown",F1119)&amp;IF(F1119="Commemorative",IF(G1119="","","_"&amp;SUBSTITUTE(SUBSTITUTE(SUBSTITUTE(G1119," ","-"),"/","-"),CHAR(39),"")),"")&amp;IF(I1119="Duplicate","_Dub"&amp;IF(SUMPRODUCT(($B$2:B1119=B1119)*($D$2:D1119=D1119)*($E$2:E1119=E1119)*($F$2:F1119=F1119)*($G$2:G1119=G1119)*($I$2:I1119="Duplicate"))&lt;=1,"",SUMPRODUCT(($B$2:B1119=B1119)*($D$2:D1119=D1119)*($E$2:E1119=E1119)*($F$2:F1119=F1119)*($G$2:G1119=G1119)*($I$2:I1119="Duplicate"))-1),"")&amp;".jpeg")</f>
        <v/>
      </c>
      <c r="L1119" s="6"/>
      <c r="M1119" s="5" t="str">
        <f>IFERROR(VLOOKUP(E1119,Specifications!$A$2:$D$9,2,FALSE),"")</f>
        <v/>
      </c>
      <c r="N1119" s="5" t="str">
        <f>IFERROR(VLOOKUP(E1119,Specifications!$A$2:$D$9,3,FALSE),"")</f>
        <v/>
      </c>
      <c r="O1119" s="5" t="str">
        <f>IFERROR(VLOOKUP(E1119,Specifications!$A$2:$D$9,4,FALSE),"")</f>
        <v/>
      </c>
      <c r="P1119" s="8" t="str">
        <f t="shared" si="54"/>
        <v/>
      </c>
      <c r="Q1119" s="9"/>
    </row>
    <row r="1120" spans="1:17" ht="15">
      <c r="A1120" s="5" t="str">
        <f t="shared" si="52"/>
        <v/>
      </c>
      <c r="B1120" s="6"/>
      <c r="C1120" s="5" t="str">
        <f>IFERROR(VLOOKUP(B1120,Lists!$A$2:$B$25,2,FALSE),"")</f>
        <v/>
      </c>
      <c r="D1120" s="7"/>
      <c r="E1120" s="6"/>
      <c r="F1120" s="6" t="str">
        <f t="shared" si="53"/>
        <v/>
      </c>
      <c r="G1120" s="6"/>
      <c r="H1120" s="6"/>
      <c r="I1120" s="6"/>
      <c r="J1120" s="7"/>
      <c r="K1120" s="5" t="str" cm="1">
        <f t="array" ref="K1120">IF(OR(A1120="",B1120="",D1120="",E1120=""),"",A1120&amp;"_"&amp;SUBSTITUTE(B1120," ","-")&amp;"_"&amp;D1120&amp;"_"&amp;SUBSTITUTE(SUBSTITUTE(E1120," ",""),"€","Euro")&amp;"_"&amp;IF(F1120="","Unknown",F1120)&amp;IF(F1120="Commemorative",IF(G1120="","","_"&amp;SUBSTITUTE(SUBSTITUTE(SUBSTITUTE(G1120," ","-"),"/","-"),CHAR(39),"")),"")&amp;IF(I1120="Duplicate","_Dub"&amp;IF(SUMPRODUCT(($B$2:B1120=B1120)*($D$2:D1120=D1120)*($E$2:E1120=E1120)*($F$2:F1120=F1120)*($G$2:G1120=G1120)*($I$2:I1120="Duplicate"))&lt;=1,"",SUMPRODUCT(($B$2:B1120=B1120)*($D$2:D1120=D1120)*($E$2:E1120=E1120)*($F$2:F1120=F1120)*($G$2:G1120=G1120)*($I$2:I1120="Duplicate"))-1),"")&amp;".jpeg")</f>
        <v/>
      </c>
      <c r="L1120" s="6"/>
      <c r="M1120" s="5" t="str">
        <f>IFERROR(VLOOKUP(E1120,Specifications!$A$2:$D$9,2,FALSE),"")</f>
        <v/>
      </c>
      <c r="N1120" s="5" t="str">
        <f>IFERROR(VLOOKUP(E1120,Specifications!$A$2:$D$9,3,FALSE),"")</f>
        <v/>
      </c>
      <c r="O1120" s="5" t="str">
        <f>IFERROR(VLOOKUP(E1120,Specifications!$A$2:$D$9,4,FALSE),"")</f>
        <v/>
      </c>
      <c r="P1120" s="8" t="str">
        <f t="shared" si="54"/>
        <v/>
      </c>
      <c r="Q1120" s="9"/>
    </row>
    <row r="1121" spans="1:17" ht="15">
      <c r="A1121" s="5" t="str">
        <f t="shared" si="52"/>
        <v/>
      </c>
      <c r="B1121" s="6"/>
      <c r="C1121" s="5" t="str">
        <f>IFERROR(VLOOKUP(B1121,Lists!$A$2:$B$25,2,FALSE),"")</f>
        <v/>
      </c>
      <c r="D1121" s="7"/>
      <c r="E1121" s="6"/>
      <c r="F1121" s="6" t="str">
        <f t="shared" si="53"/>
        <v/>
      </c>
      <c r="G1121" s="6"/>
      <c r="H1121" s="6"/>
      <c r="I1121" s="6"/>
      <c r="J1121" s="7"/>
      <c r="K1121" s="5" t="str" cm="1">
        <f t="array" ref="K1121">IF(OR(A1121="",B1121="",D1121="",E1121=""),"",A1121&amp;"_"&amp;SUBSTITUTE(B1121," ","-")&amp;"_"&amp;D1121&amp;"_"&amp;SUBSTITUTE(SUBSTITUTE(E1121," ",""),"€","Euro")&amp;"_"&amp;IF(F1121="","Unknown",F1121)&amp;IF(F1121="Commemorative",IF(G1121="","","_"&amp;SUBSTITUTE(SUBSTITUTE(SUBSTITUTE(G1121," ","-"),"/","-"),CHAR(39),"")),"")&amp;IF(I1121="Duplicate","_Dub"&amp;IF(SUMPRODUCT(($B$2:B1121=B1121)*($D$2:D1121=D1121)*($E$2:E1121=E1121)*($F$2:F1121=F1121)*($G$2:G1121=G1121)*($I$2:I1121="Duplicate"))&lt;=1,"",SUMPRODUCT(($B$2:B1121=B1121)*($D$2:D1121=D1121)*($E$2:E1121=E1121)*($F$2:F1121=F1121)*($G$2:G1121=G1121)*($I$2:I1121="Duplicate"))-1),"")&amp;".jpeg")</f>
        <v/>
      </c>
      <c r="L1121" s="6"/>
      <c r="M1121" s="5" t="str">
        <f>IFERROR(VLOOKUP(E1121,Specifications!$A$2:$D$9,2,FALSE),"")</f>
        <v/>
      </c>
      <c r="N1121" s="5" t="str">
        <f>IFERROR(VLOOKUP(E1121,Specifications!$A$2:$D$9,3,FALSE),"")</f>
        <v/>
      </c>
      <c r="O1121" s="5" t="str">
        <f>IFERROR(VLOOKUP(E1121,Specifications!$A$2:$D$9,4,FALSE),"")</f>
        <v/>
      </c>
      <c r="P1121" s="8" t="str">
        <f t="shared" si="54"/>
        <v/>
      </c>
      <c r="Q1121" s="9"/>
    </row>
    <row r="1122" spans="1:17" ht="15">
      <c r="A1122" s="5" t="str">
        <f t="shared" si="52"/>
        <v/>
      </c>
      <c r="B1122" s="6"/>
      <c r="C1122" s="5" t="str">
        <f>IFERROR(VLOOKUP(B1122,Lists!$A$2:$B$25,2,FALSE),"")</f>
        <v/>
      </c>
      <c r="D1122" s="7"/>
      <c r="E1122" s="6"/>
      <c r="F1122" s="6" t="str">
        <f t="shared" si="53"/>
        <v/>
      </c>
      <c r="G1122" s="6"/>
      <c r="H1122" s="6"/>
      <c r="I1122" s="6"/>
      <c r="J1122" s="7"/>
      <c r="K1122" s="5" t="str" cm="1">
        <f t="array" ref="K1122">IF(OR(A1122="",B1122="",D1122="",E1122=""),"",A1122&amp;"_"&amp;SUBSTITUTE(B1122," ","-")&amp;"_"&amp;D1122&amp;"_"&amp;SUBSTITUTE(SUBSTITUTE(E1122," ",""),"€","Euro")&amp;"_"&amp;IF(F1122="","Unknown",F1122)&amp;IF(F1122="Commemorative",IF(G1122="","","_"&amp;SUBSTITUTE(SUBSTITUTE(SUBSTITUTE(G1122," ","-"),"/","-"),CHAR(39),"")),"")&amp;IF(I1122="Duplicate","_Dub"&amp;IF(SUMPRODUCT(($B$2:B1122=B1122)*($D$2:D1122=D1122)*($E$2:E1122=E1122)*($F$2:F1122=F1122)*($G$2:G1122=G1122)*($I$2:I1122="Duplicate"))&lt;=1,"",SUMPRODUCT(($B$2:B1122=B1122)*($D$2:D1122=D1122)*($E$2:E1122=E1122)*($F$2:F1122=F1122)*($G$2:G1122=G1122)*($I$2:I1122="Duplicate"))-1),"")&amp;".jpeg")</f>
        <v/>
      </c>
      <c r="L1122" s="6"/>
      <c r="M1122" s="5" t="str">
        <f>IFERROR(VLOOKUP(E1122,Specifications!$A$2:$D$9,2,FALSE),"")</f>
        <v/>
      </c>
      <c r="N1122" s="5" t="str">
        <f>IFERROR(VLOOKUP(E1122,Specifications!$A$2:$D$9,3,FALSE),"")</f>
        <v/>
      </c>
      <c r="O1122" s="5" t="str">
        <f>IFERROR(VLOOKUP(E1122,Specifications!$A$2:$D$9,4,FALSE),"")</f>
        <v/>
      </c>
      <c r="P1122" s="8" t="str">
        <f t="shared" si="54"/>
        <v/>
      </c>
      <c r="Q1122" s="9"/>
    </row>
    <row r="1123" spans="1:17" ht="15">
      <c r="A1123" s="5" t="str">
        <f t="shared" si="52"/>
        <v/>
      </c>
      <c r="B1123" s="6"/>
      <c r="C1123" s="5" t="str">
        <f>IFERROR(VLOOKUP(B1123,Lists!$A$2:$B$25,2,FALSE),"")</f>
        <v/>
      </c>
      <c r="D1123" s="7"/>
      <c r="E1123" s="6"/>
      <c r="F1123" s="6" t="str">
        <f t="shared" si="53"/>
        <v/>
      </c>
      <c r="G1123" s="6"/>
      <c r="H1123" s="6"/>
      <c r="I1123" s="6"/>
      <c r="J1123" s="7"/>
      <c r="K1123" s="5" t="str" cm="1">
        <f t="array" ref="K1123">IF(OR(A1123="",B1123="",D1123="",E1123=""),"",A1123&amp;"_"&amp;SUBSTITUTE(B1123," ","-")&amp;"_"&amp;D1123&amp;"_"&amp;SUBSTITUTE(SUBSTITUTE(E1123," ",""),"€","Euro")&amp;"_"&amp;IF(F1123="","Unknown",F1123)&amp;IF(F1123="Commemorative",IF(G1123="","","_"&amp;SUBSTITUTE(SUBSTITUTE(SUBSTITUTE(G1123," ","-"),"/","-"),CHAR(39),"")),"")&amp;IF(I1123="Duplicate","_Dub"&amp;IF(SUMPRODUCT(($B$2:B1123=B1123)*($D$2:D1123=D1123)*($E$2:E1123=E1123)*($F$2:F1123=F1123)*($G$2:G1123=G1123)*($I$2:I1123="Duplicate"))&lt;=1,"",SUMPRODUCT(($B$2:B1123=B1123)*($D$2:D1123=D1123)*($E$2:E1123=E1123)*($F$2:F1123=F1123)*($G$2:G1123=G1123)*($I$2:I1123="Duplicate"))-1),"")&amp;".jpeg")</f>
        <v/>
      </c>
      <c r="L1123" s="6"/>
      <c r="M1123" s="5" t="str">
        <f>IFERROR(VLOOKUP(E1123,Specifications!$A$2:$D$9,2,FALSE),"")</f>
        <v/>
      </c>
      <c r="N1123" s="5" t="str">
        <f>IFERROR(VLOOKUP(E1123,Specifications!$A$2:$D$9,3,FALSE),"")</f>
        <v/>
      </c>
      <c r="O1123" s="5" t="str">
        <f>IFERROR(VLOOKUP(E1123,Specifications!$A$2:$D$9,4,FALSE),"")</f>
        <v/>
      </c>
      <c r="P1123" s="8" t="str">
        <f t="shared" si="54"/>
        <v/>
      </c>
      <c r="Q1123" s="9"/>
    </row>
    <row r="1124" spans="1:17" ht="15">
      <c r="A1124" s="5" t="str">
        <f t="shared" si="52"/>
        <v/>
      </c>
      <c r="B1124" s="6"/>
      <c r="C1124" s="5" t="str">
        <f>IFERROR(VLOOKUP(B1124,Lists!$A$2:$B$25,2,FALSE),"")</f>
        <v/>
      </c>
      <c r="D1124" s="7"/>
      <c r="E1124" s="6"/>
      <c r="F1124" s="6" t="str">
        <f t="shared" si="53"/>
        <v/>
      </c>
      <c r="G1124" s="6"/>
      <c r="H1124" s="6"/>
      <c r="I1124" s="6"/>
      <c r="J1124" s="7"/>
      <c r="K1124" s="5" t="str" cm="1">
        <f t="array" ref="K1124">IF(OR(A1124="",B1124="",D1124="",E1124=""),"",A1124&amp;"_"&amp;SUBSTITUTE(B1124," ","-")&amp;"_"&amp;D1124&amp;"_"&amp;SUBSTITUTE(SUBSTITUTE(E1124," ",""),"€","Euro")&amp;"_"&amp;IF(F1124="","Unknown",F1124)&amp;IF(F1124="Commemorative",IF(G1124="","","_"&amp;SUBSTITUTE(SUBSTITUTE(SUBSTITUTE(G1124," ","-"),"/","-"),CHAR(39),"")),"")&amp;IF(I1124="Duplicate","_Dub"&amp;IF(SUMPRODUCT(($B$2:B1124=B1124)*($D$2:D1124=D1124)*($E$2:E1124=E1124)*($F$2:F1124=F1124)*($G$2:G1124=G1124)*($I$2:I1124="Duplicate"))&lt;=1,"",SUMPRODUCT(($B$2:B1124=B1124)*($D$2:D1124=D1124)*($E$2:E1124=E1124)*($F$2:F1124=F1124)*($G$2:G1124=G1124)*($I$2:I1124="Duplicate"))-1),"")&amp;".jpeg")</f>
        <v/>
      </c>
      <c r="L1124" s="6"/>
      <c r="M1124" s="5" t="str">
        <f>IFERROR(VLOOKUP(E1124,Specifications!$A$2:$D$9,2,FALSE),"")</f>
        <v/>
      </c>
      <c r="N1124" s="5" t="str">
        <f>IFERROR(VLOOKUP(E1124,Specifications!$A$2:$D$9,3,FALSE),"")</f>
        <v/>
      </c>
      <c r="O1124" s="5" t="str">
        <f>IFERROR(VLOOKUP(E1124,Specifications!$A$2:$D$9,4,FALSE),"")</f>
        <v/>
      </c>
      <c r="P1124" s="8" t="str">
        <f t="shared" si="54"/>
        <v/>
      </c>
      <c r="Q1124" s="9"/>
    </row>
    <row r="1125" spans="1:17" ht="15">
      <c r="A1125" s="5" t="str">
        <f t="shared" si="52"/>
        <v/>
      </c>
      <c r="B1125" s="6"/>
      <c r="C1125" s="5" t="str">
        <f>IFERROR(VLOOKUP(B1125,Lists!$A$2:$B$25,2,FALSE),"")</f>
        <v/>
      </c>
      <c r="D1125" s="7"/>
      <c r="E1125" s="6"/>
      <c r="F1125" s="6" t="str">
        <f t="shared" si="53"/>
        <v/>
      </c>
      <c r="G1125" s="6"/>
      <c r="H1125" s="6"/>
      <c r="I1125" s="6"/>
      <c r="J1125" s="7"/>
      <c r="K1125" s="5" t="str" cm="1">
        <f t="array" ref="K1125">IF(OR(A1125="",B1125="",D1125="",E1125=""),"",A1125&amp;"_"&amp;SUBSTITUTE(B1125," ","-")&amp;"_"&amp;D1125&amp;"_"&amp;SUBSTITUTE(SUBSTITUTE(E1125," ",""),"€","Euro")&amp;"_"&amp;IF(F1125="","Unknown",F1125)&amp;IF(F1125="Commemorative",IF(G1125="","","_"&amp;SUBSTITUTE(SUBSTITUTE(SUBSTITUTE(G1125," ","-"),"/","-"),CHAR(39),"")),"")&amp;IF(I1125="Duplicate","_Dub"&amp;IF(SUMPRODUCT(($B$2:B1125=B1125)*($D$2:D1125=D1125)*($E$2:E1125=E1125)*($F$2:F1125=F1125)*($G$2:G1125=G1125)*($I$2:I1125="Duplicate"))&lt;=1,"",SUMPRODUCT(($B$2:B1125=B1125)*($D$2:D1125=D1125)*($E$2:E1125=E1125)*($F$2:F1125=F1125)*($G$2:G1125=G1125)*($I$2:I1125="Duplicate"))-1),"")&amp;".jpeg")</f>
        <v/>
      </c>
      <c r="L1125" s="6"/>
      <c r="M1125" s="5" t="str">
        <f>IFERROR(VLOOKUP(E1125,Specifications!$A$2:$D$9,2,FALSE),"")</f>
        <v/>
      </c>
      <c r="N1125" s="5" t="str">
        <f>IFERROR(VLOOKUP(E1125,Specifications!$A$2:$D$9,3,FALSE),"")</f>
        <v/>
      </c>
      <c r="O1125" s="5" t="str">
        <f>IFERROR(VLOOKUP(E1125,Specifications!$A$2:$D$9,4,FALSE),"")</f>
        <v/>
      </c>
      <c r="P1125" s="8" t="str">
        <f t="shared" si="54"/>
        <v/>
      </c>
      <c r="Q1125" s="9"/>
    </row>
    <row r="1126" spans="1:17" ht="15">
      <c r="A1126" s="5" t="str">
        <f t="shared" si="52"/>
        <v/>
      </c>
      <c r="B1126" s="6"/>
      <c r="C1126" s="5" t="str">
        <f>IFERROR(VLOOKUP(B1126,Lists!$A$2:$B$25,2,FALSE),"")</f>
        <v/>
      </c>
      <c r="D1126" s="7"/>
      <c r="E1126" s="6"/>
      <c r="F1126" s="6" t="str">
        <f t="shared" si="53"/>
        <v/>
      </c>
      <c r="G1126" s="6"/>
      <c r="H1126" s="6"/>
      <c r="I1126" s="6"/>
      <c r="J1126" s="7"/>
      <c r="K1126" s="5" t="str" cm="1">
        <f t="array" ref="K1126">IF(OR(A1126="",B1126="",D1126="",E1126=""),"",A1126&amp;"_"&amp;SUBSTITUTE(B1126," ","-")&amp;"_"&amp;D1126&amp;"_"&amp;SUBSTITUTE(SUBSTITUTE(E1126," ",""),"€","Euro")&amp;"_"&amp;IF(F1126="","Unknown",F1126)&amp;IF(F1126="Commemorative",IF(G1126="","","_"&amp;SUBSTITUTE(SUBSTITUTE(SUBSTITUTE(G1126," ","-"),"/","-"),CHAR(39),"")),"")&amp;IF(I1126="Duplicate","_Dub"&amp;IF(SUMPRODUCT(($B$2:B1126=B1126)*($D$2:D1126=D1126)*($E$2:E1126=E1126)*($F$2:F1126=F1126)*($G$2:G1126=G1126)*($I$2:I1126="Duplicate"))&lt;=1,"",SUMPRODUCT(($B$2:B1126=B1126)*($D$2:D1126=D1126)*($E$2:E1126=E1126)*($F$2:F1126=F1126)*($G$2:G1126=G1126)*($I$2:I1126="Duplicate"))-1),"")&amp;".jpeg")</f>
        <v/>
      </c>
      <c r="L1126" s="6"/>
      <c r="M1126" s="5" t="str">
        <f>IFERROR(VLOOKUP(E1126,Specifications!$A$2:$D$9,2,FALSE),"")</f>
        <v/>
      </c>
      <c r="N1126" s="5" t="str">
        <f>IFERROR(VLOOKUP(E1126,Specifications!$A$2:$D$9,3,FALSE),"")</f>
        <v/>
      </c>
      <c r="O1126" s="5" t="str">
        <f>IFERROR(VLOOKUP(E1126,Specifications!$A$2:$D$9,4,FALSE),"")</f>
        <v/>
      </c>
      <c r="P1126" s="8" t="str">
        <f t="shared" si="54"/>
        <v/>
      </c>
      <c r="Q1126" s="9"/>
    </row>
    <row r="1127" spans="1:17" ht="15">
      <c r="A1127" s="5" t="str">
        <f t="shared" si="52"/>
        <v/>
      </c>
      <c r="B1127" s="6"/>
      <c r="C1127" s="5" t="str">
        <f>IFERROR(VLOOKUP(B1127,Lists!$A$2:$B$25,2,FALSE),"")</f>
        <v/>
      </c>
      <c r="D1127" s="7"/>
      <c r="E1127" s="6"/>
      <c r="F1127" s="6" t="str">
        <f t="shared" si="53"/>
        <v/>
      </c>
      <c r="G1127" s="6"/>
      <c r="H1127" s="6"/>
      <c r="I1127" s="6"/>
      <c r="J1127" s="7"/>
      <c r="K1127" s="5" t="str" cm="1">
        <f t="array" ref="K1127">IF(OR(A1127="",B1127="",D1127="",E1127=""),"",A1127&amp;"_"&amp;SUBSTITUTE(B1127," ","-")&amp;"_"&amp;D1127&amp;"_"&amp;SUBSTITUTE(SUBSTITUTE(E1127," ",""),"€","Euro")&amp;"_"&amp;IF(F1127="","Unknown",F1127)&amp;IF(F1127="Commemorative",IF(G1127="","","_"&amp;SUBSTITUTE(SUBSTITUTE(SUBSTITUTE(G1127," ","-"),"/","-"),CHAR(39),"")),"")&amp;IF(I1127="Duplicate","_Dub"&amp;IF(SUMPRODUCT(($B$2:B1127=B1127)*($D$2:D1127=D1127)*($E$2:E1127=E1127)*($F$2:F1127=F1127)*($G$2:G1127=G1127)*($I$2:I1127="Duplicate"))&lt;=1,"",SUMPRODUCT(($B$2:B1127=B1127)*($D$2:D1127=D1127)*($E$2:E1127=E1127)*($F$2:F1127=F1127)*($G$2:G1127=G1127)*($I$2:I1127="Duplicate"))-1),"")&amp;".jpeg")</f>
        <v/>
      </c>
      <c r="L1127" s="6"/>
      <c r="M1127" s="5" t="str">
        <f>IFERROR(VLOOKUP(E1127,Specifications!$A$2:$D$9,2,FALSE),"")</f>
        <v/>
      </c>
      <c r="N1127" s="5" t="str">
        <f>IFERROR(VLOOKUP(E1127,Specifications!$A$2:$D$9,3,FALSE),"")</f>
        <v/>
      </c>
      <c r="O1127" s="5" t="str">
        <f>IFERROR(VLOOKUP(E1127,Specifications!$A$2:$D$9,4,FALSE),"")</f>
        <v/>
      </c>
      <c r="P1127" s="8" t="str">
        <f t="shared" si="54"/>
        <v/>
      </c>
      <c r="Q1127" s="9"/>
    </row>
    <row r="1128" spans="1:17" ht="15">
      <c r="A1128" s="5" t="str">
        <f t="shared" si="52"/>
        <v/>
      </c>
      <c r="B1128" s="6"/>
      <c r="C1128" s="5" t="str">
        <f>IFERROR(VLOOKUP(B1128,Lists!$A$2:$B$25,2,FALSE),"")</f>
        <v/>
      </c>
      <c r="D1128" s="7"/>
      <c r="E1128" s="6"/>
      <c r="F1128" s="6" t="str">
        <f t="shared" si="53"/>
        <v/>
      </c>
      <c r="G1128" s="6"/>
      <c r="H1128" s="6"/>
      <c r="I1128" s="6"/>
      <c r="J1128" s="7"/>
      <c r="K1128" s="5" t="str" cm="1">
        <f t="array" ref="K1128">IF(OR(A1128="",B1128="",D1128="",E1128=""),"",A1128&amp;"_"&amp;SUBSTITUTE(B1128," ","-")&amp;"_"&amp;D1128&amp;"_"&amp;SUBSTITUTE(SUBSTITUTE(E1128," ",""),"€","Euro")&amp;"_"&amp;IF(F1128="","Unknown",F1128)&amp;IF(F1128="Commemorative",IF(G1128="","","_"&amp;SUBSTITUTE(SUBSTITUTE(SUBSTITUTE(G1128," ","-"),"/","-"),CHAR(39),"")),"")&amp;IF(I1128="Duplicate","_Dub"&amp;IF(SUMPRODUCT(($B$2:B1128=B1128)*($D$2:D1128=D1128)*($E$2:E1128=E1128)*($F$2:F1128=F1128)*($G$2:G1128=G1128)*($I$2:I1128="Duplicate"))&lt;=1,"",SUMPRODUCT(($B$2:B1128=B1128)*($D$2:D1128=D1128)*($E$2:E1128=E1128)*($F$2:F1128=F1128)*($G$2:G1128=G1128)*($I$2:I1128="Duplicate"))-1),"")&amp;".jpeg")</f>
        <v/>
      </c>
      <c r="L1128" s="6"/>
      <c r="M1128" s="5" t="str">
        <f>IFERROR(VLOOKUP(E1128,Specifications!$A$2:$D$9,2,FALSE),"")</f>
        <v/>
      </c>
      <c r="N1128" s="5" t="str">
        <f>IFERROR(VLOOKUP(E1128,Specifications!$A$2:$D$9,3,FALSE),"")</f>
        <v/>
      </c>
      <c r="O1128" s="5" t="str">
        <f>IFERROR(VLOOKUP(E1128,Specifications!$A$2:$D$9,4,FALSE),"")</f>
        <v/>
      </c>
      <c r="P1128" s="8" t="str">
        <f t="shared" si="54"/>
        <v/>
      </c>
      <c r="Q1128" s="9"/>
    </row>
    <row r="1129" spans="1:17" ht="15">
      <c r="A1129" s="5" t="str">
        <f t="shared" si="52"/>
        <v/>
      </c>
      <c r="B1129" s="6"/>
      <c r="C1129" s="5" t="str">
        <f>IFERROR(VLOOKUP(B1129,Lists!$A$2:$B$25,2,FALSE),"")</f>
        <v/>
      </c>
      <c r="D1129" s="7"/>
      <c r="E1129" s="6"/>
      <c r="F1129" s="6" t="str">
        <f t="shared" si="53"/>
        <v/>
      </c>
      <c r="G1129" s="6"/>
      <c r="H1129" s="6"/>
      <c r="I1129" s="6"/>
      <c r="J1129" s="7"/>
      <c r="K1129" s="5" t="str" cm="1">
        <f t="array" ref="K1129">IF(OR(A1129="",B1129="",D1129="",E1129=""),"",A1129&amp;"_"&amp;SUBSTITUTE(B1129," ","-")&amp;"_"&amp;D1129&amp;"_"&amp;SUBSTITUTE(SUBSTITUTE(E1129," ",""),"€","Euro")&amp;"_"&amp;IF(F1129="","Unknown",F1129)&amp;IF(F1129="Commemorative",IF(G1129="","","_"&amp;SUBSTITUTE(SUBSTITUTE(SUBSTITUTE(G1129," ","-"),"/","-"),CHAR(39),"")),"")&amp;IF(I1129="Duplicate","_Dub"&amp;IF(SUMPRODUCT(($B$2:B1129=B1129)*($D$2:D1129=D1129)*($E$2:E1129=E1129)*($F$2:F1129=F1129)*($G$2:G1129=G1129)*($I$2:I1129="Duplicate"))&lt;=1,"",SUMPRODUCT(($B$2:B1129=B1129)*($D$2:D1129=D1129)*($E$2:E1129=E1129)*($F$2:F1129=F1129)*($G$2:G1129=G1129)*($I$2:I1129="Duplicate"))-1),"")&amp;".jpeg")</f>
        <v/>
      </c>
      <c r="L1129" s="6"/>
      <c r="M1129" s="5" t="str">
        <f>IFERROR(VLOOKUP(E1129,Specifications!$A$2:$D$9,2,FALSE),"")</f>
        <v/>
      </c>
      <c r="N1129" s="5" t="str">
        <f>IFERROR(VLOOKUP(E1129,Specifications!$A$2:$D$9,3,FALSE),"")</f>
        <v/>
      </c>
      <c r="O1129" s="5" t="str">
        <f>IFERROR(VLOOKUP(E1129,Specifications!$A$2:$D$9,4,FALSE),"")</f>
        <v/>
      </c>
      <c r="P1129" s="8" t="str">
        <f t="shared" si="54"/>
        <v/>
      </c>
      <c r="Q1129" s="9"/>
    </row>
    <row r="1130" spans="1:17" ht="15">
      <c r="A1130" s="5" t="str">
        <f t="shared" si="52"/>
        <v/>
      </c>
      <c r="B1130" s="6"/>
      <c r="C1130" s="5" t="str">
        <f>IFERROR(VLOOKUP(B1130,Lists!$A$2:$B$25,2,FALSE),"")</f>
        <v/>
      </c>
      <c r="D1130" s="7"/>
      <c r="E1130" s="6"/>
      <c r="F1130" s="6" t="str">
        <f t="shared" si="53"/>
        <v/>
      </c>
      <c r="G1130" s="6"/>
      <c r="H1130" s="6"/>
      <c r="I1130" s="6"/>
      <c r="J1130" s="7"/>
      <c r="K1130" s="5" t="str" cm="1">
        <f t="array" ref="K1130">IF(OR(A1130="",B1130="",D1130="",E1130=""),"",A1130&amp;"_"&amp;SUBSTITUTE(B1130," ","-")&amp;"_"&amp;D1130&amp;"_"&amp;SUBSTITUTE(SUBSTITUTE(E1130," ",""),"€","Euro")&amp;"_"&amp;IF(F1130="","Unknown",F1130)&amp;IF(F1130="Commemorative",IF(G1130="","","_"&amp;SUBSTITUTE(SUBSTITUTE(SUBSTITUTE(G1130," ","-"),"/","-"),CHAR(39),"")),"")&amp;IF(I1130="Duplicate","_Dub"&amp;IF(SUMPRODUCT(($B$2:B1130=B1130)*($D$2:D1130=D1130)*($E$2:E1130=E1130)*($F$2:F1130=F1130)*($G$2:G1130=G1130)*($I$2:I1130="Duplicate"))&lt;=1,"",SUMPRODUCT(($B$2:B1130=B1130)*($D$2:D1130=D1130)*($E$2:E1130=E1130)*($F$2:F1130=F1130)*($G$2:G1130=G1130)*($I$2:I1130="Duplicate"))-1),"")&amp;".jpeg")</f>
        <v/>
      </c>
      <c r="L1130" s="6"/>
      <c r="M1130" s="5" t="str">
        <f>IFERROR(VLOOKUP(E1130,Specifications!$A$2:$D$9,2,FALSE),"")</f>
        <v/>
      </c>
      <c r="N1130" s="5" t="str">
        <f>IFERROR(VLOOKUP(E1130,Specifications!$A$2:$D$9,3,FALSE),"")</f>
        <v/>
      </c>
      <c r="O1130" s="5" t="str">
        <f>IFERROR(VLOOKUP(E1130,Specifications!$A$2:$D$9,4,FALSE),"")</f>
        <v/>
      </c>
      <c r="P1130" s="8" t="str">
        <f t="shared" si="54"/>
        <v/>
      </c>
      <c r="Q1130" s="9"/>
    </row>
    <row r="1131" spans="1:17" ht="15">
      <c r="A1131" s="5" t="str">
        <f t="shared" si="52"/>
        <v/>
      </c>
      <c r="B1131" s="6"/>
      <c r="C1131" s="5" t="str">
        <f>IFERROR(VLOOKUP(B1131,Lists!$A$2:$B$25,2,FALSE),"")</f>
        <v/>
      </c>
      <c r="D1131" s="7"/>
      <c r="E1131" s="6"/>
      <c r="F1131" s="6" t="str">
        <f t="shared" si="53"/>
        <v/>
      </c>
      <c r="G1131" s="6"/>
      <c r="H1131" s="6"/>
      <c r="I1131" s="6"/>
      <c r="J1131" s="7"/>
      <c r="K1131" s="5" t="str" cm="1">
        <f t="array" ref="K1131">IF(OR(A1131="",B1131="",D1131="",E1131=""),"",A1131&amp;"_"&amp;SUBSTITUTE(B1131," ","-")&amp;"_"&amp;D1131&amp;"_"&amp;SUBSTITUTE(SUBSTITUTE(E1131," ",""),"€","Euro")&amp;"_"&amp;IF(F1131="","Unknown",F1131)&amp;IF(F1131="Commemorative",IF(G1131="","","_"&amp;SUBSTITUTE(SUBSTITUTE(SUBSTITUTE(G1131," ","-"),"/","-"),CHAR(39),"")),"")&amp;IF(I1131="Duplicate","_Dub"&amp;IF(SUMPRODUCT(($B$2:B1131=B1131)*($D$2:D1131=D1131)*($E$2:E1131=E1131)*($F$2:F1131=F1131)*($G$2:G1131=G1131)*($I$2:I1131="Duplicate"))&lt;=1,"",SUMPRODUCT(($B$2:B1131=B1131)*($D$2:D1131=D1131)*($E$2:E1131=E1131)*($F$2:F1131=F1131)*($G$2:G1131=G1131)*($I$2:I1131="Duplicate"))-1),"")&amp;".jpeg")</f>
        <v/>
      </c>
      <c r="L1131" s="6"/>
      <c r="M1131" s="5" t="str">
        <f>IFERROR(VLOOKUP(E1131,Specifications!$A$2:$D$9,2,FALSE),"")</f>
        <v/>
      </c>
      <c r="N1131" s="5" t="str">
        <f>IFERROR(VLOOKUP(E1131,Specifications!$A$2:$D$9,3,FALSE),"")</f>
        <v/>
      </c>
      <c r="O1131" s="5" t="str">
        <f>IFERROR(VLOOKUP(E1131,Specifications!$A$2:$D$9,4,FALSE),"")</f>
        <v/>
      </c>
      <c r="P1131" s="8" t="str">
        <f t="shared" si="54"/>
        <v/>
      </c>
      <c r="Q1131" s="9"/>
    </row>
    <row r="1132" spans="1:17" ht="15">
      <c r="A1132" s="5" t="str">
        <f t="shared" si="52"/>
        <v/>
      </c>
      <c r="B1132" s="6"/>
      <c r="C1132" s="5" t="str">
        <f>IFERROR(VLOOKUP(B1132,Lists!$A$2:$B$25,2,FALSE),"")</f>
        <v/>
      </c>
      <c r="D1132" s="7"/>
      <c r="E1132" s="6"/>
      <c r="F1132" s="6" t="str">
        <f t="shared" si="53"/>
        <v/>
      </c>
      <c r="G1132" s="6"/>
      <c r="H1132" s="6"/>
      <c r="I1132" s="6"/>
      <c r="J1132" s="7"/>
      <c r="K1132" s="5" t="str" cm="1">
        <f t="array" ref="K1132">IF(OR(A1132="",B1132="",D1132="",E1132=""),"",A1132&amp;"_"&amp;SUBSTITUTE(B1132," ","-")&amp;"_"&amp;D1132&amp;"_"&amp;SUBSTITUTE(SUBSTITUTE(E1132," ",""),"€","Euro")&amp;"_"&amp;IF(F1132="","Unknown",F1132)&amp;IF(F1132="Commemorative",IF(G1132="","","_"&amp;SUBSTITUTE(SUBSTITUTE(SUBSTITUTE(G1132," ","-"),"/","-"),CHAR(39),"")),"")&amp;IF(I1132="Duplicate","_Dub"&amp;IF(SUMPRODUCT(($B$2:B1132=B1132)*($D$2:D1132=D1132)*($E$2:E1132=E1132)*($F$2:F1132=F1132)*($G$2:G1132=G1132)*($I$2:I1132="Duplicate"))&lt;=1,"",SUMPRODUCT(($B$2:B1132=B1132)*($D$2:D1132=D1132)*($E$2:E1132=E1132)*($F$2:F1132=F1132)*($G$2:G1132=G1132)*($I$2:I1132="Duplicate"))-1),"")&amp;".jpeg")</f>
        <v/>
      </c>
      <c r="L1132" s="6"/>
      <c r="M1132" s="5" t="str">
        <f>IFERROR(VLOOKUP(E1132,Specifications!$A$2:$D$9,2,FALSE),"")</f>
        <v/>
      </c>
      <c r="N1132" s="5" t="str">
        <f>IFERROR(VLOOKUP(E1132,Specifications!$A$2:$D$9,3,FALSE),"")</f>
        <v/>
      </c>
      <c r="O1132" s="5" t="str">
        <f>IFERROR(VLOOKUP(E1132,Specifications!$A$2:$D$9,4,FALSE),"")</f>
        <v/>
      </c>
      <c r="P1132" s="8" t="str">
        <f t="shared" si="54"/>
        <v/>
      </c>
      <c r="Q1132" s="9"/>
    </row>
    <row r="1133" spans="1:17" ht="15">
      <c r="A1133" s="5" t="str">
        <f t="shared" si="52"/>
        <v/>
      </c>
      <c r="B1133" s="6"/>
      <c r="C1133" s="5" t="str">
        <f>IFERROR(VLOOKUP(B1133,Lists!$A$2:$B$25,2,FALSE),"")</f>
        <v/>
      </c>
      <c r="D1133" s="7"/>
      <c r="E1133" s="6"/>
      <c r="F1133" s="6" t="str">
        <f t="shared" si="53"/>
        <v/>
      </c>
      <c r="G1133" s="6"/>
      <c r="H1133" s="6"/>
      <c r="I1133" s="6"/>
      <c r="J1133" s="7"/>
      <c r="K1133" s="5" t="str" cm="1">
        <f t="array" ref="K1133">IF(OR(A1133="",B1133="",D1133="",E1133=""),"",A1133&amp;"_"&amp;SUBSTITUTE(B1133," ","-")&amp;"_"&amp;D1133&amp;"_"&amp;SUBSTITUTE(SUBSTITUTE(E1133," ",""),"€","Euro")&amp;"_"&amp;IF(F1133="","Unknown",F1133)&amp;IF(F1133="Commemorative",IF(G1133="","","_"&amp;SUBSTITUTE(SUBSTITUTE(SUBSTITUTE(G1133," ","-"),"/","-"),CHAR(39),"")),"")&amp;IF(I1133="Duplicate","_Dub"&amp;IF(SUMPRODUCT(($B$2:B1133=B1133)*($D$2:D1133=D1133)*($E$2:E1133=E1133)*($F$2:F1133=F1133)*($G$2:G1133=G1133)*($I$2:I1133="Duplicate"))&lt;=1,"",SUMPRODUCT(($B$2:B1133=B1133)*($D$2:D1133=D1133)*($E$2:E1133=E1133)*($F$2:F1133=F1133)*($G$2:G1133=G1133)*($I$2:I1133="Duplicate"))-1),"")&amp;".jpeg")</f>
        <v/>
      </c>
      <c r="L1133" s="6"/>
      <c r="M1133" s="5" t="str">
        <f>IFERROR(VLOOKUP(E1133,Specifications!$A$2:$D$9,2,FALSE),"")</f>
        <v/>
      </c>
      <c r="N1133" s="5" t="str">
        <f>IFERROR(VLOOKUP(E1133,Specifications!$A$2:$D$9,3,FALSE),"")</f>
        <v/>
      </c>
      <c r="O1133" s="5" t="str">
        <f>IFERROR(VLOOKUP(E1133,Specifications!$A$2:$D$9,4,FALSE),"")</f>
        <v/>
      </c>
      <c r="P1133" s="8" t="str">
        <f t="shared" si="54"/>
        <v/>
      </c>
      <c r="Q1133" s="9"/>
    </row>
    <row r="1134" spans="1:17" ht="15">
      <c r="A1134" s="5" t="str">
        <f t="shared" si="52"/>
        <v/>
      </c>
      <c r="B1134" s="6"/>
      <c r="C1134" s="5" t="str">
        <f>IFERROR(VLOOKUP(B1134,Lists!$A$2:$B$25,2,FALSE),"")</f>
        <v/>
      </c>
      <c r="D1134" s="7"/>
      <c r="E1134" s="6"/>
      <c r="F1134" s="6" t="str">
        <f t="shared" si="53"/>
        <v/>
      </c>
      <c r="G1134" s="6"/>
      <c r="H1134" s="6"/>
      <c r="I1134" s="6"/>
      <c r="J1134" s="7"/>
      <c r="K1134" s="5" t="str" cm="1">
        <f t="array" ref="K1134">IF(OR(A1134="",B1134="",D1134="",E1134=""),"",A1134&amp;"_"&amp;SUBSTITUTE(B1134," ","-")&amp;"_"&amp;D1134&amp;"_"&amp;SUBSTITUTE(SUBSTITUTE(E1134," ",""),"€","Euro")&amp;"_"&amp;IF(F1134="","Unknown",F1134)&amp;IF(F1134="Commemorative",IF(G1134="","","_"&amp;SUBSTITUTE(SUBSTITUTE(SUBSTITUTE(G1134," ","-"),"/","-"),CHAR(39),"")),"")&amp;IF(I1134="Duplicate","_Dub"&amp;IF(SUMPRODUCT(($B$2:B1134=B1134)*($D$2:D1134=D1134)*($E$2:E1134=E1134)*($F$2:F1134=F1134)*($G$2:G1134=G1134)*($I$2:I1134="Duplicate"))&lt;=1,"",SUMPRODUCT(($B$2:B1134=B1134)*($D$2:D1134=D1134)*($E$2:E1134=E1134)*($F$2:F1134=F1134)*($G$2:G1134=G1134)*($I$2:I1134="Duplicate"))-1),"")&amp;".jpeg")</f>
        <v/>
      </c>
      <c r="L1134" s="6"/>
      <c r="M1134" s="5" t="str">
        <f>IFERROR(VLOOKUP(E1134,Specifications!$A$2:$D$9,2,FALSE),"")</f>
        <v/>
      </c>
      <c r="N1134" s="5" t="str">
        <f>IFERROR(VLOOKUP(E1134,Specifications!$A$2:$D$9,3,FALSE),"")</f>
        <v/>
      </c>
      <c r="O1134" s="5" t="str">
        <f>IFERROR(VLOOKUP(E1134,Specifications!$A$2:$D$9,4,FALSE),"")</f>
        <v/>
      </c>
      <c r="P1134" s="8" t="str">
        <f t="shared" si="54"/>
        <v/>
      </c>
      <c r="Q1134" s="9"/>
    </row>
    <row r="1135" spans="1:17" ht="15">
      <c r="A1135" s="5" t="str">
        <f t="shared" si="52"/>
        <v/>
      </c>
      <c r="B1135" s="6"/>
      <c r="C1135" s="5" t="str">
        <f>IFERROR(VLOOKUP(B1135,Lists!$A$2:$B$25,2,FALSE),"")</f>
        <v/>
      </c>
      <c r="D1135" s="7"/>
      <c r="E1135" s="6"/>
      <c r="F1135" s="6" t="str">
        <f t="shared" si="53"/>
        <v/>
      </c>
      <c r="G1135" s="6"/>
      <c r="H1135" s="6"/>
      <c r="I1135" s="6"/>
      <c r="J1135" s="7"/>
      <c r="K1135" s="5" t="str" cm="1">
        <f t="array" ref="K1135">IF(OR(A1135="",B1135="",D1135="",E1135=""),"",A1135&amp;"_"&amp;SUBSTITUTE(B1135," ","-")&amp;"_"&amp;D1135&amp;"_"&amp;SUBSTITUTE(SUBSTITUTE(E1135," ",""),"€","Euro")&amp;"_"&amp;IF(F1135="","Unknown",F1135)&amp;IF(F1135="Commemorative",IF(G1135="","","_"&amp;SUBSTITUTE(SUBSTITUTE(SUBSTITUTE(G1135," ","-"),"/","-"),CHAR(39),"")),"")&amp;IF(I1135="Duplicate","_Dub"&amp;IF(SUMPRODUCT(($B$2:B1135=B1135)*($D$2:D1135=D1135)*($E$2:E1135=E1135)*($F$2:F1135=F1135)*($G$2:G1135=G1135)*($I$2:I1135="Duplicate"))&lt;=1,"",SUMPRODUCT(($B$2:B1135=B1135)*($D$2:D1135=D1135)*($E$2:E1135=E1135)*($F$2:F1135=F1135)*($G$2:G1135=G1135)*($I$2:I1135="Duplicate"))-1),"")&amp;".jpeg")</f>
        <v/>
      </c>
      <c r="L1135" s="6"/>
      <c r="M1135" s="5" t="str">
        <f>IFERROR(VLOOKUP(E1135,Specifications!$A$2:$D$9,2,FALSE),"")</f>
        <v/>
      </c>
      <c r="N1135" s="5" t="str">
        <f>IFERROR(VLOOKUP(E1135,Specifications!$A$2:$D$9,3,FALSE),"")</f>
        <v/>
      </c>
      <c r="O1135" s="5" t="str">
        <f>IFERROR(VLOOKUP(E1135,Specifications!$A$2:$D$9,4,FALSE),"")</f>
        <v/>
      </c>
      <c r="P1135" s="8" t="str">
        <f t="shared" si="54"/>
        <v/>
      </c>
      <c r="Q1135" s="9"/>
    </row>
    <row r="1136" spans="1:17" ht="15">
      <c r="A1136" s="5" t="str">
        <f t="shared" si="52"/>
        <v/>
      </c>
      <c r="B1136" s="6"/>
      <c r="C1136" s="5" t="str">
        <f>IFERROR(VLOOKUP(B1136,Lists!$A$2:$B$25,2,FALSE),"")</f>
        <v/>
      </c>
      <c r="D1136" s="7"/>
      <c r="E1136" s="6"/>
      <c r="F1136" s="6" t="str">
        <f t="shared" si="53"/>
        <v/>
      </c>
      <c r="G1136" s="6"/>
      <c r="H1136" s="6"/>
      <c r="I1136" s="6"/>
      <c r="J1136" s="7"/>
      <c r="K1136" s="5" t="str" cm="1">
        <f t="array" ref="K1136">IF(OR(A1136="",B1136="",D1136="",E1136=""),"",A1136&amp;"_"&amp;SUBSTITUTE(B1136," ","-")&amp;"_"&amp;D1136&amp;"_"&amp;SUBSTITUTE(SUBSTITUTE(E1136," ",""),"€","Euro")&amp;"_"&amp;IF(F1136="","Unknown",F1136)&amp;IF(F1136="Commemorative",IF(G1136="","","_"&amp;SUBSTITUTE(SUBSTITUTE(SUBSTITUTE(G1136," ","-"),"/","-"),CHAR(39),"")),"")&amp;IF(I1136="Duplicate","_Dub"&amp;IF(SUMPRODUCT(($B$2:B1136=B1136)*($D$2:D1136=D1136)*($E$2:E1136=E1136)*($F$2:F1136=F1136)*($G$2:G1136=G1136)*($I$2:I1136="Duplicate"))&lt;=1,"",SUMPRODUCT(($B$2:B1136=B1136)*($D$2:D1136=D1136)*($E$2:E1136=E1136)*($F$2:F1136=F1136)*($G$2:G1136=G1136)*($I$2:I1136="Duplicate"))-1),"")&amp;".jpeg")</f>
        <v/>
      </c>
      <c r="L1136" s="6"/>
      <c r="M1136" s="5" t="str">
        <f>IFERROR(VLOOKUP(E1136,Specifications!$A$2:$D$9,2,FALSE),"")</f>
        <v/>
      </c>
      <c r="N1136" s="5" t="str">
        <f>IFERROR(VLOOKUP(E1136,Specifications!$A$2:$D$9,3,FALSE),"")</f>
        <v/>
      </c>
      <c r="O1136" s="5" t="str">
        <f>IFERROR(VLOOKUP(E1136,Specifications!$A$2:$D$9,4,FALSE),"")</f>
        <v/>
      </c>
      <c r="P1136" s="8" t="str">
        <f t="shared" si="54"/>
        <v/>
      </c>
      <c r="Q1136" s="9"/>
    </row>
    <row r="1137" spans="1:17" ht="15">
      <c r="A1137" s="5" t="str">
        <f t="shared" si="52"/>
        <v/>
      </c>
      <c r="B1137" s="6"/>
      <c r="C1137" s="5" t="str">
        <f>IFERROR(VLOOKUP(B1137,Lists!$A$2:$B$25,2,FALSE),"")</f>
        <v/>
      </c>
      <c r="D1137" s="7"/>
      <c r="E1137" s="6"/>
      <c r="F1137" s="6" t="str">
        <f t="shared" si="53"/>
        <v/>
      </c>
      <c r="G1137" s="6"/>
      <c r="H1137" s="6"/>
      <c r="I1137" s="6"/>
      <c r="J1137" s="7"/>
      <c r="K1137" s="5" t="str" cm="1">
        <f t="array" ref="K1137">IF(OR(A1137="",B1137="",D1137="",E1137=""),"",A1137&amp;"_"&amp;SUBSTITUTE(B1137," ","-")&amp;"_"&amp;D1137&amp;"_"&amp;SUBSTITUTE(SUBSTITUTE(E1137," ",""),"€","Euro")&amp;"_"&amp;IF(F1137="","Unknown",F1137)&amp;IF(F1137="Commemorative",IF(G1137="","","_"&amp;SUBSTITUTE(SUBSTITUTE(SUBSTITUTE(G1137," ","-"),"/","-"),CHAR(39),"")),"")&amp;IF(I1137="Duplicate","_Dub"&amp;IF(SUMPRODUCT(($B$2:B1137=B1137)*($D$2:D1137=D1137)*($E$2:E1137=E1137)*($F$2:F1137=F1137)*($G$2:G1137=G1137)*($I$2:I1137="Duplicate"))&lt;=1,"",SUMPRODUCT(($B$2:B1137=B1137)*($D$2:D1137=D1137)*($E$2:E1137=E1137)*($F$2:F1137=F1137)*($G$2:G1137=G1137)*($I$2:I1137="Duplicate"))-1),"")&amp;".jpeg")</f>
        <v/>
      </c>
      <c r="L1137" s="6"/>
      <c r="M1137" s="5" t="str">
        <f>IFERROR(VLOOKUP(E1137,Specifications!$A$2:$D$9,2,FALSE),"")</f>
        <v/>
      </c>
      <c r="N1137" s="5" t="str">
        <f>IFERROR(VLOOKUP(E1137,Specifications!$A$2:$D$9,3,FALSE),"")</f>
        <v/>
      </c>
      <c r="O1137" s="5" t="str">
        <f>IFERROR(VLOOKUP(E1137,Specifications!$A$2:$D$9,4,FALSE),"")</f>
        <v/>
      </c>
      <c r="P1137" s="8" t="str">
        <f t="shared" si="54"/>
        <v/>
      </c>
      <c r="Q1137" s="9"/>
    </row>
    <row r="1138" spans="1:17" ht="15">
      <c r="A1138" s="5" t="str">
        <f t="shared" si="52"/>
        <v/>
      </c>
      <c r="B1138" s="6"/>
      <c r="C1138" s="5" t="str">
        <f>IFERROR(VLOOKUP(B1138,Lists!$A$2:$B$25,2,FALSE),"")</f>
        <v/>
      </c>
      <c r="D1138" s="7"/>
      <c r="E1138" s="6"/>
      <c r="F1138" s="6" t="str">
        <f t="shared" si="53"/>
        <v/>
      </c>
      <c r="G1138" s="6"/>
      <c r="H1138" s="6"/>
      <c r="I1138" s="6"/>
      <c r="J1138" s="7"/>
      <c r="K1138" s="5" t="str" cm="1">
        <f t="array" ref="K1138">IF(OR(A1138="",B1138="",D1138="",E1138=""),"",A1138&amp;"_"&amp;SUBSTITUTE(B1138," ","-")&amp;"_"&amp;D1138&amp;"_"&amp;SUBSTITUTE(SUBSTITUTE(E1138," ",""),"€","Euro")&amp;"_"&amp;IF(F1138="","Unknown",F1138)&amp;IF(F1138="Commemorative",IF(G1138="","","_"&amp;SUBSTITUTE(SUBSTITUTE(SUBSTITUTE(G1138," ","-"),"/","-"),CHAR(39),"")),"")&amp;IF(I1138="Duplicate","_Dub"&amp;IF(SUMPRODUCT(($B$2:B1138=B1138)*($D$2:D1138=D1138)*($E$2:E1138=E1138)*($F$2:F1138=F1138)*($G$2:G1138=G1138)*($I$2:I1138="Duplicate"))&lt;=1,"",SUMPRODUCT(($B$2:B1138=B1138)*($D$2:D1138=D1138)*($E$2:E1138=E1138)*($F$2:F1138=F1138)*($G$2:G1138=G1138)*($I$2:I1138="Duplicate"))-1),"")&amp;".jpeg")</f>
        <v/>
      </c>
      <c r="L1138" s="6"/>
      <c r="M1138" s="5" t="str">
        <f>IFERROR(VLOOKUP(E1138,Specifications!$A$2:$D$9,2,FALSE),"")</f>
        <v/>
      </c>
      <c r="N1138" s="5" t="str">
        <f>IFERROR(VLOOKUP(E1138,Specifications!$A$2:$D$9,3,FALSE),"")</f>
        <v/>
      </c>
      <c r="O1138" s="5" t="str">
        <f>IFERROR(VLOOKUP(E1138,Specifications!$A$2:$D$9,4,FALSE),"")</f>
        <v/>
      </c>
      <c r="P1138" s="8" t="str">
        <f t="shared" si="54"/>
        <v/>
      </c>
      <c r="Q1138" s="9"/>
    </row>
    <row r="1139" spans="1:17" ht="15">
      <c r="A1139" s="5" t="str">
        <f t="shared" si="52"/>
        <v/>
      </c>
      <c r="B1139" s="6"/>
      <c r="C1139" s="5" t="str">
        <f>IFERROR(VLOOKUP(B1139,Lists!$A$2:$B$25,2,FALSE),"")</f>
        <v/>
      </c>
      <c r="D1139" s="7"/>
      <c r="E1139" s="6"/>
      <c r="F1139" s="6" t="str">
        <f t="shared" si="53"/>
        <v/>
      </c>
      <c r="G1139" s="6"/>
      <c r="H1139" s="6"/>
      <c r="I1139" s="6"/>
      <c r="J1139" s="7"/>
      <c r="K1139" s="5" t="str" cm="1">
        <f t="array" ref="K1139">IF(OR(A1139="",B1139="",D1139="",E1139=""),"",A1139&amp;"_"&amp;SUBSTITUTE(B1139," ","-")&amp;"_"&amp;D1139&amp;"_"&amp;SUBSTITUTE(SUBSTITUTE(E1139," ",""),"€","Euro")&amp;"_"&amp;IF(F1139="","Unknown",F1139)&amp;IF(F1139="Commemorative",IF(G1139="","","_"&amp;SUBSTITUTE(SUBSTITUTE(SUBSTITUTE(G1139," ","-"),"/","-"),CHAR(39),"")),"")&amp;IF(I1139="Duplicate","_Dub"&amp;IF(SUMPRODUCT(($B$2:B1139=B1139)*($D$2:D1139=D1139)*($E$2:E1139=E1139)*($F$2:F1139=F1139)*($G$2:G1139=G1139)*($I$2:I1139="Duplicate"))&lt;=1,"",SUMPRODUCT(($B$2:B1139=B1139)*($D$2:D1139=D1139)*($E$2:E1139=E1139)*($F$2:F1139=F1139)*($G$2:G1139=G1139)*($I$2:I1139="Duplicate"))-1),"")&amp;".jpeg")</f>
        <v/>
      </c>
      <c r="L1139" s="6"/>
      <c r="M1139" s="5" t="str">
        <f>IFERROR(VLOOKUP(E1139,Specifications!$A$2:$D$9,2,FALSE),"")</f>
        <v/>
      </c>
      <c r="N1139" s="5" t="str">
        <f>IFERROR(VLOOKUP(E1139,Specifications!$A$2:$D$9,3,FALSE),"")</f>
        <v/>
      </c>
      <c r="O1139" s="5" t="str">
        <f>IFERROR(VLOOKUP(E1139,Specifications!$A$2:$D$9,4,FALSE),"")</f>
        <v/>
      </c>
      <c r="P1139" s="8" t="str">
        <f t="shared" si="54"/>
        <v/>
      </c>
      <c r="Q1139" s="9"/>
    </row>
    <row r="1140" spans="1:17" ht="15">
      <c r="A1140" s="5" t="str">
        <f t="shared" si="52"/>
        <v/>
      </c>
      <c r="B1140" s="6"/>
      <c r="C1140" s="5" t="str">
        <f>IFERROR(VLOOKUP(B1140,Lists!$A$2:$B$25,2,FALSE),"")</f>
        <v/>
      </c>
      <c r="D1140" s="7"/>
      <c r="E1140" s="6"/>
      <c r="F1140" s="6" t="str">
        <f t="shared" si="53"/>
        <v/>
      </c>
      <c r="G1140" s="6"/>
      <c r="H1140" s="6"/>
      <c r="I1140" s="6"/>
      <c r="J1140" s="7"/>
      <c r="K1140" s="5" t="str" cm="1">
        <f t="array" ref="K1140">IF(OR(A1140="",B1140="",D1140="",E1140=""),"",A1140&amp;"_"&amp;SUBSTITUTE(B1140," ","-")&amp;"_"&amp;D1140&amp;"_"&amp;SUBSTITUTE(SUBSTITUTE(E1140," ",""),"€","Euro")&amp;"_"&amp;IF(F1140="","Unknown",F1140)&amp;IF(F1140="Commemorative",IF(G1140="","","_"&amp;SUBSTITUTE(SUBSTITUTE(SUBSTITUTE(G1140," ","-"),"/","-"),CHAR(39),"")),"")&amp;IF(I1140="Duplicate","_Dub"&amp;IF(SUMPRODUCT(($B$2:B1140=B1140)*($D$2:D1140=D1140)*($E$2:E1140=E1140)*($F$2:F1140=F1140)*($G$2:G1140=G1140)*($I$2:I1140="Duplicate"))&lt;=1,"",SUMPRODUCT(($B$2:B1140=B1140)*($D$2:D1140=D1140)*($E$2:E1140=E1140)*($F$2:F1140=F1140)*($G$2:G1140=G1140)*($I$2:I1140="Duplicate"))-1),"")&amp;".jpeg")</f>
        <v/>
      </c>
      <c r="L1140" s="6"/>
      <c r="M1140" s="5" t="str">
        <f>IFERROR(VLOOKUP(E1140,Specifications!$A$2:$D$9,2,FALSE),"")</f>
        <v/>
      </c>
      <c r="N1140" s="5" t="str">
        <f>IFERROR(VLOOKUP(E1140,Specifications!$A$2:$D$9,3,FALSE),"")</f>
        <v/>
      </c>
      <c r="O1140" s="5" t="str">
        <f>IFERROR(VLOOKUP(E1140,Specifications!$A$2:$D$9,4,FALSE),"")</f>
        <v/>
      </c>
      <c r="P1140" s="8" t="str">
        <f t="shared" si="54"/>
        <v/>
      </c>
      <c r="Q1140" s="9"/>
    </row>
    <row r="1141" spans="1:17" ht="15">
      <c r="A1141" s="5" t="str">
        <f t="shared" si="52"/>
        <v/>
      </c>
      <c r="B1141" s="6"/>
      <c r="C1141" s="5" t="str">
        <f>IFERROR(VLOOKUP(B1141,Lists!$A$2:$B$25,2,FALSE),"")</f>
        <v/>
      </c>
      <c r="D1141" s="7"/>
      <c r="E1141" s="6"/>
      <c r="F1141" s="6" t="str">
        <f t="shared" si="53"/>
        <v/>
      </c>
      <c r="G1141" s="6"/>
      <c r="H1141" s="6"/>
      <c r="I1141" s="6"/>
      <c r="J1141" s="7"/>
      <c r="K1141" s="5" t="str" cm="1">
        <f t="array" ref="K1141">IF(OR(A1141="",B1141="",D1141="",E1141=""),"",A1141&amp;"_"&amp;SUBSTITUTE(B1141," ","-")&amp;"_"&amp;D1141&amp;"_"&amp;SUBSTITUTE(SUBSTITUTE(E1141," ",""),"€","Euro")&amp;"_"&amp;IF(F1141="","Unknown",F1141)&amp;IF(F1141="Commemorative",IF(G1141="","","_"&amp;SUBSTITUTE(SUBSTITUTE(SUBSTITUTE(G1141," ","-"),"/","-"),CHAR(39),"")),"")&amp;IF(I1141="Duplicate","_Dub"&amp;IF(SUMPRODUCT(($B$2:B1141=B1141)*($D$2:D1141=D1141)*($E$2:E1141=E1141)*($F$2:F1141=F1141)*($G$2:G1141=G1141)*($I$2:I1141="Duplicate"))&lt;=1,"",SUMPRODUCT(($B$2:B1141=B1141)*($D$2:D1141=D1141)*($E$2:E1141=E1141)*($F$2:F1141=F1141)*($G$2:G1141=G1141)*($I$2:I1141="Duplicate"))-1),"")&amp;".jpeg")</f>
        <v/>
      </c>
      <c r="L1141" s="6"/>
      <c r="M1141" s="5" t="str">
        <f>IFERROR(VLOOKUP(E1141,Specifications!$A$2:$D$9,2,FALSE),"")</f>
        <v/>
      </c>
      <c r="N1141" s="5" t="str">
        <f>IFERROR(VLOOKUP(E1141,Specifications!$A$2:$D$9,3,FALSE),"")</f>
        <v/>
      </c>
      <c r="O1141" s="5" t="str">
        <f>IFERROR(VLOOKUP(E1141,Specifications!$A$2:$D$9,4,FALSE),"")</f>
        <v/>
      </c>
      <c r="P1141" s="8" t="str">
        <f t="shared" si="54"/>
        <v/>
      </c>
      <c r="Q1141" s="9"/>
    </row>
    <row r="1142" spans="1:17" ht="15">
      <c r="A1142" s="5" t="str">
        <f t="shared" si="52"/>
        <v/>
      </c>
      <c r="B1142" s="6"/>
      <c r="C1142" s="5" t="str">
        <f>IFERROR(VLOOKUP(B1142,Lists!$A$2:$B$25,2,FALSE),"")</f>
        <v/>
      </c>
      <c r="D1142" s="7"/>
      <c r="E1142" s="6"/>
      <c r="F1142" s="6" t="str">
        <f t="shared" si="53"/>
        <v/>
      </c>
      <c r="G1142" s="6"/>
      <c r="H1142" s="6"/>
      <c r="I1142" s="6"/>
      <c r="J1142" s="7"/>
      <c r="K1142" s="5" t="str" cm="1">
        <f t="array" ref="K1142">IF(OR(A1142="",B1142="",D1142="",E1142=""),"",A1142&amp;"_"&amp;SUBSTITUTE(B1142," ","-")&amp;"_"&amp;D1142&amp;"_"&amp;SUBSTITUTE(SUBSTITUTE(E1142," ",""),"€","Euro")&amp;"_"&amp;IF(F1142="","Unknown",F1142)&amp;IF(F1142="Commemorative",IF(G1142="","","_"&amp;SUBSTITUTE(SUBSTITUTE(SUBSTITUTE(G1142," ","-"),"/","-"),CHAR(39),"")),"")&amp;IF(I1142="Duplicate","_Dub"&amp;IF(SUMPRODUCT(($B$2:B1142=B1142)*($D$2:D1142=D1142)*($E$2:E1142=E1142)*($F$2:F1142=F1142)*($G$2:G1142=G1142)*($I$2:I1142="Duplicate"))&lt;=1,"",SUMPRODUCT(($B$2:B1142=B1142)*($D$2:D1142=D1142)*($E$2:E1142=E1142)*($F$2:F1142=F1142)*($G$2:G1142=G1142)*($I$2:I1142="Duplicate"))-1),"")&amp;".jpeg")</f>
        <v/>
      </c>
      <c r="L1142" s="6"/>
      <c r="M1142" s="5" t="str">
        <f>IFERROR(VLOOKUP(E1142,Specifications!$A$2:$D$9,2,FALSE),"")</f>
        <v/>
      </c>
      <c r="N1142" s="5" t="str">
        <f>IFERROR(VLOOKUP(E1142,Specifications!$A$2:$D$9,3,FALSE),"")</f>
        <v/>
      </c>
      <c r="O1142" s="5" t="str">
        <f>IFERROR(VLOOKUP(E1142,Specifications!$A$2:$D$9,4,FALSE),"")</f>
        <v/>
      </c>
      <c r="P1142" s="8" t="str">
        <f t="shared" si="54"/>
        <v/>
      </c>
      <c r="Q1142" s="9"/>
    </row>
    <row r="1143" spans="1:17" ht="15">
      <c r="A1143" s="5" t="str">
        <f t="shared" si="52"/>
        <v/>
      </c>
      <c r="B1143" s="6"/>
      <c r="C1143" s="5" t="str">
        <f>IFERROR(VLOOKUP(B1143,Lists!$A$2:$B$25,2,FALSE),"")</f>
        <v/>
      </c>
      <c r="D1143" s="7"/>
      <c r="E1143" s="6"/>
      <c r="F1143" s="6" t="str">
        <f t="shared" si="53"/>
        <v/>
      </c>
      <c r="G1143" s="6"/>
      <c r="H1143" s="6"/>
      <c r="I1143" s="6"/>
      <c r="J1143" s="7"/>
      <c r="K1143" s="5" t="str" cm="1">
        <f t="array" ref="K1143">IF(OR(A1143="",B1143="",D1143="",E1143=""),"",A1143&amp;"_"&amp;SUBSTITUTE(B1143," ","-")&amp;"_"&amp;D1143&amp;"_"&amp;SUBSTITUTE(SUBSTITUTE(E1143," ",""),"€","Euro")&amp;"_"&amp;IF(F1143="","Unknown",F1143)&amp;IF(F1143="Commemorative",IF(G1143="","","_"&amp;SUBSTITUTE(SUBSTITUTE(SUBSTITUTE(G1143," ","-"),"/","-"),CHAR(39),"")),"")&amp;IF(I1143="Duplicate","_Dub"&amp;IF(SUMPRODUCT(($B$2:B1143=B1143)*($D$2:D1143=D1143)*($E$2:E1143=E1143)*($F$2:F1143=F1143)*($G$2:G1143=G1143)*($I$2:I1143="Duplicate"))&lt;=1,"",SUMPRODUCT(($B$2:B1143=B1143)*($D$2:D1143=D1143)*($E$2:E1143=E1143)*($F$2:F1143=F1143)*($G$2:G1143=G1143)*($I$2:I1143="Duplicate"))-1),"")&amp;".jpeg")</f>
        <v/>
      </c>
      <c r="L1143" s="6"/>
      <c r="M1143" s="5" t="str">
        <f>IFERROR(VLOOKUP(E1143,Specifications!$A$2:$D$9,2,FALSE),"")</f>
        <v/>
      </c>
      <c r="N1143" s="5" t="str">
        <f>IFERROR(VLOOKUP(E1143,Specifications!$A$2:$D$9,3,FALSE),"")</f>
        <v/>
      </c>
      <c r="O1143" s="5" t="str">
        <f>IFERROR(VLOOKUP(E1143,Specifications!$A$2:$D$9,4,FALSE),"")</f>
        <v/>
      </c>
      <c r="P1143" s="8" t="str">
        <f t="shared" si="54"/>
        <v/>
      </c>
      <c r="Q1143" s="9"/>
    </row>
    <row r="1144" spans="1:17" ht="15">
      <c r="A1144" s="5" t="str">
        <f t="shared" si="52"/>
        <v/>
      </c>
      <c r="B1144" s="6"/>
      <c r="C1144" s="5" t="str">
        <f>IFERROR(VLOOKUP(B1144,Lists!$A$2:$B$25,2,FALSE),"")</f>
        <v/>
      </c>
      <c r="D1144" s="7"/>
      <c r="E1144" s="6"/>
      <c r="F1144" s="6" t="str">
        <f t="shared" si="53"/>
        <v/>
      </c>
      <c r="G1144" s="6"/>
      <c r="H1144" s="6"/>
      <c r="I1144" s="6"/>
      <c r="J1144" s="7"/>
      <c r="K1144" s="5" t="str" cm="1">
        <f t="array" ref="K1144">IF(OR(A1144="",B1144="",D1144="",E1144=""),"",A1144&amp;"_"&amp;SUBSTITUTE(B1144," ","-")&amp;"_"&amp;D1144&amp;"_"&amp;SUBSTITUTE(SUBSTITUTE(E1144," ",""),"€","Euro")&amp;"_"&amp;IF(F1144="","Unknown",F1144)&amp;IF(F1144="Commemorative",IF(G1144="","","_"&amp;SUBSTITUTE(SUBSTITUTE(SUBSTITUTE(G1144," ","-"),"/","-"),CHAR(39),"")),"")&amp;IF(I1144="Duplicate","_Dub"&amp;IF(SUMPRODUCT(($B$2:B1144=B1144)*($D$2:D1144=D1144)*($E$2:E1144=E1144)*($F$2:F1144=F1144)*($G$2:G1144=G1144)*($I$2:I1144="Duplicate"))&lt;=1,"",SUMPRODUCT(($B$2:B1144=B1144)*($D$2:D1144=D1144)*($E$2:E1144=E1144)*($F$2:F1144=F1144)*($G$2:G1144=G1144)*($I$2:I1144="Duplicate"))-1),"")&amp;".jpeg")</f>
        <v/>
      </c>
      <c r="L1144" s="6"/>
      <c r="M1144" s="5" t="str">
        <f>IFERROR(VLOOKUP(E1144,Specifications!$A$2:$D$9,2,FALSE),"")</f>
        <v/>
      </c>
      <c r="N1144" s="5" t="str">
        <f>IFERROR(VLOOKUP(E1144,Specifications!$A$2:$D$9,3,FALSE),"")</f>
        <v/>
      </c>
      <c r="O1144" s="5" t="str">
        <f>IFERROR(VLOOKUP(E1144,Specifications!$A$2:$D$9,4,FALSE),"")</f>
        <v/>
      </c>
      <c r="P1144" s="8" t="str">
        <f t="shared" si="54"/>
        <v/>
      </c>
      <c r="Q1144" s="9"/>
    </row>
    <row r="1145" spans="1:17" ht="15">
      <c r="A1145" s="5" t="str">
        <f t="shared" si="52"/>
        <v/>
      </c>
      <c r="B1145" s="6"/>
      <c r="C1145" s="5" t="str">
        <f>IFERROR(VLOOKUP(B1145,Lists!$A$2:$B$25,2,FALSE),"")</f>
        <v/>
      </c>
      <c r="D1145" s="7"/>
      <c r="E1145" s="6"/>
      <c r="F1145" s="6" t="str">
        <f t="shared" si="53"/>
        <v/>
      </c>
      <c r="G1145" s="6"/>
      <c r="H1145" s="6"/>
      <c r="I1145" s="6"/>
      <c r="J1145" s="7"/>
      <c r="K1145" s="5" t="str" cm="1">
        <f t="array" ref="K1145">IF(OR(A1145="",B1145="",D1145="",E1145=""),"",A1145&amp;"_"&amp;SUBSTITUTE(B1145," ","-")&amp;"_"&amp;D1145&amp;"_"&amp;SUBSTITUTE(SUBSTITUTE(E1145," ",""),"€","Euro")&amp;"_"&amp;IF(F1145="","Unknown",F1145)&amp;IF(F1145="Commemorative",IF(G1145="","","_"&amp;SUBSTITUTE(SUBSTITUTE(SUBSTITUTE(G1145," ","-"),"/","-"),CHAR(39),"")),"")&amp;IF(I1145="Duplicate","_Dub"&amp;IF(SUMPRODUCT(($B$2:B1145=B1145)*($D$2:D1145=D1145)*($E$2:E1145=E1145)*($F$2:F1145=F1145)*($G$2:G1145=G1145)*($I$2:I1145="Duplicate"))&lt;=1,"",SUMPRODUCT(($B$2:B1145=B1145)*($D$2:D1145=D1145)*($E$2:E1145=E1145)*($F$2:F1145=F1145)*($G$2:G1145=G1145)*($I$2:I1145="Duplicate"))-1),"")&amp;".jpeg")</f>
        <v/>
      </c>
      <c r="L1145" s="6"/>
      <c r="M1145" s="5" t="str">
        <f>IFERROR(VLOOKUP(E1145,Specifications!$A$2:$D$9,2,FALSE),"")</f>
        <v/>
      </c>
      <c r="N1145" s="5" t="str">
        <f>IFERROR(VLOOKUP(E1145,Specifications!$A$2:$D$9,3,FALSE),"")</f>
        <v/>
      </c>
      <c r="O1145" s="5" t="str">
        <f>IFERROR(VLOOKUP(E1145,Specifications!$A$2:$D$9,4,FALSE),"")</f>
        <v/>
      </c>
      <c r="P1145" s="8" t="str">
        <f t="shared" si="54"/>
        <v/>
      </c>
      <c r="Q1145" s="9"/>
    </row>
    <row r="1146" spans="1:17" ht="15">
      <c r="A1146" s="5" t="str">
        <f t="shared" si="52"/>
        <v/>
      </c>
      <c r="B1146" s="6"/>
      <c r="C1146" s="5" t="str">
        <f>IFERROR(VLOOKUP(B1146,Lists!$A$2:$B$25,2,FALSE),"")</f>
        <v/>
      </c>
      <c r="D1146" s="7"/>
      <c r="E1146" s="6"/>
      <c r="F1146" s="6" t="str">
        <f t="shared" si="53"/>
        <v/>
      </c>
      <c r="G1146" s="6"/>
      <c r="H1146" s="6"/>
      <c r="I1146" s="6"/>
      <c r="J1146" s="7"/>
      <c r="K1146" s="5" t="str" cm="1">
        <f t="array" ref="K1146">IF(OR(A1146="",B1146="",D1146="",E1146=""),"",A1146&amp;"_"&amp;SUBSTITUTE(B1146," ","-")&amp;"_"&amp;D1146&amp;"_"&amp;SUBSTITUTE(SUBSTITUTE(E1146," ",""),"€","Euro")&amp;"_"&amp;IF(F1146="","Unknown",F1146)&amp;IF(F1146="Commemorative",IF(G1146="","","_"&amp;SUBSTITUTE(SUBSTITUTE(SUBSTITUTE(G1146," ","-"),"/","-"),CHAR(39),"")),"")&amp;IF(I1146="Duplicate","_Dub"&amp;IF(SUMPRODUCT(($B$2:B1146=B1146)*($D$2:D1146=D1146)*($E$2:E1146=E1146)*($F$2:F1146=F1146)*($G$2:G1146=G1146)*($I$2:I1146="Duplicate"))&lt;=1,"",SUMPRODUCT(($B$2:B1146=B1146)*($D$2:D1146=D1146)*($E$2:E1146=E1146)*($F$2:F1146=F1146)*($G$2:G1146=G1146)*($I$2:I1146="Duplicate"))-1),"")&amp;".jpeg")</f>
        <v/>
      </c>
      <c r="L1146" s="6"/>
      <c r="M1146" s="5" t="str">
        <f>IFERROR(VLOOKUP(E1146,Specifications!$A$2:$D$9,2,FALSE),"")</f>
        <v/>
      </c>
      <c r="N1146" s="5" t="str">
        <f>IFERROR(VLOOKUP(E1146,Specifications!$A$2:$D$9,3,FALSE),"")</f>
        <v/>
      </c>
      <c r="O1146" s="5" t="str">
        <f>IFERROR(VLOOKUP(E1146,Specifications!$A$2:$D$9,4,FALSE),"")</f>
        <v/>
      </c>
      <c r="P1146" s="8" t="str">
        <f t="shared" si="54"/>
        <v/>
      </c>
      <c r="Q1146" s="9"/>
    </row>
    <row r="1147" spans="1:17" ht="15">
      <c r="A1147" s="5" t="str">
        <f t="shared" si="52"/>
        <v/>
      </c>
      <c r="B1147" s="6"/>
      <c r="C1147" s="5" t="str">
        <f>IFERROR(VLOOKUP(B1147,Lists!$A$2:$B$25,2,FALSE),"")</f>
        <v/>
      </c>
      <c r="D1147" s="7"/>
      <c r="E1147" s="6"/>
      <c r="F1147" s="6" t="str">
        <f t="shared" si="53"/>
        <v/>
      </c>
      <c r="G1147" s="6"/>
      <c r="H1147" s="6"/>
      <c r="I1147" s="6"/>
      <c r="J1147" s="7"/>
      <c r="K1147" s="5" t="str" cm="1">
        <f t="array" ref="K1147">IF(OR(A1147="",B1147="",D1147="",E1147=""),"",A1147&amp;"_"&amp;SUBSTITUTE(B1147," ","-")&amp;"_"&amp;D1147&amp;"_"&amp;SUBSTITUTE(SUBSTITUTE(E1147," ",""),"€","Euro")&amp;"_"&amp;IF(F1147="","Unknown",F1147)&amp;IF(F1147="Commemorative",IF(G1147="","","_"&amp;SUBSTITUTE(SUBSTITUTE(SUBSTITUTE(G1147," ","-"),"/","-"),CHAR(39),"")),"")&amp;IF(I1147="Duplicate","_Dub"&amp;IF(SUMPRODUCT(($B$2:B1147=B1147)*($D$2:D1147=D1147)*($E$2:E1147=E1147)*($F$2:F1147=F1147)*($G$2:G1147=G1147)*($I$2:I1147="Duplicate"))&lt;=1,"",SUMPRODUCT(($B$2:B1147=B1147)*($D$2:D1147=D1147)*($E$2:E1147=E1147)*($F$2:F1147=F1147)*($G$2:G1147=G1147)*($I$2:I1147="Duplicate"))-1),"")&amp;".jpeg")</f>
        <v/>
      </c>
      <c r="L1147" s="6"/>
      <c r="M1147" s="5" t="str">
        <f>IFERROR(VLOOKUP(E1147,Specifications!$A$2:$D$9,2,FALSE),"")</f>
        <v/>
      </c>
      <c r="N1147" s="5" t="str">
        <f>IFERROR(VLOOKUP(E1147,Specifications!$A$2:$D$9,3,FALSE),"")</f>
        <v/>
      </c>
      <c r="O1147" s="5" t="str">
        <f>IFERROR(VLOOKUP(E1147,Specifications!$A$2:$D$9,4,FALSE),"")</f>
        <v/>
      </c>
      <c r="P1147" s="8" t="str">
        <f t="shared" si="54"/>
        <v/>
      </c>
      <c r="Q1147" s="9"/>
    </row>
    <row r="1148" spans="1:17" ht="15">
      <c r="A1148" s="5" t="str">
        <f t="shared" si="52"/>
        <v/>
      </c>
      <c r="B1148" s="6"/>
      <c r="C1148" s="5" t="str">
        <f>IFERROR(VLOOKUP(B1148,Lists!$A$2:$B$25,2,FALSE),"")</f>
        <v/>
      </c>
      <c r="D1148" s="7"/>
      <c r="E1148" s="6"/>
      <c r="F1148" s="6" t="str">
        <f t="shared" si="53"/>
        <v/>
      </c>
      <c r="G1148" s="6"/>
      <c r="H1148" s="6"/>
      <c r="I1148" s="6"/>
      <c r="J1148" s="7"/>
      <c r="K1148" s="5" t="str" cm="1">
        <f t="array" ref="K1148">IF(OR(A1148="",B1148="",D1148="",E1148=""),"",A1148&amp;"_"&amp;SUBSTITUTE(B1148," ","-")&amp;"_"&amp;D1148&amp;"_"&amp;SUBSTITUTE(SUBSTITUTE(E1148," ",""),"€","Euro")&amp;"_"&amp;IF(F1148="","Unknown",F1148)&amp;IF(F1148="Commemorative",IF(G1148="","","_"&amp;SUBSTITUTE(SUBSTITUTE(SUBSTITUTE(G1148," ","-"),"/","-"),CHAR(39),"")),"")&amp;IF(I1148="Duplicate","_Dub"&amp;IF(SUMPRODUCT(($B$2:B1148=B1148)*($D$2:D1148=D1148)*($E$2:E1148=E1148)*($F$2:F1148=F1148)*($G$2:G1148=G1148)*($I$2:I1148="Duplicate"))&lt;=1,"",SUMPRODUCT(($B$2:B1148=B1148)*($D$2:D1148=D1148)*($E$2:E1148=E1148)*($F$2:F1148=F1148)*($G$2:G1148=G1148)*($I$2:I1148="Duplicate"))-1),"")&amp;".jpeg")</f>
        <v/>
      </c>
      <c r="L1148" s="6"/>
      <c r="M1148" s="5" t="str">
        <f>IFERROR(VLOOKUP(E1148,Specifications!$A$2:$D$9,2,FALSE),"")</f>
        <v/>
      </c>
      <c r="N1148" s="5" t="str">
        <f>IFERROR(VLOOKUP(E1148,Specifications!$A$2:$D$9,3,FALSE),"")</f>
        <v/>
      </c>
      <c r="O1148" s="5" t="str">
        <f>IFERROR(VLOOKUP(E1148,Specifications!$A$2:$D$9,4,FALSE),"")</f>
        <v/>
      </c>
      <c r="P1148" s="8" t="str">
        <f t="shared" si="54"/>
        <v/>
      </c>
      <c r="Q1148" s="9"/>
    </row>
    <row r="1149" spans="1:17" ht="15">
      <c r="A1149" s="5" t="str">
        <f t="shared" si="52"/>
        <v/>
      </c>
      <c r="B1149" s="6"/>
      <c r="C1149" s="5" t="str">
        <f>IFERROR(VLOOKUP(B1149,Lists!$A$2:$B$25,2,FALSE),"")</f>
        <v/>
      </c>
      <c r="D1149" s="7"/>
      <c r="E1149" s="6"/>
      <c r="F1149" s="6" t="str">
        <f t="shared" si="53"/>
        <v/>
      </c>
      <c r="G1149" s="6"/>
      <c r="H1149" s="6"/>
      <c r="I1149" s="6"/>
      <c r="J1149" s="7"/>
      <c r="K1149" s="5" t="str" cm="1">
        <f t="array" ref="K1149">IF(OR(A1149="",B1149="",D1149="",E1149=""),"",A1149&amp;"_"&amp;SUBSTITUTE(B1149," ","-")&amp;"_"&amp;D1149&amp;"_"&amp;SUBSTITUTE(SUBSTITUTE(E1149," ",""),"€","Euro")&amp;"_"&amp;IF(F1149="","Unknown",F1149)&amp;IF(F1149="Commemorative",IF(G1149="","","_"&amp;SUBSTITUTE(SUBSTITUTE(SUBSTITUTE(G1149," ","-"),"/","-"),CHAR(39),"")),"")&amp;IF(I1149="Duplicate","_Dub"&amp;IF(SUMPRODUCT(($B$2:B1149=B1149)*($D$2:D1149=D1149)*($E$2:E1149=E1149)*($F$2:F1149=F1149)*($G$2:G1149=G1149)*($I$2:I1149="Duplicate"))&lt;=1,"",SUMPRODUCT(($B$2:B1149=B1149)*($D$2:D1149=D1149)*($E$2:E1149=E1149)*($F$2:F1149=F1149)*($G$2:G1149=G1149)*($I$2:I1149="Duplicate"))-1),"")&amp;".jpeg")</f>
        <v/>
      </c>
      <c r="L1149" s="6"/>
      <c r="M1149" s="5" t="str">
        <f>IFERROR(VLOOKUP(E1149,Specifications!$A$2:$D$9,2,FALSE),"")</f>
        <v/>
      </c>
      <c r="N1149" s="5" t="str">
        <f>IFERROR(VLOOKUP(E1149,Specifications!$A$2:$D$9,3,FALSE),"")</f>
        <v/>
      </c>
      <c r="O1149" s="5" t="str">
        <f>IFERROR(VLOOKUP(E1149,Specifications!$A$2:$D$9,4,FALSE),"")</f>
        <v/>
      </c>
      <c r="P1149" s="8" t="str">
        <f t="shared" si="54"/>
        <v/>
      </c>
      <c r="Q1149" s="9"/>
    </row>
    <row r="1150" spans="1:17" ht="15">
      <c r="A1150" s="5" t="str">
        <f t="shared" si="52"/>
        <v/>
      </c>
      <c r="B1150" s="6"/>
      <c r="C1150" s="5" t="str">
        <f>IFERROR(VLOOKUP(B1150,Lists!$A$2:$B$25,2,FALSE),"")</f>
        <v/>
      </c>
      <c r="D1150" s="7"/>
      <c r="E1150" s="6"/>
      <c r="F1150" s="6" t="str">
        <f t="shared" si="53"/>
        <v/>
      </c>
      <c r="G1150" s="6"/>
      <c r="H1150" s="6"/>
      <c r="I1150" s="6"/>
      <c r="J1150" s="7"/>
      <c r="K1150" s="5" t="str" cm="1">
        <f t="array" ref="K1150">IF(OR(A1150="",B1150="",D1150="",E1150=""),"",A1150&amp;"_"&amp;SUBSTITUTE(B1150," ","-")&amp;"_"&amp;D1150&amp;"_"&amp;SUBSTITUTE(SUBSTITUTE(E1150," ",""),"€","Euro")&amp;"_"&amp;IF(F1150="","Unknown",F1150)&amp;IF(F1150="Commemorative",IF(G1150="","","_"&amp;SUBSTITUTE(SUBSTITUTE(SUBSTITUTE(G1150," ","-"),"/","-"),CHAR(39),"")),"")&amp;IF(I1150="Duplicate","_Dub"&amp;IF(SUMPRODUCT(($B$2:B1150=B1150)*($D$2:D1150=D1150)*($E$2:E1150=E1150)*($F$2:F1150=F1150)*($G$2:G1150=G1150)*($I$2:I1150="Duplicate"))&lt;=1,"",SUMPRODUCT(($B$2:B1150=B1150)*($D$2:D1150=D1150)*($E$2:E1150=E1150)*($F$2:F1150=F1150)*($G$2:G1150=G1150)*($I$2:I1150="Duplicate"))-1),"")&amp;".jpeg")</f>
        <v/>
      </c>
      <c r="L1150" s="6"/>
      <c r="M1150" s="5" t="str">
        <f>IFERROR(VLOOKUP(E1150,Specifications!$A$2:$D$9,2,FALSE),"")</f>
        <v/>
      </c>
      <c r="N1150" s="5" t="str">
        <f>IFERROR(VLOOKUP(E1150,Specifications!$A$2:$D$9,3,FALSE),"")</f>
        <v/>
      </c>
      <c r="O1150" s="5" t="str">
        <f>IFERROR(VLOOKUP(E1150,Specifications!$A$2:$D$9,4,FALSE),"")</f>
        <v/>
      </c>
      <c r="P1150" s="8" t="str">
        <f t="shared" si="54"/>
        <v/>
      </c>
      <c r="Q1150" s="9"/>
    </row>
    <row r="1151" spans="1:17" ht="15">
      <c r="A1151" s="5" t="str">
        <f t="shared" si="52"/>
        <v/>
      </c>
      <c r="B1151" s="6"/>
      <c r="C1151" s="5" t="str">
        <f>IFERROR(VLOOKUP(B1151,Lists!$A$2:$B$25,2,FALSE),"")</f>
        <v/>
      </c>
      <c r="D1151" s="7"/>
      <c r="E1151" s="6"/>
      <c r="F1151" s="6" t="str">
        <f t="shared" si="53"/>
        <v/>
      </c>
      <c r="G1151" s="6"/>
      <c r="H1151" s="6"/>
      <c r="I1151" s="6"/>
      <c r="J1151" s="7"/>
      <c r="K1151" s="5" t="str" cm="1">
        <f t="array" ref="K1151">IF(OR(A1151="",B1151="",D1151="",E1151=""),"",A1151&amp;"_"&amp;SUBSTITUTE(B1151," ","-")&amp;"_"&amp;D1151&amp;"_"&amp;SUBSTITUTE(SUBSTITUTE(E1151," ",""),"€","Euro")&amp;"_"&amp;IF(F1151="","Unknown",F1151)&amp;IF(F1151="Commemorative",IF(G1151="","","_"&amp;SUBSTITUTE(SUBSTITUTE(SUBSTITUTE(G1151," ","-"),"/","-"),CHAR(39),"")),"")&amp;IF(I1151="Duplicate","_Dub"&amp;IF(SUMPRODUCT(($B$2:B1151=B1151)*($D$2:D1151=D1151)*($E$2:E1151=E1151)*($F$2:F1151=F1151)*($G$2:G1151=G1151)*($I$2:I1151="Duplicate"))&lt;=1,"",SUMPRODUCT(($B$2:B1151=B1151)*($D$2:D1151=D1151)*($E$2:E1151=E1151)*($F$2:F1151=F1151)*($G$2:G1151=G1151)*($I$2:I1151="Duplicate"))-1),"")&amp;".jpeg")</f>
        <v/>
      </c>
      <c r="L1151" s="6"/>
      <c r="M1151" s="5" t="str">
        <f>IFERROR(VLOOKUP(E1151,Specifications!$A$2:$D$9,2,FALSE),"")</f>
        <v/>
      </c>
      <c r="N1151" s="5" t="str">
        <f>IFERROR(VLOOKUP(E1151,Specifications!$A$2:$D$9,3,FALSE),"")</f>
        <v/>
      </c>
      <c r="O1151" s="5" t="str">
        <f>IFERROR(VLOOKUP(E1151,Specifications!$A$2:$D$9,4,FALSE),"")</f>
        <v/>
      </c>
      <c r="P1151" s="8" t="str">
        <f t="shared" si="54"/>
        <v/>
      </c>
      <c r="Q1151" s="9"/>
    </row>
    <row r="1152" spans="1:17" ht="15">
      <c r="A1152" s="5" t="str">
        <f t="shared" si="52"/>
        <v/>
      </c>
      <c r="B1152" s="6"/>
      <c r="C1152" s="5" t="str">
        <f>IFERROR(VLOOKUP(B1152,Lists!$A$2:$B$25,2,FALSE),"")</f>
        <v/>
      </c>
      <c r="D1152" s="7"/>
      <c r="E1152" s="6"/>
      <c r="F1152" s="6" t="str">
        <f t="shared" si="53"/>
        <v/>
      </c>
      <c r="G1152" s="6"/>
      <c r="H1152" s="6"/>
      <c r="I1152" s="6"/>
      <c r="J1152" s="7"/>
      <c r="K1152" s="5" t="str" cm="1">
        <f t="array" ref="K1152">IF(OR(A1152="",B1152="",D1152="",E1152=""),"",A1152&amp;"_"&amp;SUBSTITUTE(B1152," ","-")&amp;"_"&amp;D1152&amp;"_"&amp;SUBSTITUTE(SUBSTITUTE(E1152," ",""),"€","Euro")&amp;"_"&amp;IF(F1152="","Unknown",F1152)&amp;IF(F1152="Commemorative",IF(G1152="","","_"&amp;SUBSTITUTE(SUBSTITUTE(SUBSTITUTE(G1152," ","-"),"/","-"),CHAR(39),"")),"")&amp;IF(I1152="Duplicate","_Dub"&amp;IF(SUMPRODUCT(($B$2:B1152=B1152)*($D$2:D1152=D1152)*($E$2:E1152=E1152)*($F$2:F1152=F1152)*($G$2:G1152=G1152)*($I$2:I1152="Duplicate"))&lt;=1,"",SUMPRODUCT(($B$2:B1152=B1152)*($D$2:D1152=D1152)*($E$2:E1152=E1152)*($F$2:F1152=F1152)*($G$2:G1152=G1152)*($I$2:I1152="Duplicate"))-1),"")&amp;".jpeg")</f>
        <v/>
      </c>
      <c r="L1152" s="6"/>
      <c r="M1152" s="5" t="str">
        <f>IFERROR(VLOOKUP(E1152,Specifications!$A$2:$D$9,2,FALSE),"")</f>
        <v/>
      </c>
      <c r="N1152" s="5" t="str">
        <f>IFERROR(VLOOKUP(E1152,Specifications!$A$2:$D$9,3,FALSE),"")</f>
        <v/>
      </c>
      <c r="O1152" s="5" t="str">
        <f>IFERROR(VLOOKUP(E1152,Specifications!$A$2:$D$9,4,FALSE),"")</f>
        <v/>
      </c>
      <c r="P1152" s="8" t="str">
        <f t="shared" si="54"/>
        <v/>
      </c>
      <c r="Q1152" s="9"/>
    </row>
    <row r="1153" spans="1:17" ht="15">
      <c r="A1153" s="5" t="str">
        <f t="shared" si="52"/>
        <v/>
      </c>
      <c r="B1153" s="6"/>
      <c r="C1153" s="5" t="str">
        <f>IFERROR(VLOOKUP(B1153,Lists!$A$2:$B$25,2,FALSE),"")</f>
        <v/>
      </c>
      <c r="D1153" s="7"/>
      <c r="E1153" s="6"/>
      <c r="F1153" s="6" t="str">
        <f t="shared" si="53"/>
        <v/>
      </c>
      <c r="G1153" s="6"/>
      <c r="H1153" s="6"/>
      <c r="I1153" s="6"/>
      <c r="J1153" s="7"/>
      <c r="K1153" s="5" t="str" cm="1">
        <f t="array" ref="K1153">IF(OR(A1153="",B1153="",D1153="",E1153=""),"",A1153&amp;"_"&amp;SUBSTITUTE(B1153," ","-")&amp;"_"&amp;D1153&amp;"_"&amp;SUBSTITUTE(SUBSTITUTE(E1153," ",""),"€","Euro")&amp;"_"&amp;IF(F1153="","Unknown",F1153)&amp;IF(F1153="Commemorative",IF(G1153="","","_"&amp;SUBSTITUTE(SUBSTITUTE(SUBSTITUTE(G1153," ","-"),"/","-"),CHAR(39),"")),"")&amp;IF(I1153="Duplicate","_Dub"&amp;IF(SUMPRODUCT(($B$2:B1153=B1153)*($D$2:D1153=D1153)*($E$2:E1153=E1153)*($F$2:F1153=F1153)*($G$2:G1153=G1153)*($I$2:I1153="Duplicate"))&lt;=1,"",SUMPRODUCT(($B$2:B1153=B1153)*($D$2:D1153=D1153)*($E$2:E1153=E1153)*($F$2:F1153=F1153)*($G$2:G1153=G1153)*($I$2:I1153="Duplicate"))-1),"")&amp;".jpeg")</f>
        <v/>
      </c>
      <c r="L1153" s="6"/>
      <c r="M1153" s="5" t="str">
        <f>IFERROR(VLOOKUP(E1153,Specifications!$A$2:$D$9,2,FALSE),"")</f>
        <v/>
      </c>
      <c r="N1153" s="5" t="str">
        <f>IFERROR(VLOOKUP(E1153,Specifications!$A$2:$D$9,3,FALSE),"")</f>
        <v/>
      </c>
      <c r="O1153" s="5" t="str">
        <f>IFERROR(VLOOKUP(E1153,Specifications!$A$2:$D$9,4,FALSE),"")</f>
        <v/>
      </c>
      <c r="P1153" s="8" t="str">
        <f t="shared" si="54"/>
        <v/>
      </c>
      <c r="Q1153" s="9"/>
    </row>
    <row r="1154" spans="1:17" ht="15">
      <c r="A1154" s="5" t="str">
        <f t="shared" ref="A1154:A1217" si="55">IF(B1154="","",TEXT(ROW()-1,"000"))</f>
        <v/>
      </c>
      <c r="B1154" s="6"/>
      <c r="C1154" s="5" t="str">
        <f>IFERROR(VLOOKUP(B1154,Lists!$A$2:$B$25,2,FALSE),"")</f>
        <v/>
      </c>
      <c r="D1154" s="7"/>
      <c r="E1154" s="6"/>
      <c r="F1154" s="6" t="str">
        <f t="shared" ref="F1154:F1217" si="56">IF(E1154="","",IF(E1154="2 €","", "Regular"))</f>
        <v/>
      </c>
      <c r="G1154" s="6"/>
      <c r="H1154" s="6"/>
      <c r="I1154" s="6"/>
      <c r="J1154" s="7"/>
      <c r="K1154" s="5" t="str" cm="1">
        <f t="array" ref="K1154">IF(OR(A1154="",B1154="",D1154="",E1154=""),"",A1154&amp;"_"&amp;SUBSTITUTE(B1154," ","-")&amp;"_"&amp;D1154&amp;"_"&amp;SUBSTITUTE(SUBSTITUTE(E1154," ",""),"€","Euro")&amp;"_"&amp;IF(F1154="","Unknown",F1154)&amp;IF(F1154="Commemorative",IF(G1154="","","_"&amp;SUBSTITUTE(SUBSTITUTE(SUBSTITUTE(G1154," ","-"),"/","-"),CHAR(39),"")),"")&amp;IF(I1154="Duplicate","_Dub"&amp;IF(SUMPRODUCT(($B$2:B1154=B1154)*($D$2:D1154=D1154)*($E$2:E1154=E1154)*($F$2:F1154=F1154)*($G$2:G1154=G1154)*($I$2:I1154="Duplicate"))&lt;=1,"",SUMPRODUCT(($B$2:B1154=B1154)*($D$2:D1154=D1154)*($E$2:E1154=E1154)*($F$2:F1154=F1154)*($G$2:G1154=G1154)*($I$2:I1154="Duplicate"))-1),"")&amp;".jpeg")</f>
        <v/>
      </c>
      <c r="L1154" s="6"/>
      <c r="M1154" s="5" t="str">
        <f>IFERROR(VLOOKUP(E1154,Specifications!$A$2:$D$9,2,FALSE),"")</f>
        <v/>
      </c>
      <c r="N1154" s="5" t="str">
        <f>IFERROR(VLOOKUP(E1154,Specifications!$A$2:$D$9,3,FALSE),"")</f>
        <v/>
      </c>
      <c r="O1154" s="5" t="str">
        <f>IFERROR(VLOOKUP(E1154,Specifications!$A$2:$D$9,4,FALSE),"")</f>
        <v/>
      </c>
      <c r="P1154" s="8" t="str">
        <f t="shared" ref="P1154:P1217" si="57">IF(OR(B1154="",E1154="",F1154=""),"",IF(F1154="Regular","Regular "&amp;E1154&amp;" circulation coin of "&amp;B1154&amp;".",IF(F1154="Commemorative",IF(G1154="","",E1154&amp;" commemorative coin of "&amp;B1154&amp;" – "&amp;G1154&amp;"."),"")))</f>
        <v/>
      </c>
      <c r="Q1154" s="9"/>
    </row>
    <row r="1155" spans="1:17" ht="15">
      <c r="A1155" s="5" t="str">
        <f t="shared" si="55"/>
        <v/>
      </c>
      <c r="B1155" s="6"/>
      <c r="C1155" s="5" t="str">
        <f>IFERROR(VLOOKUP(B1155,Lists!$A$2:$B$25,2,FALSE),"")</f>
        <v/>
      </c>
      <c r="D1155" s="7"/>
      <c r="E1155" s="6"/>
      <c r="F1155" s="6" t="str">
        <f t="shared" si="56"/>
        <v/>
      </c>
      <c r="G1155" s="6"/>
      <c r="H1155" s="6"/>
      <c r="I1155" s="6"/>
      <c r="J1155" s="7"/>
      <c r="K1155" s="5" t="str" cm="1">
        <f t="array" ref="K1155">IF(OR(A1155="",B1155="",D1155="",E1155=""),"",A1155&amp;"_"&amp;SUBSTITUTE(B1155," ","-")&amp;"_"&amp;D1155&amp;"_"&amp;SUBSTITUTE(SUBSTITUTE(E1155," ",""),"€","Euro")&amp;"_"&amp;IF(F1155="","Unknown",F1155)&amp;IF(F1155="Commemorative",IF(G1155="","","_"&amp;SUBSTITUTE(SUBSTITUTE(SUBSTITUTE(G1155," ","-"),"/","-"),CHAR(39),"")),"")&amp;IF(I1155="Duplicate","_Dub"&amp;IF(SUMPRODUCT(($B$2:B1155=B1155)*($D$2:D1155=D1155)*($E$2:E1155=E1155)*($F$2:F1155=F1155)*($G$2:G1155=G1155)*($I$2:I1155="Duplicate"))&lt;=1,"",SUMPRODUCT(($B$2:B1155=B1155)*($D$2:D1155=D1155)*($E$2:E1155=E1155)*($F$2:F1155=F1155)*($G$2:G1155=G1155)*($I$2:I1155="Duplicate"))-1),"")&amp;".jpeg")</f>
        <v/>
      </c>
      <c r="L1155" s="6"/>
      <c r="M1155" s="5" t="str">
        <f>IFERROR(VLOOKUP(E1155,Specifications!$A$2:$D$9,2,FALSE),"")</f>
        <v/>
      </c>
      <c r="N1155" s="5" t="str">
        <f>IFERROR(VLOOKUP(E1155,Specifications!$A$2:$D$9,3,FALSE),"")</f>
        <v/>
      </c>
      <c r="O1155" s="5" t="str">
        <f>IFERROR(VLOOKUP(E1155,Specifications!$A$2:$D$9,4,FALSE),"")</f>
        <v/>
      </c>
      <c r="P1155" s="8" t="str">
        <f t="shared" si="57"/>
        <v/>
      </c>
      <c r="Q1155" s="9"/>
    </row>
    <row r="1156" spans="1:17" ht="15">
      <c r="A1156" s="5" t="str">
        <f t="shared" si="55"/>
        <v/>
      </c>
      <c r="B1156" s="6"/>
      <c r="C1156" s="5" t="str">
        <f>IFERROR(VLOOKUP(B1156,Lists!$A$2:$B$25,2,FALSE),"")</f>
        <v/>
      </c>
      <c r="D1156" s="7"/>
      <c r="E1156" s="6"/>
      <c r="F1156" s="6" t="str">
        <f t="shared" si="56"/>
        <v/>
      </c>
      <c r="G1156" s="6"/>
      <c r="H1156" s="6"/>
      <c r="I1156" s="6"/>
      <c r="J1156" s="7"/>
      <c r="K1156" s="5" t="str" cm="1">
        <f t="array" ref="K1156">IF(OR(A1156="",B1156="",D1156="",E1156=""),"",A1156&amp;"_"&amp;SUBSTITUTE(B1156," ","-")&amp;"_"&amp;D1156&amp;"_"&amp;SUBSTITUTE(SUBSTITUTE(E1156," ",""),"€","Euro")&amp;"_"&amp;IF(F1156="","Unknown",F1156)&amp;IF(F1156="Commemorative",IF(G1156="","","_"&amp;SUBSTITUTE(SUBSTITUTE(SUBSTITUTE(G1156," ","-"),"/","-"),CHAR(39),"")),"")&amp;IF(I1156="Duplicate","_Dub"&amp;IF(SUMPRODUCT(($B$2:B1156=B1156)*($D$2:D1156=D1156)*($E$2:E1156=E1156)*($F$2:F1156=F1156)*($G$2:G1156=G1156)*($I$2:I1156="Duplicate"))&lt;=1,"",SUMPRODUCT(($B$2:B1156=B1156)*($D$2:D1156=D1156)*($E$2:E1156=E1156)*($F$2:F1156=F1156)*($G$2:G1156=G1156)*($I$2:I1156="Duplicate"))-1),"")&amp;".jpeg")</f>
        <v/>
      </c>
      <c r="L1156" s="6"/>
      <c r="M1156" s="5" t="str">
        <f>IFERROR(VLOOKUP(E1156,Specifications!$A$2:$D$9,2,FALSE),"")</f>
        <v/>
      </c>
      <c r="N1156" s="5" t="str">
        <f>IFERROR(VLOOKUP(E1156,Specifications!$A$2:$D$9,3,FALSE),"")</f>
        <v/>
      </c>
      <c r="O1156" s="5" t="str">
        <f>IFERROR(VLOOKUP(E1156,Specifications!$A$2:$D$9,4,FALSE),"")</f>
        <v/>
      </c>
      <c r="P1156" s="8" t="str">
        <f t="shared" si="57"/>
        <v/>
      </c>
      <c r="Q1156" s="9"/>
    </row>
    <row r="1157" spans="1:17" ht="15">
      <c r="A1157" s="5" t="str">
        <f t="shared" si="55"/>
        <v/>
      </c>
      <c r="B1157" s="6"/>
      <c r="C1157" s="5" t="str">
        <f>IFERROR(VLOOKUP(B1157,Lists!$A$2:$B$25,2,FALSE),"")</f>
        <v/>
      </c>
      <c r="D1157" s="7"/>
      <c r="E1157" s="6"/>
      <c r="F1157" s="6" t="str">
        <f t="shared" si="56"/>
        <v/>
      </c>
      <c r="G1157" s="6"/>
      <c r="H1157" s="6"/>
      <c r="I1157" s="6"/>
      <c r="J1157" s="7"/>
      <c r="K1157" s="5" t="str" cm="1">
        <f t="array" ref="K1157">IF(OR(A1157="",B1157="",D1157="",E1157=""),"",A1157&amp;"_"&amp;SUBSTITUTE(B1157," ","-")&amp;"_"&amp;D1157&amp;"_"&amp;SUBSTITUTE(SUBSTITUTE(E1157," ",""),"€","Euro")&amp;"_"&amp;IF(F1157="","Unknown",F1157)&amp;IF(F1157="Commemorative",IF(G1157="","","_"&amp;SUBSTITUTE(SUBSTITUTE(SUBSTITUTE(G1157," ","-"),"/","-"),CHAR(39),"")),"")&amp;IF(I1157="Duplicate","_Dub"&amp;IF(SUMPRODUCT(($B$2:B1157=B1157)*($D$2:D1157=D1157)*($E$2:E1157=E1157)*($F$2:F1157=F1157)*($G$2:G1157=G1157)*($I$2:I1157="Duplicate"))&lt;=1,"",SUMPRODUCT(($B$2:B1157=B1157)*($D$2:D1157=D1157)*($E$2:E1157=E1157)*($F$2:F1157=F1157)*($G$2:G1157=G1157)*($I$2:I1157="Duplicate"))-1),"")&amp;".jpeg")</f>
        <v/>
      </c>
      <c r="L1157" s="6"/>
      <c r="M1157" s="5" t="str">
        <f>IFERROR(VLOOKUP(E1157,Specifications!$A$2:$D$9,2,FALSE),"")</f>
        <v/>
      </c>
      <c r="N1157" s="5" t="str">
        <f>IFERROR(VLOOKUP(E1157,Specifications!$A$2:$D$9,3,FALSE),"")</f>
        <v/>
      </c>
      <c r="O1157" s="5" t="str">
        <f>IFERROR(VLOOKUP(E1157,Specifications!$A$2:$D$9,4,FALSE),"")</f>
        <v/>
      </c>
      <c r="P1157" s="8" t="str">
        <f t="shared" si="57"/>
        <v/>
      </c>
      <c r="Q1157" s="9"/>
    </row>
    <row r="1158" spans="1:17" ht="15">
      <c r="A1158" s="5" t="str">
        <f t="shared" si="55"/>
        <v/>
      </c>
      <c r="B1158" s="6"/>
      <c r="C1158" s="5" t="str">
        <f>IFERROR(VLOOKUP(B1158,Lists!$A$2:$B$25,2,FALSE),"")</f>
        <v/>
      </c>
      <c r="D1158" s="7"/>
      <c r="E1158" s="6"/>
      <c r="F1158" s="6" t="str">
        <f t="shared" si="56"/>
        <v/>
      </c>
      <c r="G1158" s="6"/>
      <c r="H1158" s="6"/>
      <c r="I1158" s="6"/>
      <c r="J1158" s="7"/>
      <c r="K1158" s="5" t="str" cm="1">
        <f t="array" ref="K1158">IF(OR(A1158="",B1158="",D1158="",E1158=""),"",A1158&amp;"_"&amp;SUBSTITUTE(B1158," ","-")&amp;"_"&amp;D1158&amp;"_"&amp;SUBSTITUTE(SUBSTITUTE(E1158," ",""),"€","Euro")&amp;"_"&amp;IF(F1158="","Unknown",F1158)&amp;IF(F1158="Commemorative",IF(G1158="","","_"&amp;SUBSTITUTE(SUBSTITUTE(SUBSTITUTE(G1158," ","-"),"/","-"),CHAR(39),"")),"")&amp;IF(I1158="Duplicate","_Dub"&amp;IF(SUMPRODUCT(($B$2:B1158=B1158)*($D$2:D1158=D1158)*($E$2:E1158=E1158)*($F$2:F1158=F1158)*($G$2:G1158=G1158)*($I$2:I1158="Duplicate"))&lt;=1,"",SUMPRODUCT(($B$2:B1158=B1158)*($D$2:D1158=D1158)*($E$2:E1158=E1158)*($F$2:F1158=F1158)*($G$2:G1158=G1158)*($I$2:I1158="Duplicate"))-1),"")&amp;".jpeg")</f>
        <v/>
      </c>
      <c r="L1158" s="6"/>
      <c r="M1158" s="5" t="str">
        <f>IFERROR(VLOOKUP(E1158,Specifications!$A$2:$D$9,2,FALSE),"")</f>
        <v/>
      </c>
      <c r="N1158" s="5" t="str">
        <f>IFERROR(VLOOKUP(E1158,Specifications!$A$2:$D$9,3,FALSE),"")</f>
        <v/>
      </c>
      <c r="O1158" s="5" t="str">
        <f>IFERROR(VLOOKUP(E1158,Specifications!$A$2:$D$9,4,FALSE),"")</f>
        <v/>
      </c>
      <c r="P1158" s="8" t="str">
        <f t="shared" si="57"/>
        <v/>
      </c>
      <c r="Q1158" s="9"/>
    </row>
    <row r="1159" spans="1:17" ht="15">
      <c r="A1159" s="5" t="str">
        <f t="shared" si="55"/>
        <v/>
      </c>
      <c r="B1159" s="6"/>
      <c r="C1159" s="5" t="str">
        <f>IFERROR(VLOOKUP(B1159,Lists!$A$2:$B$25,2,FALSE),"")</f>
        <v/>
      </c>
      <c r="D1159" s="7"/>
      <c r="E1159" s="6"/>
      <c r="F1159" s="6" t="str">
        <f t="shared" si="56"/>
        <v/>
      </c>
      <c r="G1159" s="6"/>
      <c r="H1159" s="6"/>
      <c r="I1159" s="6"/>
      <c r="J1159" s="7"/>
      <c r="K1159" s="5" t="str" cm="1">
        <f t="array" ref="K1159">IF(OR(A1159="",B1159="",D1159="",E1159=""),"",A1159&amp;"_"&amp;SUBSTITUTE(B1159," ","-")&amp;"_"&amp;D1159&amp;"_"&amp;SUBSTITUTE(SUBSTITUTE(E1159," ",""),"€","Euro")&amp;"_"&amp;IF(F1159="","Unknown",F1159)&amp;IF(F1159="Commemorative",IF(G1159="","","_"&amp;SUBSTITUTE(SUBSTITUTE(SUBSTITUTE(G1159," ","-"),"/","-"),CHAR(39),"")),"")&amp;IF(I1159="Duplicate","_Dub"&amp;IF(SUMPRODUCT(($B$2:B1159=B1159)*($D$2:D1159=D1159)*($E$2:E1159=E1159)*($F$2:F1159=F1159)*($G$2:G1159=G1159)*($I$2:I1159="Duplicate"))&lt;=1,"",SUMPRODUCT(($B$2:B1159=B1159)*($D$2:D1159=D1159)*($E$2:E1159=E1159)*($F$2:F1159=F1159)*($G$2:G1159=G1159)*($I$2:I1159="Duplicate"))-1),"")&amp;".jpeg")</f>
        <v/>
      </c>
      <c r="L1159" s="6"/>
      <c r="M1159" s="5" t="str">
        <f>IFERROR(VLOOKUP(E1159,Specifications!$A$2:$D$9,2,FALSE),"")</f>
        <v/>
      </c>
      <c r="N1159" s="5" t="str">
        <f>IFERROR(VLOOKUP(E1159,Specifications!$A$2:$D$9,3,FALSE),"")</f>
        <v/>
      </c>
      <c r="O1159" s="5" t="str">
        <f>IFERROR(VLOOKUP(E1159,Specifications!$A$2:$D$9,4,FALSE),"")</f>
        <v/>
      </c>
      <c r="P1159" s="8" t="str">
        <f t="shared" si="57"/>
        <v/>
      </c>
      <c r="Q1159" s="9"/>
    </row>
    <row r="1160" spans="1:17" ht="15">
      <c r="A1160" s="5" t="str">
        <f t="shared" si="55"/>
        <v/>
      </c>
      <c r="B1160" s="6"/>
      <c r="C1160" s="5" t="str">
        <f>IFERROR(VLOOKUP(B1160,Lists!$A$2:$B$25,2,FALSE),"")</f>
        <v/>
      </c>
      <c r="D1160" s="7"/>
      <c r="E1160" s="6"/>
      <c r="F1160" s="6" t="str">
        <f t="shared" si="56"/>
        <v/>
      </c>
      <c r="G1160" s="6"/>
      <c r="H1160" s="6"/>
      <c r="I1160" s="6"/>
      <c r="J1160" s="7"/>
      <c r="K1160" s="5" t="str" cm="1">
        <f t="array" ref="K1160">IF(OR(A1160="",B1160="",D1160="",E1160=""),"",A1160&amp;"_"&amp;SUBSTITUTE(B1160," ","-")&amp;"_"&amp;D1160&amp;"_"&amp;SUBSTITUTE(SUBSTITUTE(E1160," ",""),"€","Euro")&amp;"_"&amp;IF(F1160="","Unknown",F1160)&amp;IF(F1160="Commemorative",IF(G1160="","","_"&amp;SUBSTITUTE(SUBSTITUTE(SUBSTITUTE(G1160," ","-"),"/","-"),CHAR(39),"")),"")&amp;IF(I1160="Duplicate","_Dub"&amp;IF(SUMPRODUCT(($B$2:B1160=B1160)*($D$2:D1160=D1160)*($E$2:E1160=E1160)*($F$2:F1160=F1160)*($G$2:G1160=G1160)*($I$2:I1160="Duplicate"))&lt;=1,"",SUMPRODUCT(($B$2:B1160=B1160)*($D$2:D1160=D1160)*($E$2:E1160=E1160)*($F$2:F1160=F1160)*($G$2:G1160=G1160)*($I$2:I1160="Duplicate"))-1),"")&amp;".jpeg")</f>
        <v/>
      </c>
      <c r="L1160" s="6"/>
      <c r="M1160" s="5" t="str">
        <f>IFERROR(VLOOKUP(E1160,Specifications!$A$2:$D$9,2,FALSE),"")</f>
        <v/>
      </c>
      <c r="N1160" s="5" t="str">
        <f>IFERROR(VLOOKUP(E1160,Specifications!$A$2:$D$9,3,FALSE),"")</f>
        <v/>
      </c>
      <c r="O1160" s="5" t="str">
        <f>IFERROR(VLOOKUP(E1160,Specifications!$A$2:$D$9,4,FALSE),"")</f>
        <v/>
      </c>
      <c r="P1160" s="8" t="str">
        <f t="shared" si="57"/>
        <v/>
      </c>
      <c r="Q1160" s="9"/>
    </row>
    <row r="1161" spans="1:17" ht="15">
      <c r="A1161" s="5" t="str">
        <f t="shared" si="55"/>
        <v/>
      </c>
      <c r="B1161" s="6"/>
      <c r="C1161" s="5" t="str">
        <f>IFERROR(VLOOKUP(B1161,Lists!$A$2:$B$25,2,FALSE),"")</f>
        <v/>
      </c>
      <c r="D1161" s="7"/>
      <c r="E1161" s="6"/>
      <c r="F1161" s="6" t="str">
        <f t="shared" si="56"/>
        <v/>
      </c>
      <c r="G1161" s="6"/>
      <c r="H1161" s="6"/>
      <c r="I1161" s="6"/>
      <c r="J1161" s="7"/>
      <c r="K1161" s="5" t="str" cm="1">
        <f t="array" ref="K1161">IF(OR(A1161="",B1161="",D1161="",E1161=""),"",A1161&amp;"_"&amp;SUBSTITUTE(B1161," ","-")&amp;"_"&amp;D1161&amp;"_"&amp;SUBSTITUTE(SUBSTITUTE(E1161," ",""),"€","Euro")&amp;"_"&amp;IF(F1161="","Unknown",F1161)&amp;IF(F1161="Commemorative",IF(G1161="","","_"&amp;SUBSTITUTE(SUBSTITUTE(SUBSTITUTE(G1161," ","-"),"/","-"),CHAR(39),"")),"")&amp;IF(I1161="Duplicate","_Dub"&amp;IF(SUMPRODUCT(($B$2:B1161=B1161)*($D$2:D1161=D1161)*($E$2:E1161=E1161)*($F$2:F1161=F1161)*($G$2:G1161=G1161)*($I$2:I1161="Duplicate"))&lt;=1,"",SUMPRODUCT(($B$2:B1161=B1161)*($D$2:D1161=D1161)*($E$2:E1161=E1161)*($F$2:F1161=F1161)*($G$2:G1161=G1161)*($I$2:I1161="Duplicate"))-1),"")&amp;".jpeg")</f>
        <v/>
      </c>
      <c r="L1161" s="6"/>
      <c r="M1161" s="5" t="str">
        <f>IFERROR(VLOOKUP(E1161,Specifications!$A$2:$D$9,2,FALSE),"")</f>
        <v/>
      </c>
      <c r="N1161" s="5" t="str">
        <f>IFERROR(VLOOKUP(E1161,Specifications!$A$2:$D$9,3,FALSE),"")</f>
        <v/>
      </c>
      <c r="O1161" s="5" t="str">
        <f>IFERROR(VLOOKUP(E1161,Specifications!$A$2:$D$9,4,FALSE),"")</f>
        <v/>
      </c>
      <c r="P1161" s="8" t="str">
        <f t="shared" si="57"/>
        <v/>
      </c>
      <c r="Q1161" s="9"/>
    </row>
    <row r="1162" spans="1:17" ht="15">
      <c r="A1162" s="5" t="str">
        <f t="shared" si="55"/>
        <v/>
      </c>
      <c r="B1162" s="6"/>
      <c r="C1162" s="5" t="str">
        <f>IFERROR(VLOOKUP(B1162,Lists!$A$2:$B$25,2,FALSE),"")</f>
        <v/>
      </c>
      <c r="D1162" s="7"/>
      <c r="E1162" s="6"/>
      <c r="F1162" s="6" t="str">
        <f t="shared" si="56"/>
        <v/>
      </c>
      <c r="G1162" s="6"/>
      <c r="H1162" s="6"/>
      <c r="I1162" s="6"/>
      <c r="J1162" s="7"/>
      <c r="K1162" s="5" t="str" cm="1">
        <f t="array" ref="K1162">IF(OR(A1162="",B1162="",D1162="",E1162=""),"",A1162&amp;"_"&amp;SUBSTITUTE(B1162," ","-")&amp;"_"&amp;D1162&amp;"_"&amp;SUBSTITUTE(SUBSTITUTE(E1162," ",""),"€","Euro")&amp;"_"&amp;IF(F1162="","Unknown",F1162)&amp;IF(F1162="Commemorative",IF(G1162="","","_"&amp;SUBSTITUTE(SUBSTITUTE(SUBSTITUTE(G1162," ","-"),"/","-"),CHAR(39),"")),"")&amp;IF(I1162="Duplicate","_Dub"&amp;IF(SUMPRODUCT(($B$2:B1162=B1162)*($D$2:D1162=D1162)*($E$2:E1162=E1162)*($F$2:F1162=F1162)*($G$2:G1162=G1162)*($I$2:I1162="Duplicate"))&lt;=1,"",SUMPRODUCT(($B$2:B1162=B1162)*($D$2:D1162=D1162)*($E$2:E1162=E1162)*($F$2:F1162=F1162)*($G$2:G1162=G1162)*($I$2:I1162="Duplicate"))-1),"")&amp;".jpeg")</f>
        <v/>
      </c>
      <c r="L1162" s="6"/>
      <c r="M1162" s="5" t="str">
        <f>IFERROR(VLOOKUP(E1162,Specifications!$A$2:$D$9,2,FALSE),"")</f>
        <v/>
      </c>
      <c r="N1162" s="5" t="str">
        <f>IFERROR(VLOOKUP(E1162,Specifications!$A$2:$D$9,3,FALSE),"")</f>
        <v/>
      </c>
      <c r="O1162" s="5" t="str">
        <f>IFERROR(VLOOKUP(E1162,Specifications!$A$2:$D$9,4,FALSE),"")</f>
        <v/>
      </c>
      <c r="P1162" s="8" t="str">
        <f t="shared" si="57"/>
        <v/>
      </c>
      <c r="Q1162" s="9"/>
    </row>
    <row r="1163" spans="1:17" ht="15">
      <c r="A1163" s="5" t="str">
        <f t="shared" si="55"/>
        <v/>
      </c>
      <c r="B1163" s="6"/>
      <c r="C1163" s="5" t="str">
        <f>IFERROR(VLOOKUP(B1163,Lists!$A$2:$B$25,2,FALSE),"")</f>
        <v/>
      </c>
      <c r="D1163" s="7"/>
      <c r="E1163" s="6"/>
      <c r="F1163" s="6" t="str">
        <f t="shared" si="56"/>
        <v/>
      </c>
      <c r="G1163" s="6"/>
      <c r="H1163" s="6"/>
      <c r="I1163" s="6"/>
      <c r="J1163" s="7"/>
      <c r="K1163" s="5" t="str" cm="1">
        <f t="array" ref="K1163">IF(OR(A1163="",B1163="",D1163="",E1163=""),"",A1163&amp;"_"&amp;SUBSTITUTE(B1163," ","-")&amp;"_"&amp;D1163&amp;"_"&amp;SUBSTITUTE(SUBSTITUTE(E1163," ",""),"€","Euro")&amp;"_"&amp;IF(F1163="","Unknown",F1163)&amp;IF(F1163="Commemorative",IF(G1163="","","_"&amp;SUBSTITUTE(SUBSTITUTE(SUBSTITUTE(G1163," ","-"),"/","-"),CHAR(39),"")),"")&amp;IF(I1163="Duplicate","_Dub"&amp;IF(SUMPRODUCT(($B$2:B1163=B1163)*($D$2:D1163=D1163)*($E$2:E1163=E1163)*($F$2:F1163=F1163)*($G$2:G1163=G1163)*($I$2:I1163="Duplicate"))&lt;=1,"",SUMPRODUCT(($B$2:B1163=B1163)*($D$2:D1163=D1163)*($E$2:E1163=E1163)*($F$2:F1163=F1163)*($G$2:G1163=G1163)*($I$2:I1163="Duplicate"))-1),"")&amp;".jpeg")</f>
        <v/>
      </c>
      <c r="L1163" s="6"/>
      <c r="M1163" s="5" t="str">
        <f>IFERROR(VLOOKUP(E1163,Specifications!$A$2:$D$9,2,FALSE),"")</f>
        <v/>
      </c>
      <c r="N1163" s="5" t="str">
        <f>IFERROR(VLOOKUP(E1163,Specifications!$A$2:$D$9,3,FALSE),"")</f>
        <v/>
      </c>
      <c r="O1163" s="5" t="str">
        <f>IFERROR(VLOOKUP(E1163,Specifications!$A$2:$D$9,4,FALSE),"")</f>
        <v/>
      </c>
      <c r="P1163" s="8" t="str">
        <f t="shared" si="57"/>
        <v/>
      </c>
      <c r="Q1163" s="9"/>
    </row>
    <row r="1164" spans="1:17" ht="15">
      <c r="A1164" s="5" t="str">
        <f t="shared" si="55"/>
        <v/>
      </c>
      <c r="B1164" s="6"/>
      <c r="C1164" s="5" t="str">
        <f>IFERROR(VLOOKUP(B1164,Lists!$A$2:$B$25,2,FALSE),"")</f>
        <v/>
      </c>
      <c r="D1164" s="7"/>
      <c r="E1164" s="6"/>
      <c r="F1164" s="6" t="str">
        <f t="shared" si="56"/>
        <v/>
      </c>
      <c r="G1164" s="6"/>
      <c r="H1164" s="6"/>
      <c r="I1164" s="6"/>
      <c r="J1164" s="7"/>
      <c r="K1164" s="5" t="str" cm="1">
        <f t="array" ref="K1164">IF(OR(A1164="",B1164="",D1164="",E1164=""),"",A1164&amp;"_"&amp;SUBSTITUTE(B1164," ","-")&amp;"_"&amp;D1164&amp;"_"&amp;SUBSTITUTE(SUBSTITUTE(E1164," ",""),"€","Euro")&amp;"_"&amp;IF(F1164="","Unknown",F1164)&amp;IF(F1164="Commemorative",IF(G1164="","","_"&amp;SUBSTITUTE(SUBSTITUTE(SUBSTITUTE(G1164," ","-"),"/","-"),CHAR(39),"")),"")&amp;IF(I1164="Duplicate","_Dub"&amp;IF(SUMPRODUCT(($B$2:B1164=B1164)*($D$2:D1164=D1164)*($E$2:E1164=E1164)*($F$2:F1164=F1164)*($G$2:G1164=G1164)*($I$2:I1164="Duplicate"))&lt;=1,"",SUMPRODUCT(($B$2:B1164=B1164)*($D$2:D1164=D1164)*($E$2:E1164=E1164)*($F$2:F1164=F1164)*($G$2:G1164=G1164)*($I$2:I1164="Duplicate"))-1),"")&amp;".jpeg")</f>
        <v/>
      </c>
      <c r="L1164" s="6"/>
      <c r="M1164" s="5" t="str">
        <f>IFERROR(VLOOKUP(E1164,Specifications!$A$2:$D$9,2,FALSE),"")</f>
        <v/>
      </c>
      <c r="N1164" s="5" t="str">
        <f>IFERROR(VLOOKUP(E1164,Specifications!$A$2:$D$9,3,FALSE),"")</f>
        <v/>
      </c>
      <c r="O1164" s="5" t="str">
        <f>IFERROR(VLOOKUP(E1164,Specifications!$A$2:$D$9,4,FALSE),"")</f>
        <v/>
      </c>
      <c r="P1164" s="8" t="str">
        <f t="shared" si="57"/>
        <v/>
      </c>
      <c r="Q1164" s="9"/>
    </row>
    <row r="1165" spans="1:17" ht="15">
      <c r="A1165" s="5" t="str">
        <f t="shared" si="55"/>
        <v/>
      </c>
      <c r="B1165" s="6"/>
      <c r="C1165" s="5" t="str">
        <f>IFERROR(VLOOKUP(B1165,Lists!$A$2:$B$25,2,FALSE),"")</f>
        <v/>
      </c>
      <c r="D1165" s="7"/>
      <c r="E1165" s="6"/>
      <c r="F1165" s="6" t="str">
        <f t="shared" si="56"/>
        <v/>
      </c>
      <c r="G1165" s="6"/>
      <c r="H1165" s="6"/>
      <c r="I1165" s="6"/>
      <c r="J1165" s="7"/>
      <c r="K1165" s="5" t="str" cm="1">
        <f t="array" ref="K1165">IF(OR(A1165="",B1165="",D1165="",E1165=""),"",A1165&amp;"_"&amp;SUBSTITUTE(B1165," ","-")&amp;"_"&amp;D1165&amp;"_"&amp;SUBSTITUTE(SUBSTITUTE(E1165," ",""),"€","Euro")&amp;"_"&amp;IF(F1165="","Unknown",F1165)&amp;IF(F1165="Commemorative",IF(G1165="","","_"&amp;SUBSTITUTE(SUBSTITUTE(SUBSTITUTE(G1165," ","-"),"/","-"),CHAR(39),"")),"")&amp;IF(I1165="Duplicate","_Dub"&amp;IF(SUMPRODUCT(($B$2:B1165=B1165)*($D$2:D1165=D1165)*($E$2:E1165=E1165)*($F$2:F1165=F1165)*($G$2:G1165=G1165)*($I$2:I1165="Duplicate"))&lt;=1,"",SUMPRODUCT(($B$2:B1165=B1165)*($D$2:D1165=D1165)*($E$2:E1165=E1165)*($F$2:F1165=F1165)*($G$2:G1165=G1165)*($I$2:I1165="Duplicate"))-1),"")&amp;".jpeg")</f>
        <v/>
      </c>
      <c r="L1165" s="6"/>
      <c r="M1165" s="5" t="str">
        <f>IFERROR(VLOOKUP(E1165,Specifications!$A$2:$D$9,2,FALSE),"")</f>
        <v/>
      </c>
      <c r="N1165" s="5" t="str">
        <f>IFERROR(VLOOKUP(E1165,Specifications!$A$2:$D$9,3,FALSE),"")</f>
        <v/>
      </c>
      <c r="O1165" s="5" t="str">
        <f>IFERROR(VLOOKUP(E1165,Specifications!$A$2:$D$9,4,FALSE),"")</f>
        <v/>
      </c>
      <c r="P1165" s="8" t="str">
        <f t="shared" si="57"/>
        <v/>
      </c>
      <c r="Q1165" s="9"/>
    </row>
    <row r="1166" spans="1:17" ht="15">
      <c r="A1166" s="5" t="str">
        <f t="shared" si="55"/>
        <v/>
      </c>
      <c r="B1166" s="6"/>
      <c r="C1166" s="5" t="str">
        <f>IFERROR(VLOOKUP(B1166,Lists!$A$2:$B$25,2,FALSE),"")</f>
        <v/>
      </c>
      <c r="D1166" s="7"/>
      <c r="E1166" s="6"/>
      <c r="F1166" s="6" t="str">
        <f t="shared" si="56"/>
        <v/>
      </c>
      <c r="G1166" s="6"/>
      <c r="H1166" s="6"/>
      <c r="I1166" s="6"/>
      <c r="J1166" s="7"/>
      <c r="K1166" s="5" t="str" cm="1">
        <f t="array" ref="K1166">IF(OR(A1166="",B1166="",D1166="",E1166=""),"",A1166&amp;"_"&amp;SUBSTITUTE(B1166," ","-")&amp;"_"&amp;D1166&amp;"_"&amp;SUBSTITUTE(SUBSTITUTE(E1166," ",""),"€","Euro")&amp;"_"&amp;IF(F1166="","Unknown",F1166)&amp;IF(F1166="Commemorative",IF(G1166="","","_"&amp;SUBSTITUTE(SUBSTITUTE(SUBSTITUTE(G1166," ","-"),"/","-"),CHAR(39),"")),"")&amp;IF(I1166="Duplicate","_Dub"&amp;IF(SUMPRODUCT(($B$2:B1166=B1166)*($D$2:D1166=D1166)*($E$2:E1166=E1166)*($F$2:F1166=F1166)*($G$2:G1166=G1166)*($I$2:I1166="Duplicate"))&lt;=1,"",SUMPRODUCT(($B$2:B1166=B1166)*($D$2:D1166=D1166)*($E$2:E1166=E1166)*($F$2:F1166=F1166)*($G$2:G1166=G1166)*($I$2:I1166="Duplicate"))-1),"")&amp;".jpeg")</f>
        <v/>
      </c>
      <c r="L1166" s="6"/>
      <c r="M1166" s="5" t="str">
        <f>IFERROR(VLOOKUP(E1166,Specifications!$A$2:$D$9,2,FALSE),"")</f>
        <v/>
      </c>
      <c r="N1166" s="5" t="str">
        <f>IFERROR(VLOOKUP(E1166,Specifications!$A$2:$D$9,3,FALSE),"")</f>
        <v/>
      </c>
      <c r="O1166" s="5" t="str">
        <f>IFERROR(VLOOKUP(E1166,Specifications!$A$2:$D$9,4,FALSE),"")</f>
        <v/>
      </c>
      <c r="P1166" s="8" t="str">
        <f t="shared" si="57"/>
        <v/>
      </c>
      <c r="Q1166" s="9"/>
    </row>
    <row r="1167" spans="1:17" ht="15">
      <c r="A1167" s="5" t="str">
        <f t="shared" si="55"/>
        <v/>
      </c>
      <c r="B1167" s="6"/>
      <c r="C1167" s="5" t="str">
        <f>IFERROR(VLOOKUP(B1167,Lists!$A$2:$B$25,2,FALSE),"")</f>
        <v/>
      </c>
      <c r="D1167" s="7"/>
      <c r="E1167" s="6"/>
      <c r="F1167" s="6" t="str">
        <f t="shared" si="56"/>
        <v/>
      </c>
      <c r="G1167" s="6"/>
      <c r="H1167" s="6"/>
      <c r="I1167" s="6"/>
      <c r="J1167" s="7"/>
      <c r="K1167" s="5" t="str" cm="1">
        <f t="array" ref="K1167">IF(OR(A1167="",B1167="",D1167="",E1167=""),"",A1167&amp;"_"&amp;SUBSTITUTE(B1167," ","-")&amp;"_"&amp;D1167&amp;"_"&amp;SUBSTITUTE(SUBSTITUTE(E1167," ",""),"€","Euro")&amp;"_"&amp;IF(F1167="","Unknown",F1167)&amp;IF(F1167="Commemorative",IF(G1167="","","_"&amp;SUBSTITUTE(SUBSTITUTE(SUBSTITUTE(G1167," ","-"),"/","-"),CHAR(39),"")),"")&amp;IF(I1167="Duplicate","_Dub"&amp;IF(SUMPRODUCT(($B$2:B1167=B1167)*($D$2:D1167=D1167)*($E$2:E1167=E1167)*($F$2:F1167=F1167)*($G$2:G1167=G1167)*($I$2:I1167="Duplicate"))&lt;=1,"",SUMPRODUCT(($B$2:B1167=B1167)*($D$2:D1167=D1167)*($E$2:E1167=E1167)*($F$2:F1167=F1167)*($G$2:G1167=G1167)*($I$2:I1167="Duplicate"))-1),"")&amp;".jpeg")</f>
        <v/>
      </c>
      <c r="L1167" s="6"/>
      <c r="M1167" s="5" t="str">
        <f>IFERROR(VLOOKUP(E1167,Specifications!$A$2:$D$9,2,FALSE),"")</f>
        <v/>
      </c>
      <c r="N1167" s="5" t="str">
        <f>IFERROR(VLOOKUP(E1167,Specifications!$A$2:$D$9,3,FALSE),"")</f>
        <v/>
      </c>
      <c r="O1167" s="5" t="str">
        <f>IFERROR(VLOOKUP(E1167,Specifications!$A$2:$D$9,4,FALSE),"")</f>
        <v/>
      </c>
      <c r="P1167" s="8" t="str">
        <f t="shared" si="57"/>
        <v/>
      </c>
      <c r="Q1167" s="9"/>
    </row>
    <row r="1168" spans="1:17" ht="15">
      <c r="A1168" s="5" t="str">
        <f t="shared" si="55"/>
        <v/>
      </c>
      <c r="B1168" s="6"/>
      <c r="C1168" s="5" t="str">
        <f>IFERROR(VLOOKUP(B1168,Lists!$A$2:$B$25,2,FALSE),"")</f>
        <v/>
      </c>
      <c r="D1168" s="7"/>
      <c r="E1168" s="6"/>
      <c r="F1168" s="6" t="str">
        <f t="shared" si="56"/>
        <v/>
      </c>
      <c r="G1168" s="6"/>
      <c r="H1168" s="6"/>
      <c r="I1168" s="6"/>
      <c r="J1168" s="7"/>
      <c r="K1168" s="5" t="str" cm="1">
        <f t="array" ref="K1168">IF(OR(A1168="",B1168="",D1168="",E1168=""),"",A1168&amp;"_"&amp;SUBSTITUTE(B1168," ","-")&amp;"_"&amp;D1168&amp;"_"&amp;SUBSTITUTE(SUBSTITUTE(E1168," ",""),"€","Euro")&amp;"_"&amp;IF(F1168="","Unknown",F1168)&amp;IF(F1168="Commemorative",IF(G1168="","","_"&amp;SUBSTITUTE(SUBSTITUTE(SUBSTITUTE(G1168," ","-"),"/","-"),CHAR(39),"")),"")&amp;IF(I1168="Duplicate","_Dub"&amp;IF(SUMPRODUCT(($B$2:B1168=B1168)*($D$2:D1168=D1168)*($E$2:E1168=E1168)*($F$2:F1168=F1168)*($G$2:G1168=G1168)*($I$2:I1168="Duplicate"))&lt;=1,"",SUMPRODUCT(($B$2:B1168=B1168)*($D$2:D1168=D1168)*($E$2:E1168=E1168)*($F$2:F1168=F1168)*($G$2:G1168=G1168)*($I$2:I1168="Duplicate"))-1),"")&amp;".jpeg")</f>
        <v/>
      </c>
      <c r="L1168" s="6"/>
      <c r="M1168" s="5" t="str">
        <f>IFERROR(VLOOKUP(E1168,Specifications!$A$2:$D$9,2,FALSE),"")</f>
        <v/>
      </c>
      <c r="N1168" s="5" t="str">
        <f>IFERROR(VLOOKUP(E1168,Specifications!$A$2:$D$9,3,FALSE),"")</f>
        <v/>
      </c>
      <c r="O1168" s="5" t="str">
        <f>IFERROR(VLOOKUP(E1168,Specifications!$A$2:$D$9,4,FALSE),"")</f>
        <v/>
      </c>
      <c r="P1168" s="8" t="str">
        <f t="shared" si="57"/>
        <v/>
      </c>
      <c r="Q1168" s="9"/>
    </row>
    <row r="1169" spans="1:17" ht="15">
      <c r="A1169" s="5" t="str">
        <f t="shared" si="55"/>
        <v/>
      </c>
      <c r="B1169" s="6"/>
      <c r="C1169" s="5" t="str">
        <f>IFERROR(VLOOKUP(B1169,Lists!$A$2:$B$25,2,FALSE),"")</f>
        <v/>
      </c>
      <c r="D1169" s="7"/>
      <c r="E1169" s="6"/>
      <c r="F1169" s="6" t="str">
        <f t="shared" si="56"/>
        <v/>
      </c>
      <c r="G1169" s="6"/>
      <c r="H1169" s="6"/>
      <c r="I1169" s="6"/>
      <c r="J1169" s="7"/>
      <c r="K1169" s="5" t="str" cm="1">
        <f t="array" ref="K1169">IF(OR(A1169="",B1169="",D1169="",E1169=""),"",A1169&amp;"_"&amp;SUBSTITUTE(B1169," ","-")&amp;"_"&amp;D1169&amp;"_"&amp;SUBSTITUTE(SUBSTITUTE(E1169," ",""),"€","Euro")&amp;"_"&amp;IF(F1169="","Unknown",F1169)&amp;IF(F1169="Commemorative",IF(G1169="","","_"&amp;SUBSTITUTE(SUBSTITUTE(SUBSTITUTE(G1169," ","-"),"/","-"),CHAR(39),"")),"")&amp;IF(I1169="Duplicate","_Dub"&amp;IF(SUMPRODUCT(($B$2:B1169=B1169)*($D$2:D1169=D1169)*($E$2:E1169=E1169)*($F$2:F1169=F1169)*($G$2:G1169=G1169)*($I$2:I1169="Duplicate"))&lt;=1,"",SUMPRODUCT(($B$2:B1169=B1169)*($D$2:D1169=D1169)*($E$2:E1169=E1169)*($F$2:F1169=F1169)*($G$2:G1169=G1169)*($I$2:I1169="Duplicate"))-1),"")&amp;".jpeg")</f>
        <v/>
      </c>
      <c r="L1169" s="6"/>
      <c r="M1169" s="5" t="str">
        <f>IFERROR(VLOOKUP(E1169,Specifications!$A$2:$D$9,2,FALSE),"")</f>
        <v/>
      </c>
      <c r="N1169" s="5" t="str">
        <f>IFERROR(VLOOKUP(E1169,Specifications!$A$2:$D$9,3,FALSE),"")</f>
        <v/>
      </c>
      <c r="O1169" s="5" t="str">
        <f>IFERROR(VLOOKUP(E1169,Specifications!$A$2:$D$9,4,FALSE),"")</f>
        <v/>
      </c>
      <c r="P1169" s="8" t="str">
        <f t="shared" si="57"/>
        <v/>
      </c>
      <c r="Q1169" s="9"/>
    </row>
    <row r="1170" spans="1:17" ht="15">
      <c r="A1170" s="5" t="str">
        <f t="shared" si="55"/>
        <v/>
      </c>
      <c r="B1170" s="6"/>
      <c r="C1170" s="5" t="str">
        <f>IFERROR(VLOOKUP(B1170,Lists!$A$2:$B$25,2,FALSE),"")</f>
        <v/>
      </c>
      <c r="D1170" s="7"/>
      <c r="E1170" s="6"/>
      <c r="F1170" s="6" t="str">
        <f t="shared" si="56"/>
        <v/>
      </c>
      <c r="G1170" s="6"/>
      <c r="H1170" s="6"/>
      <c r="I1170" s="6"/>
      <c r="J1170" s="7"/>
      <c r="K1170" s="5" t="str" cm="1">
        <f t="array" ref="K1170">IF(OR(A1170="",B1170="",D1170="",E1170=""),"",A1170&amp;"_"&amp;SUBSTITUTE(B1170," ","-")&amp;"_"&amp;D1170&amp;"_"&amp;SUBSTITUTE(SUBSTITUTE(E1170," ",""),"€","Euro")&amp;"_"&amp;IF(F1170="","Unknown",F1170)&amp;IF(F1170="Commemorative",IF(G1170="","","_"&amp;SUBSTITUTE(SUBSTITUTE(SUBSTITUTE(G1170," ","-"),"/","-"),CHAR(39),"")),"")&amp;IF(I1170="Duplicate","_Dub"&amp;IF(SUMPRODUCT(($B$2:B1170=B1170)*($D$2:D1170=D1170)*($E$2:E1170=E1170)*($F$2:F1170=F1170)*($G$2:G1170=G1170)*($I$2:I1170="Duplicate"))&lt;=1,"",SUMPRODUCT(($B$2:B1170=B1170)*($D$2:D1170=D1170)*($E$2:E1170=E1170)*($F$2:F1170=F1170)*($G$2:G1170=G1170)*($I$2:I1170="Duplicate"))-1),"")&amp;".jpeg")</f>
        <v/>
      </c>
      <c r="L1170" s="6"/>
      <c r="M1170" s="5" t="str">
        <f>IFERROR(VLOOKUP(E1170,Specifications!$A$2:$D$9,2,FALSE),"")</f>
        <v/>
      </c>
      <c r="N1170" s="5" t="str">
        <f>IFERROR(VLOOKUP(E1170,Specifications!$A$2:$D$9,3,FALSE),"")</f>
        <v/>
      </c>
      <c r="O1170" s="5" t="str">
        <f>IFERROR(VLOOKUP(E1170,Specifications!$A$2:$D$9,4,FALSE),"")</f>
        <v/>
      </c>
      <c r="P1170" s="8" t="str">
        <f t="shared" si="57"/>
        <v/>
      </c>
      <c r="Q1170" s="9"/>
    </row>
    <row r="1171" spans="1:17" ht="15">
      <c r="A1171" s="5" t="str">
        <f t="shared" si="55"/>
        <v/>
      </c>
      <c r="B1171" s="6"/>
      <c r="C1171" s="5" t="str">
        <f>IFERROR(VLOOKUP(B1171,Lists!$A$2:$B$25,2,FALSE),"")</f>
        <v/>
      </c>
      <c r="D1171" s="7"/>
      <c r="E1171" s="6"/>
      <c r="F1171" s="6" t="str">
        <f t="shared" si="56"/>
        <v/>
      </c>
      <c r="G1171" s="6"/>
      <c r="H1171" s="6"/>
      <c r="I1171" s="6"/>
      <c r="J1171" s="7"/>
      <c r="K1171" s="5" t="str" cm="1">
        <f t="array" ref="K1171">IF(OR(A1171="",B1171="",D1171="",E1171=""),"",A1171&amp;"_"&amp;SUBSTITUTE(B1171," ","-")&amp;"_"&amp;D1171&amp;"_"&amp;SUBSTITUTE(SUBSTITUTE(E1171," ",""),"€","Euro")&amp;"_"&amp;IF(F1171="","Unknown",F1171)&amp;IF(F1171="Commemorative",IF(G1171="","","_"&amp;SUBSTITUTE(SUBSTITUTE(SUBSTITUTE(G1171," ","-"),"/","-"),CHAR(39),"")),"")&amp;IF(I1171="Duplicate","_Dub"&amp;IF(SUMPRODUCT(($B$2:B1171=B1171)*($D$2:D1171=D1171)*($E$2:E1171=E1171)*($F$2:F1171=F1171)*($G$2:G1171=G1171)*($I$2:I1171="Duplicate"))&lt;=1,"",SUMPRODUCT(($B$2:B1171=B1171)*($D$2:D1171=D1171)*($E$2:E1171=E1171)*($F$2:F1171=F1171)*($G$2:G1171=G1171)*($I$2:I1171="Duplicate"))-1),"")&amp;".jpeg")</f>
        <v/>
      </c>
      <c r="L1171" s="6"/>
      <c r="M1171" s="5" t="str">
        <f>IFERROR(VLOOKUP(E1171,Specifications!$A$2:$D$9,2,FALSE),"")</f>
        <v/>
      </c>
      <c r="N1171" s="5" t="str">
        <f>IFERROR(VLOOKUP(E1171,Specifications!$A$2:$D$9,3,FALSE),"")</f>
        <v/>
      </c>
      <c r="O1171" s="5" t="str">
        <f>IFERROR(VLOOKUP(E1171,Specifications!$A$2:$D$9,4,FALSE),"")</f>
        <v/>
      </c>
      <c r="P1171" s="8" t="str">
        <f t="shared" si="57"/>
        <v/>
      </c>
      <c r="Q1171" s="9"/>
    </row>
    <row r="1172" spans="1:17" ht="15">
      <c r="A1172" s="5" t="str">
        <f t="shared" si="55"/>
        <v/>
      </c>
      <c r="B1172" s="6"/>
      <c r="C1172" s="5" t="str">
        <f>IFERROR(VLOOKUP(B1172,Lists!$A$2:$B$25,2,FALSE),"")</f>
        <v/>
      </c>
      <c r="D1172" s="7"/>
      <c r="E1172" s="6"/>
      <c r="F1172" s="6" t="str">
        <f t="shared" si="56"/>
        <v/>
      </c>
      <c r="G1172" s="6"/>
      <c r="H1172" s="6"/>
      <c r="I1172" s="6"/>
      <c r="J1172" s="7"/>
      <c r="K1172" s="5" t="str" cm="1">
        <f t="array" ref="K1172">IF(OR(A1172="",B1172="",D1172="",E1172=""),"",A1172&amp;"_"&amp;SUBSTITUTE(B1172," ","-")&amp;"_"&amp;D1172&amp;"_"&amp;SUBSTITUTE(SUBSTITUTE(E1172," ",""),"€","Euro")&amp;"_"&amp;IF(F1172="","Unknown",F1172)&amp;IF(F1172="Commemorative",IF(G1172="","","_"&amp;SUBSTITUTE(SUBSTITUTE(SUBSTITUTE(G1172," ","-"),"/","-"),CHAR(39),"")),"")&amp;IF(I1172="Duplicate","_Dub"&amp;IF(SUMPRODUCT(($B$2:B1172=B1172)*($D$2:D1172=D1172)*($E$2:E1172=E1172)*($F$2:F1172=F1172)*($G$2:G1172=G1172)*($I$2:I1172="Duplicate"))&lt;=1,"",SUMPRODUCT(($B$2:B1172=B1172)*($D$2:D1172=D1172)*($E$2:E1172=E1172)*($F$2:F1172=F1172)*($G$2:G1172=G1172)*($I$2:I1172="Duplicate"))-1),"")&amp;".jpeg")</f>
        <v/>
      </c>
      <c r="L1172" s="6"/>
      <c r="M1172" s="5" t="str">
        <f>IFERROR(VLOOKUP(E1172,Specifications!$A$2:$D$9,2,FALSE),"")</f>
        <v/>
      </c>
      <c r="N1172" s="5" t="str">
        <f>IFERROR(VLOOKUP(E1172,Specifications!$A$2:$D$9,3,FALSE),"")</f>
        <v/>
      </c>
      <c r="O1172" s="5" t="str">
        <f>IFERROR(VLOOKUP(E1172,Specifications!$A$2:$D$9,4,FALSE),"")</f>
        <v/>
      </c>
      <c r="P1172" s="8" t="str">
        <f t="shared" si="57"/>
        <v/>
      </c>
      <c r="Q1172" s="9"/>
    </row>
    <row r="1173" spans="1:17" ht="15">
      <c r="A1173" s="5" t="str">
        <f t="shared" si="55"/>
        <v/>
      </c>
      <c r="B1173" s="6"/>
      <c r="C1173" s="5" t="str">
        <f>IFERROR(VLOOKUP(B1173,Lists!$A$2:$B$25,2,FALSE),"")</f>
        <v/>
      </c>
      <c r="D1173" s="7"/>
      <c r="E1173" s="6"/>
      <c r="F1173" s="6" t="str">
        <f t="shared" si="56"/>
        <v/>
      </c>
      <c r="G1173" s="6"/>
      <c r="H1173" s="6"/>
      <c r="I1173" s="6"/>
      <c r="J1173" s="7"/>
      <c r="K1173" s="5" t="str" cm="1">
        <f t="array" ref="K1173">IF(OR(A1173="",B1173="",D1173="",E1173=""),"",A1173&amp;"_"&amp;SUBSTITUTE(B1173," ","-")&amp;"_"&amp;D1173&amp;"_"&amp;SUBSTITUTE(SUBSTITUTE(E1173," ",""),"€","Euro")&amp;"_"&amp;IF(F1173="","Unknown",F1173)&amp;IF(F1173="Commemorative",IF(G1173="","","_"&amp;SUBSTITUTE(SUBSTITUTE(SUBSTITUTE(G1173," ","-"),"/","-"),CHAR(39),"")),"")&amp;IF(I1173="Duplicate","_Dub"&amp;IF(SUMPRODUCT(($B$2:B1173=B1173)*($D$2:D1173=D1173)*($E$2:E1173=E1173)*($F$2:F1173=F1173)*($G$2:G1173=G1173)*($I$2:I1173="Duplicate"))&lt;=1,"",SUMPRODUCT(($B$2:B1173=B1173)*($D$2:D1173=D1173)*($E$2:E1173=E1173)*($F$2:F1173=F1173)*($G$2:G1173=G1173)*($I$2:I1173="Duplicate"))-1),"")&amp;".jpeg")</f>
        <v/>
      </c>
      <c r="L1173" s="6"/>
      <c r="M1173" s="5" t="str">
        <f>IFERROR(VLOOKUP(E1173,Specifications!$A$2:$D$9,2,FALSE),"")</f>
        <v/>
      </c>
      <c r="N1173" s="5" t="str">
        <f>IFERROR(VLOOKUP(E1173,Specifications!$A$2:$D$9,3,FALSE),"")</f>
        <v/>
      </c>
      <c r="O1173" s="5" t="str">
        <f>IFERROR(VLOOKUP(E1173,Specifications!$A$2:$D$9,4,FALSE),"")</f>
        <v/>
      </c>
      <c r="P1173" s="8" t="str">
        <f t="shared" si="57"/>
        <v/>
      </c>
      <c r="Q1173" s="9"/>
    </row>
    <row r="1174" spans="1:17" ht="15">
      <c r="A1174" s="5" t="str">
        <f t="shared" si="55"/>
        <v/>
      </c>
      <c r="B1174" s="6"/>
      <c r="C1174" s="5" t="str">
        <f>IFERROR(VLOOKUP(B1174,Lists!$A$2:$B$25,2,FALSE),"")</f>
        <v/>
      </c>
      <c r="D1174" s="7"/>
      <c r="E1174" s="6"/>
      <c r="F1174" s="6" t="str">
        <f t="shared" si="56"/>
        <v/>
      </c>
      <c r="G1174" s="6"/>
      <c r="H1174" s="6"/>
      <c r="I1174" s="6"/>
      <c r="J1174" s="7"/>
      <c r="K1174" s="5" t="str" cm="1">
        <f t="array" ref="K1174">IF(OR(A1174="",B1174="",D1174="",E1174=""),"",A1174&amp;"_"&amp;SUBSTITUTE(B1174," ","-")&amp;"_"&amp;D1174&amp;"_"&amp;SUBSTITUTE(SUBSTITUTE(E1174," ",""),"€","Euro")&amp;"_"&amp;IF(F1174="","Unknown",F1174)&amp;IF(F1174="Commemorative",IF(G1174="","","_"&amp;SUBSTITUTE(SUBSTITUTE(SUBSTITUTE(G1174," ","-"),"/","-"),CHAR(39),"")),"")&amp;IF(I1174="Duplicate","_Dub"&amp;IF(SUMPRODUCT(($B$2:B1174=B1174)*($D$2:D1174=D1174)*($E$2:E1174=E1174)*($F$2:F1174=F1174)*($G$2:G1174=G1174)*($I$2:I1174="Duplicate"))&lt;=1,"",SUMPRODUCT(($B$2:B1174=B1174)*($D$2:D1174=D1174)*($E$2:E1174=E1174)*($F$2:F1174=F1174)*($G$2:G1174=G1174)*($I$2:I1174="Duplicate"))-1),"")&amp;".jpeg")</f>
        <v/>
      </c>
      <c r="L1174" s="6"/>
      <c r="M1174" s="5" t="str">
        <f>IFERROR(VLOOKUP(E1174,Specifications!$A$2:$D$9,2,FALSE),"")</f>
        <v/>
      </c>
      <c r="N1174" s="5" t="str">
        <f>IFERROR(VLOOKUP(E1174,Specifications!$A$2:$D$9,3,FALSE),"")</f>
        <v/>
      </c>
      <c r="O1174" s="5" t="str">
        <f>IFERROR(VLOOKUP(E1174,Specifications!$A$2:$D$9,4,FALSE),"")</f>
        <v/>
      </c>
      <c r="P1174" s="8" t="str">
        <f t="shared" si="57"/>
        <v/>
      </c>
      <c r="Q1174" s="9"/>
    </row>
    <row r="1175" spans="1:17" ht="15">
      <c r="A1175" s="5" t="str">
        <f t="shared" si="55"/>
        <v/>
      </c>
      <c r="B1175" s="6"/>
      <c r="C1175" s="5" t="str">
        <f>IFERROR(VLOOKUP(B1175,Lists!$A$2:$B$25,2,FALSE),"")</f>
        <v/>
      </c>
      <c r="D1175" s="7"/>
      <c r="E1175" s="6"/>
      <c r="F1175" s="6" t="str">
        <f t="shared" si="56"/>
        <v/>
      </c>
      <c r="G1175" s="6"/>
      <c r="H1175" s="6"/>
      <c r="I1175" s="6"/>
      <c r="J1175" s="7"/>
      <c r="K1175" s="5" t="str" cm="1">
        <f t="array" ref="K1175">IF(OR(A1175="",B1175="",D1175="",E1175=""),"",A1175&amp;"_"&amp;SUBSTITUTE(B1175," ","-")&amp;"_"&amp;D1175&amp;"_"&amp;SUBSTITUTE(SUBSTITUTE(E1175," ",""),"€","Euro")&amp;"_"&amp;IF(F1175="","Unknown",F1175)&amp;IF(F1175="Commemorative",IF(G1175="","","_"&amp;SUBSTITUTE(SUBSTITUTE(SUBSTITUTE(G1175," ","-"),"/","-"),CHAR(39),"")),"")&amp;IF(I1175="Duplicate","_Dub"&amp;IF(SUMPRODUCT(($B$2:B1175=B1175)*($D$2:D1175=D1175)*($E$2:E1175=E1175)*($F$2:F1175=F1175)*($G$2:G1175=G1175)*($I$2:I1175="Duplicate"))&lt;=1,"",SUMPRODUCT(($B$2:B1175=B1175)*($D$2:D1175=D1175)*($E$2:E1175=E1175)*($F$2:F1175=F1175)*($G$2:G1175=G1175)*($I$2:I1175="Duplicate"))-1),"")&amp;".jpeg")</f>
        <v/>
      </c>
      <c r="L1175" s="6"/>
      <c r="M1175" s="5" t="str">
        <f>IFERROR(VLOOKUP(E1175,Specifications!$A$2:$D$9,2,FALSE),"")</f>
        <v/>
      </c>
      <c r="N1175" s="5" t="str">
        <f>IFERROR(VLOOKUP(E1175,Specifications!$A$2:$D$9,3,FALSE),"")</f>
        <v/>
      </c>
      <c r="O1175" s="5" t="str">
        <f>IFERROR(VLOOKUP(E1175,Specifications!$A$2:$D$9,4,FALSE),"")</f>
        <v/>
      </c>
      <c r="P1175" s="8" t="str">
        <f t="shared" si="57"/>
        <v/>
      </c>
      <c r="Q1175" s="9"/>
    </row>
    <row r="1176" spans="1:17" ht="15">
      <c r="A1176" s="5" t="str">
        <f t="shared" si="55"/>
        <v/>
      </c>
      <c r="B1176" s="6"/>
      <c r="C1176" s="5" t="str">
        <f>IFERROR(VLOOKUP(B1176,Lists!$A$2:$B$25,2,FALSE),"")</f>
        <v/>
      </c>
      <c r="D1176" s="7"/>
      <c r="E1176" s="6"/>
      <c r="F1176" s="6" t="str">
        <f t="shared" si="56"/>
        <v/>
      </c>
      <c r="G1176" s="6"/>
      <c r="H1176" s="6"/>
      <c r="I1176" s="6"/>
      <c r="J1176" s="7"/>
      <c r="K1176" s="5" t="str" cm="1">
        <f t="array" ref="K1176">IF(OR(A1176="",B1176="",D1176="",E1176=""),"",A1176&amp;"_"&amp;SUBSTITUTE(B1176," ","-")&amp;"_"&amp;D1176&amp;"_"&amp;SUBSTITUTE(SUBSTITUTE(E1176," ",""),"€","Euro")&amp;"_"&amp;IF(F1176="","Unknown",F1176)&amp;IF(F1176="Commemorative",IF(G1176="","","_"&amp;SUBSTITUTE(SUBSTITUTE(SUBSTITUTE(G1176," ","-"),"/","-"),CHAR(39),"")),"")&amp;IF(I1176="Duplicate","_Dub"&amp;IF(SUMPRODUCT(($B$2:B1176=B1176)*($D$2:D1176=D1176)*($E$2:E1176=E1176)*($F$2:F1176=F1176)*($G$2:G1176=G1176)*($I$2:I1176="Duplicate"))&lt;=1,"",SUMPRODUCT(($B$2:B1176=B1176)*($D$2:D1176=D1176)*($E$2:E1176=E1176)*($F$2:F1176=F1176)*($G$2:G1176=G1176)*($I$2:I1176="Duplicate"))-1),"")&amp;".jpeg")</f>
        <v/>
      </c>
      <c r="L1176" s="6"/>
      <c r="M1176" s="5" t="str">
        <f>IFERROR(VLOOKUP(E1176,Specifications!$A$2:$D$9,2,FALSE),"")</f>
        <v/>
      </c>
      <c r="N1176" s="5" t="str">
        <f>IFERROR(VLOOKUP(E1176,Specifications!$A$2:$D$9,3,FALSE),"")</f>
        <v/>
      </c>
      <c r="O1176" s="5" t="str">
        <f>IFERROR(VLOOKUP(E1176,Specifications!$A$2:$D$9,4,FALSE),"")</f>
        <v/>
      </c>
      <c r="P1176" s="8" t="str">
        <f t="shared" si="57"/>
        <v/>
      </c>
      <c r="Q1176" s="9"/>
    </row>
    <row r="1177" spans="1:17" ht="15">
      <c r="A1177" s="5" t="str">
        <f t="shared" si="55"/>
        <v/>
      </c>
      <c r="B1177" s="6"/>
      <c r="C1177" s="5" t="str">
        <f>IFERROR(VLOOKUP(B1177,Lists!$A$2:$B$25,2,FALSE),"")</f>
        <v/>
      </c>
      <c r="D1177" s="7"/>
      <c r="E1177" s="6"/>
      <c r="F1177" s="6" t="str">
        <f t="shared" si="56"/>
        <v/>
      </c>
      <c r="G1177" s="6"/>
      <c r="H1177" s="6"/>
      <c r="I1177" s="6"/>
      <c r="J1177" s="7"/>
      <c r="K1177" s="5" t="str" cm="1">
        <f t="array" ref="K1177">IF(OR(A1177="",B1177="",D1177="",E1177=""),"",A1177&amp;"_"&amp;SUBSTITUTE(B1177," ","-")&amp;"_"&amp;D1177&amp;"_"&amp;SUBSTITUTE(SUBSTITUTE(E1177," ",""),"€","Euro")&amp;"_"&amp;IF(F1177="","Unknown",F1177)&amp;IF(F1177="Commemorative",IF(G1177="","","_"&amp;SUBSTITUTE(SUBSTITUTE(SUBSTITUTE(G1177," ","-"),"/","-"),CHAR(39),"")),"")&amp;IF(I1177="Duplicate","_Dub"&amp;IF(SUMPRODUCT(($B$2:B1177=B1177)*($D$2:D1177=D1177)*($E$2:E1177=E1177)*($F$2:F1177=F1177)*($G$2:G1177=G1177)*($I$2:I1177="Duplicate"))&lt;=1,"",SUMPRODUCT(($B$2:B1177=B1177)*($D$2:D1177=D1177)*($E$2:E1177=E1177)*($F$2:F1177=F1177)*($G$2:G1177=G1177)*($I$2:I1177="Duplicate"))-1),"")&amp;".jpeg")</f>
        <v/>
      </c>
      <c r="L1177" s="6"/>
      <c r="M1177" s="5" t="str">
        <f>IFERROR(VLOOKUP(E1177,Specifications!$A$2:$D$9,2,FALSE),"")</f>
        <v/>
      </c>
      <c r="N1177" s="5" t="str">
        <f>IFERROR(VLOOKUP(E1177,Specifications!$A$2:$D$9,3,FALSE),"")</f>
        <v/>
      </c>
      <c r="O1177" s="5" t="str">
        <f>IFERROR(VLOOKUP(E1177,Specifications!$A$2:$D$9,4,FALSE),"")</f>
        <v/>
      </c>
      <c r="P1177" s="8" t="str">
        <f t="shared" si="57"/>
        <v/>
      </c>
      <c r="Q1177" s="9"/>
    </row>
    <row r="1178" spans="1:17" ht="15">
      <c r="A1178" s="5" t="str">
        <f t="shared" si="55"/>
        <v/>
      </c>
      <c r="B1178" s="6"/>
      <c r="C1178" s="5" t="str">
        <f>IFERROR(VLOOKUP(B1178,Lists!$A$2:$B$25,2,FALSE),"")</f>
        <v/>
      </c>
      <c r="D1178" s="7"/>
      <c r="E1178" s="6"/>
      <c r="F1178" s="6" t="str">
        <f t="shared" si="56"/>
        <v/>
      </c>
      <c r="G1178" s="6"/>
      <c r="H1178" s="6"/>
      <c r="I1178" s="6"/>
      <c r="J1178" s="7"/>
      <c r="K1178" s="5" t="str" cm="1">
        <f t="array" ref="K1178">IF(OR(A1178="",B1178="",D1178="",E1178=""),"",A1178&amp;"_"&amp;SUBSTITUTE(B1178," ","-")&amp;"_"&amp;D1178&amp;"_"&amp;SUBSTITUTE(SUBSTITUTE(E1178," ",""),"€","Euro")&amp;"_"&amp;IF(F1178="","Unknown",F1178)&amp;IF(F1178="Commemorative",IF(G1178="","","_"&amp;SUBSTITUTE(SUBSTITUTE(SUBSTITUTE(G1178," ","-"),"/","-"),CHAR(39),"")),"")&amp;IF(I1178="Duplicate","_Dub"&amp;IF(SUMPRODUCT(($B$2:B1178=B1178)*($D$2:D1178=D1178)*($E$2:E1178=E1178)*($F$2:F1178=F1178)*($G$2:G1178=G1178)*($I$2:I1178="Duplicate"))&lt;=1,"",SUMPRODUCT(($B$2:B1178=B1178)*($D$2:D1178=D1178)*($E$2:E1178=E1178)*($F$2:F1178=F1178)*($G$2:G1178=G1178)*($I$2:I1178="Duplicate"))-1),"")&amp;".jpeg")</f>
        <v/>
      </c>
      <c r="L1178" s="6"/>
      <c r="M1178" s="5" t="str">
        <f>IFERROR(VLOOKUP(E1178,Specifications!$A$2:$D$9,2,FALSE),"")</f>
        <v/>
      </c>
      <c r="N1178" s="5" t="str">
        <f>IFERROR(VLOOKUP(E1178,Specifications!$A$2:$D$9,3,FALSE),"")</f>
        <v/>
      </c>
      <c r="O1178" s="5" t="str">
        <f>IFERROR(VLOOKUP(E1178,Specifications!$A$2:$D$9,4,FALSE),"")</f>
        <v/>
      </c>
      <c r="P1178" s="8" t="str">
        <f t="shared" si="57"/>
        <v/>
      </c>
      <c r="Q1178" s="9"/>
    </row>
    <row r="1179" spans="1:17" ht="15">
      <c r="A1179" s="5" t="str">
        <f t="shared" si="55"/>
        <v/>
      </c>
      <c r="B1179" s="6"/>
      <c r="C1179" s="5" t="str">
        <f>IFERROR(VLOOKUP(B1179,Lists!$A$2:$B$25,2,FALSE),"")</f>
        <v/>
      </c>
      <c r="D1179" s="7"/>
      <c r="E1179" s="6"/>
      <c r="F1179" s="6" t="str">
        <f t="shared" si="56"/>
        <v/>
      </c>
      <c r="G1179" s="6"/>
      <c r="H1179" s="6"/>
      <c r="I1179" s="6"/>
      <c r="J1179" s="7"/>
      <c r="K1179" s="5" t="str" cm="1">
        <f t="array" ref="K1179">IF(OR(A1179="",B1179="",D1179="",E1179=""),"",A1179&amp;"_"&amp;SUBSTITUTE(B1179," ","-")&amp;"_"&amp;D1179&amp;"_"&amp;SUBSTITUTE(SUBSTITUTE(E1179," ",""),"€","Euro")&amp;"_"&amp;IF(F1179="","Unknown",F1179)&amp;IF(F1179="Commemorative",IF(G1179="","","_"&amp;SUBSTITUTE(SUBSTITUTE(SUBSTITUTE(G1179," ","-"),"/","-"),CHAR(39),"")),"")&amp;IF(I1179="Duplicate","_Dub"&amp;IF(SUMPRODUCT(($B$2:B1179=B1179)*($D$2:D1179=D1179)*($E$2:E1179=E1179)*($F$2:F1179=F1179)*($G$2:G1179=G1179)*($I$2:I1179="Duplicate"))&lt;=1,"",SUMPRODUCT(($B$2:B1179=B1179)*($D$2:D1179=D1179)*($E$2:E1179=E1179)*($F$2:F1179=F1179)*($G$2:G1179=G1179)*($I$2:I1179="Duplicate"))-1),"")&amp;".jpeg")</f>
        <v/>
      </c>
      <c r="L1179" s="6"/>
      <c r="M1179" s="5" t="str">
        <f>IFERROR(VLOOKUP(E1179,Specifications!$A$2:$D$9,2,FALSE),"")</f>
        <v/>
      </c>
      <c r="N1179" s="5" t="str">
        <f>IFERROR(VLOOKUP(E1179,Specifications!$A$2:$D$9,3,FALSE),"")</f>
        <v/>
      </c>
      <c r="O1179" s="5" t="str">
        <f>IFERROR(VLOOKUP(E1179,Specifications!$A$2:$D$9,4,FALSE),"")</f>
        <v/>
      </c>
      <c r="P1179" s="8" t="str">
        <f t="shared" si="57"/>
        <v/>
      </c>
      <c r="Q1179" s="9"/>
    </row>
    <row r="1180" spans="1:17" ht="15">
      <c r="A1180" s="5" t="str">
        <f t="shared" si="55"/>
        <v/>
      </c>
      <c r="B1180" s="6"/>
      <c r="C1180" s="5" t="str">
        <f>IFERROR(VLOOKUP(B1180,Lists!$A$2:$B$25,2,FALSE),"")</f>
        <v/>
      </c>
      <c r="D1180" s="7"/>
      <c r="E1180" s="6"/>
      <c r="F1180" s="6" t="str">
        <f t="shared" si="56"/>
        <v/>
      </c>
      <c r="G1180" s="6"/>
      <c r="H1180" s="6"/>
      <c r="I1180" s="6"/>
      <c r="J1180" s="7"/>
      <c r="K1180" s="5" t="str" cm="1">
        <f t="array" ref="K1180">IF(OR(A1180="",B1180="",D1180="",E1180=""),"",A1180&amp;"_"&amp;SUBSTITUTE(B1180," ","-")&amp;"_"&amp;D1180&amp;"_"&amp;SUBSTITUTE(SUBSTITUTE(E1180," ",""),"€","Euro")&amp;"_"&amp;IF(F1180="","Unknown",F1180)&amp;IF(F1180="Commemorative",IF(G1180="","","_"&amp;SUBSTITUTE(SUBSTITUTE(SUBSTITUTE(G1180," ","-"),"/","-"),CHAR(39),"")),"")&amp;IF(I1180="Duplicate","_Dub"&amp;IF(SUMPRODUCT(($B$2:B1180=B1180)*($D$2:D1180=D1180)*($E$2:E1180=E1180)*($F$2:F1180=F1180)*($G$2:G1180=G1180)*($I$2:I1180="Duplicate"))&lt;=1,"",SUMPRODUCT(($B$2:B1180=B1180)*($D$2:D1180=D1180)*($E$2:E1180=E1180)*($F$2:F1180=F1180)*($G$2:G1180=G1180)*($I$2:I1180="Duplicate"))-1),"")&amp;".jpeg")</f>
        <v/>
      </c>
      <c r="L1180" s="6"/>
      <c r="M1180" s="5" t="str">
        <f>IFERROR(VLOOKUP(E1180,Specifications!$A$2:$D$9,2,FALSE),"")</f>
        <v/>
      </c>
      <c r="N1180" s="5" t="str">
        <f>IFERROR(VLOOKUP(E1180,Specifications!$A$2:$D$9,3,FALSE),"")</f>
        <v/>
      </c>
      <c r="O1180" s="5" t="str">
        <f>IFERROR(VLOOKUP(E1180,Specifications!$A$2:$D$9,4,FALSE),"")</f>
        <v/>
      </c>
      <c r="P1180" s="8" t="str">
        <f t="shared" si="57"/>
        <v/>
      </c>
      <c r="Q1180" s="9"/>
    </row>
    <row r="1181" spans="1:17" ht="15">
      <c r="A1181" s="5" t="str">
        <f t="shared" si="55"/>
        <v/>
      </c>
      <c r="B1181" s="6"/>
      <c r="C1181" s="5" t="str">
        <f>IFERROR(VLOOKUP(B1181,Lists!$A$2:$B$25,2,FALSE),"")</f>
        <v/>
      </c>
      <c r="D1181" s="7"/>
      <c r="E1181" s="6"/>
      <c r="F1181" s="6" t="str">
        <f t="shared" si="56"/>
        <v/>
      </c>
      <c r="G1181" s="6"/>
      <c r="H1181" s="6"/>
      <c r="I1181" s="6"/>
      <c r="J1181" s="7"/>
      <c r="K1181" s="5" t="str" cm="1">
        <f t="array" ref="K1181">IF(OR(A1181="",B1181="",D1181="",E1181=""),"",A1181&amp;"_"&amp;SUBSTITUTE(B1181," ","-")&amp;"_"&amp;D1181&amp;"_"&amp;SUBSTITUTE(SUBSTITUTE(E1181," ",""),"€","Euro")&amp;"_"&amp;IF(F1181="","Unknown",F1181)&amp;IF(F1181="Commemorative",IF(G1181="","","_"&amp;SUBSTITUTE(SUBSTITUTE(SUBSTITUTE(G1181," ","-"),"/","-"),CHAR(39),"")),"")&amp;IF(I1181="Duplicate","_Dub"&amp;IF(SUMPRODUCT(($B$2:B1181=B1181)*($D$2:D1181=D1181)*($E$2:E1181=E1181)*($F$2:F1181=F1181)*($G$2:G1181=G1181)*($I$2:I1181="Duplicate"))&lt;=1,"",SUMPRODUCT(($B$2:B1181=B1181)*($D$2:D1181=D1181)*($E$2:E1181=E1181)*($F$2:F1181=F1181)*($G$2:G1181=G1181)*($I$2:I1181="Duplicate"))-1),"")&amp;".jpeg")</f>
        <v/>
      </c>
      <c r="L1181" s="6"/>
      <c r="M1181" s="5" t="str">
        <f>IFERROR(VLOOKUP(E1181,Specifications!$A$2:$D$9,2,FALSE),"")</f>
        <v/>
      </c>
      <c r="N1181" s="5" t="str">
        <f>IFERROR(VLOOKUP(E1181,Specifications!$A$2:$D$9,3,FALSE),"")</f>
        <v/>
      </c>
      <c r="O1181" s="5" t="str">
        <f>IFERROR(VLOOKUP(E1181,Specifications!$A$2:$D$9,4,FALSE),"")</f>
        <v/>
      </c>
      <c r="P1181" s="8" t="str">
        <f t="shared" si="57"/>
        <v/>
      </c>
      <c r="Q1181" s="9"/>
    </row>
    <row r="1182" spans="1:17" ht="15">
      <c r="A1182" s="5" t="str">
        <f t="shared" si="55"/>
        <v/>
      </c>
      <c r="B1182" s="6"/>
      <c r="C1182" s="5" t="str">
        <f>IFERROR(VLOOKUP(B1182,Lists!$A$2:$B$25,2,FALSE),"")</f>
        <v/>
      </c>
      <c r="D1182" s="7"/>
      <c r="E1182" s="6"/>
      <c r="F1182" s="6" t="str">
        <f t="shared" si="56"/>
        <v/>
      </c>
      <c r="G1182" s="6"/>
      <c r="H1182" s="6"/>
      <c r="I1182" s="6"/>
      <c r="J1182" s="7"/>
      <c r="K1182" s="5" t="str" cm="1">
        <f t="array" ref="K1182">IF(OR(A1182="",B1182="",D1182="",E1182=""),"",A1182&amp;"_"&amp;SUBSTITUTE(B1182," ","-")&amp;"_"&amp;D1182&amp;"_"&amp;SUBSTITUTE(SUBSTITUTE(E1182," ",""),"€","Euro")&amp;"_"&amp;IF(F1182="","Unknown",F1182)&amp;IF(F1182="Commemorative",IF(G1182="","","_"&amp;SUBSTITUTE(SUBSTITUTE(SUBSTITUTE(G1182," ","-"),"/","-"),CHAR(39),"")),"")&amp;IF(I1182="Duplicate","_Dub"&amp;IF(SUMPRODUCT(($B$2:B1182=B1182)*($D$2:D1182=D1182)*($E$2:E1182=E1182)*($F$2:F1182=F1182)*($G$2:G1182=G1182)*($I$2:I1182="Duplicate"))&lt;=1,"",SUMPRODUCT(($B$2:B1182=B1182)*($D$2:D1182=D1182)*($E$2:E1182=E1182)*($F$2:F1182=F1182)*($G$2:G1182=G1182)*($I$2:I1182="Duplicate"))-1),"")&amp;".jpeg")</f>
        <v/>
      </c>
      <c r="L1182" s="6"/>
      <c r="M1182" s="5" t="str">
        <f>IFERROR(VLOOKUP(E1182,Specifications!$A$2:$D$9,2,FALSE),"")</f>
        <v/>
      </c>
      <c r="N1182" s="5" t="str">
        <f>IFERROR(VLOOKUP(E1182,Specifications!$A$2:$D$9,3,FALSE),"")</f>
        <v/>
      </c>
      <c r="O1182" s="5" t="str">
        <f>IFERROR(VLOOKUP(E1182,Specifications!$A$2:$D$9,4,FALSE),"")</f>
        <v/>
      </c>
      <c r="P1182" s="8" t="str">
        <f t="shared" si="57"/>
        <v/>
      </c>
      <c r="Q1182" s="9"/>
    </row>
    <row r="1183" spans="1:17" ht="15">
      <c r="A1183" s="5" t="str">
        <f t="shared" si="55"/>
        <v/>
      </c>
      <c r="B1183" s="6"/>
      <c r="C1183" s="5" t="str">
        <f>IFERROR(VLOOKUP(B1183,Lists!$A$2:$B$25,2,FALSE),"")</f>
        <v/>
      </c>
      <c r="D1183" s="7"/>
      <c r="E1183" s="6"/>
      <c r="F1183" s="6" t="str">
        <f t="shared" si="56"/>
        <v/>
      </c>
      <c r="G1183" s="6"/>
      <c r="H1183" s="6"/>
      <c r="I1183" s="6"/>
      <c r="J1183" s="7"/>
      <c r="K1183" s="5" t="str" cm="1">
        <f t="array" ref="K1183">IF(OR(A1183="",B1183="",D1183="",E1183=""),"",A1183&amp;"_"&amp;SUBSTITUTE(B1183," ","-")&amp;"_"&amp;D1183&amp;"_"&amp;SUBSTITUTE(SUBSTITUTE(E1183," ",""),"€","Euro")&amp;"_"&amp;IF(F1183="","Unknown",F1183)&amp;IF(F1183="Commemorative",IF(G1183="","","_"&amp;SUBSTITUTE(SUBSTITUTE(SUBSTITUTE(G1183," ","-"),"/","-"),CHAR(39),"")),"")&amp;IF(I1183="Duplicate","_Dub"&amp;IF(SUMPRODUCT(($B$2:B1183=B1183)*($D$2:D1183=D1183)*($E$2:E1183=E1183)*($F$2:F1183=F1183)*($G$2:G1183=G1183)*($I$2:I1183="Duplicate"))&lt;=1,"",SUMPRODUCT(($B$2:B1183=B1183)*($D$2:D1183=D1183)*($E$2:E1183=E1183)*($F$2:F1183=F1183)*($G$2:G1183=G1183)*($I$2:I1183="Duplicate"))-1),"")&amp;".jpeg")</f>
        <v/>
      </c>
      <c r="L1183" s="6"/>
      <c r="M1183" s="5" t="str">
        <f>IFERROR(VLOOKUP(E1183,Specifications!$A$2:$D$9,2,FALSE),"")</f>
        <v/>
      </c>
      <c r="N1183" s="5" t="str">
        <f>IFERROR(VLOOKUP(E1183,Specifications!$A$2:$D$9,3,FALSE),"")</f>
        <v/>
      </c>
      <c r="O1183" s="5" t="str">
        <f>IFERROR(VLOOKUP(E1183,Specifications!$A$2:$D$9,4,FALSE),"")</f>
        <v/>
      </c>
      <c r="P1183" s="8" t="str">
        <f t="shared" si="57"/>
        <v/>
      </c>
      <c r="Q1183" s="9"/>
    </row>
    <row r="1184" spans="1:17" ht="15">
      <c r="A1184" s="5" t="str">
        <f t="shared" si="55"/>
        <v/>
      </c>
      <c r="B1184" s="6"/>
      <c r="C1184" s="5" t="str">
        <f>IFERROR(VLOOKUP(B1184,Lists!$A$2:$B$25,2,FALSE),"")</f>
        <v/>
      </c>
      <c r="D1184" s="7"/>
      <c r="E1184" s="6"/>
      <c r="F1184" s="6" t="str">
        <f t="shared" si="56"/>
        <v/>
      </c>
      <c r="G1184" s="6"/>
      <c r="H1184" s="6"/>
      <c r="I1184" s="6"/>
      <c r="J1184" s="7"/>
      <c r="K1184" s="5" t="str" cm="1">
        <f t="array" ref="K1184">IF(OR(A1184="",B1184="",D1184="",E1184=""),"",A1184&amp;"_"&amp;SUBSTITUTE(B1184," ","-")&amp;"_"&amp;D1184&amp;"_"&amp;SUBSTITUTE(SUBSTITUTE(E1184," ",""),"€","Euro")&amp;"_"&amp;IF(F1184="","Unknown",F1184)&amp;IF(F1184="Commemorative",IF(G1184="","","_"&amp;SUBSTITUTE(SUBSTITUTE(SUBSTITUTE(G1184," ","-"),"/","-"),CHAR(39),"")),"")&amp;IF(I1184="Duplicate","_Dub"&amp;IF(SUMPRODUCT(($B$2:B1184=B1184)*($D$2:D1184=D1184)*($E$2:E1184=E1184)*($F$2:F1184=F1184)*($G$2:G1184=G1184)*($I$2:I1184="Duplicate"))&lt;=1,"",SUMPRODUCT(($B$2:B1184=B1184)*($D$2:D1184=D1184)*($E$2:E1184=E1184)*($F$2:F1184=F1184)*($G$2:G1184=G1184)*($I$2:I1184="Duplicate"))-1),"")&amp;".jpeg")</f>
        <v/>
      </c>
      <c r="L1184" s="6"/>
      <c r="M1184" s="5" t="str">
        <f>IFERROR(VLOOKUP(E1184,Specifications!$A$2:$D$9,2,FALSE),"")</f>
        <v/>
      </c>
      <c r="N1184" s="5" t="str">
        <f>IFERROR(VLOOKUP(E1184,Specifications!$A$2:$D$9,3,FALSE),"")</f>
        <v/>
      </c>
      <c r="O1184" s="5" t="str">
        <f>IFERROR(VLOOKUP(E1184,Specifications!$A$2:$D$9,4,FALSE),"")</f>
        <v/>
      </c>
      <c r="P1184" s="8" t="str">
        <f t="shared" si="57"/>
        <v/>
      </c>
      <c r="Q1184" s="9"/>
    </row>
    <row r="1185" spans="1:17" ht="15">
      <c r="A1185" s="5" t="str">
        <f t="shared" si="55"/>
        <v/>
      </c>
      <c r="B1185" s="6"/>
      <c r="C1185" s="5" t="str">
        <f>IFERROR(VLOOKUP(B1185,Lists!$A$2:$B$25,2,FALSE),"")</f>
        <v/>
      </c>
      <c r="D1185" s="7"/>
      <c r="E1185" s="6"/>
      <c r="F1185" s="6" t="str">
        <f t="shared" si="56"/>
        <v/>
      </c>
      <c r="G1185" s="6"/>
      <c r="H1185" s="6"/>
      <c r="I1185" s="6"/>
      <c r="J1185" s="7"/>
      <c r="K1185" s="5" t="str" cm="1">
        <f t="array" ref="K1185">IF(OR(A1185="",B1185="",D1185="",E1185=""),"",A1185&amp;"_"&amp;SUBSTITUTE(B1185," ","-")&amp;"_"&amp;D1185&amp;"_"&amp;SUBSTITUTE(SUBSTITUTE(E1185," ",""),"€","Euro")&amp;"_"&amp;IF(F1185="","Unknown",F1185)&amp;IF(F1185="Commemorative",IF(G1185="","","_"&amp;SUBSTITUTE(SUBSTITUTE(SUBSTITUTE(G1185," ","-"),"/","-"),CHAR(39),"")),"")&amp;IF(I1185="Duplicate","_Dub"&amp;IF(SUMPRODUCT(($B$2:B1185=B1185)*($D$2:D1185=D1185)*($E$2:E1185=E1185)*($F$2:F1185=F1185)*($G$2:G1185=G1185)*($I$2:I1185="Duplicate"))&lt;=1,"",SUMPRODUCT(($B$2:B1185=B1185)*($D$2:D1185=D1185)*($E$2:E1185=E1185)*($F$2:F1185=F1185)*($G$2:G1185=G1185)*($I$2:I1185="Duplicate"))-1),"")&amp;".jpeg")</f>
        <v/>
      </c>
      <c r="L1185" s="6"/>
      <c r="M1185" s="5" t="str">
        <f>IFERROR(VLOOKUP(E1185,Specifications!$A$2:$D$9,2,FALSE),"")</f>
        <v/>
      </c>
      <c r="N1185" s="5" t="str">
        <f>IFERROR(VLOOKUP(E1185,Specifications!$A$2:$D$9,3,FALSE),"")</f>
        <v/>
      </c>
      <c r="O1185" s="5" t="str">
        <f>IFERROR(VLOOKUP(E1185,Specifications!$A$2:$D$9,4,FALSE),"")</f>
        <v/>
      </c>
      <c r="P1185" s="8" t="str">
        <f t="shared" si="57"/>
        <v/>
      </c>
      <c r="Q1185" s="9"/>
    </row>
    <row r="1186" spans="1:17" ht="15">
      <c r="A1186" s="5" t="str">
        <f t="shared" si="55"/>
        <v/>
      </c>
      <c r="B1186" s="6"/>
      <c r="C1186" s="5" t="str">
        <f>IFERROR(VLOOKUP(B1186,Lists!$A$2:$B$25,2,FALSE),"")</f>
        <v/>
      </c>
      <c r="D1186" s="7"/>
      <c r="E1186" s="6"/>
      <c r="F1186" s="6" t="str">
        <f t="shared" si="56"/>
        <v/>
      </c>
      <c r="G1186" s="6"/>
      <c r="H1186" s="6"/>
      <c r="I1186" s="6"/>
      <c r="J1186" s="7"/>
      <c r="K1186" s="5" t="str" cm="1">
        <f t="array" ref="K1186">IF(OR(A1186="",B1186="",D1186="",E1186=""),"",A1186&amp;"_"&amp;SUBSTITUTE(B1186," ","-")&amp;"_"&amp;D1186&amp;"_"&amp;SUBSTITUTE(SUBSTITUTE(E1186," ",""),"€","Euro")&amp;"_"&amp;IF(F1186="","Unknown",F1186)&amp;IF(F1186="Commemorative",IF(G1186="","","_"&amp;SUBSTITUTE(SUBSTITUTE(SUBSTITUTE(G1186," ","-"),"/","-"),CHAR(39),"")),"")&amp;IF(I1186="Duplicate","_Dub"&amp;IF(SUMPRODUCT(($B$2:B1186=B1186)*($D$2:D1186=D1186)*($E$2:E1186=E1186)*($F$2:F1186=F1186)*($G$2:G1186=G1186)*($I$2:I1186="Duplicate"))&lt;=1,"",SUMPRODUCT(($B$2:B1186=B1186)*($D$2:D1186=D1186)*($E$2:E1186=E1186)*($F$2:F1186=F1186)*($G$2:G1186=G1186)*($I$2:I1186="Duplicate"))-1),"")&amp;".jpeg")</f>
        <v/>
      </c>
      <c r="L1186" s="6"/>
      <c r="M1186" s="5" t="str">
        <f>IFERROR(VLOOKUP(E1186,Specifications!$A$2:$D$9,2,FALSE),"")</f>
        <v/>
      </c>
      <c r="N1186" s="5" t="str">
        <f>IFERROR(VLOOKUP(E1186,Specifications!$A$2:$D$9,3,FALSE),"")</f>
        <v/>
      </c>
      <c r="O1186" s="5" t="str">
        <f>IFERROR(VLOOKUP(E1186,Specifications!$A$2:$D$9,4,FALSE),"")</f>
        <v/>
      </c>
      <c r="P1186" s="8" t="str">
        <f t="shared" si="57"/>
        <v/>
      </c>
      <c r="Q1186" s="9"/>
    </row>
    <row r="1187" spans="1:17" ht="15">
      <c r="A1187" s="5" t="str">
        <f t="shared" si="55"/>
        <v/>
      </c>
      <c r="B1187" s="6"/>
      <c r="C1187" s="5" t="str">
        <f>IFERROR(VLOOKUP(B1187,Lists!$A$2:$B$25,2,FALSE),"")</f>
        <v/>
      </c>
      <c r="D1187" s="7"/>
      <c r="E1187" s="6"/>
      <c r="F1187" s="6" t="str">
        <f t="shared" si="56"/>
        <v/>
      </c>
      <c r="G1187" s="6"/>
      <c r="H1187" s="6"/>
      <c r="I1187" s="6"/>
      <c r="J1187" s="7"/>
      <c r="K1187" s="5" t="str" cm="1">
        <f t="array" ref="K1187">IF(OR(A1187="",B1187="",D1187="",E1187=""),"",A1187&amp;"_"&amp;SUBSTITUTE(B1187," ","-")&amp;"_"&amp;D1187&amp;"_"&amp;SUBSTITUTE(SUBSTITUTE(E1187," ",""),"€","Euro")&amp;"_"&amp;IF(F1187="","Unknown",F1187)&amp;IF(F1187="Commemorative",IF(G1187="","","_"&amp;SUBSTITUTE(SUBSTITUTE(SUBSTITUTE(G1187," ","-"),"/","-"),CHAR(39),"")),"")&amp;IF(I1187="Duplicate","_Dub"&amp;IF(SUMPRODUCT(($B$2:B1187=B1187)*($D$2:D1187=D1187)*($E$2:E1187=E1187)*($F$2:F1187=F1187)*($G$2:G1187=G1187)*($I$2:I1187="Duplicate"))&lt;=1,"",SUMPRODUCT(($B$2:B1187=B1187)*($D$2:D1187=D1187)*($E$2:E1187=E1187)*($F$2:F1187=F1187)*($G$2:G1187=G1187)*($I$2:I1187="Duplicate"))-1),"")&amp;".jpeg")</f>
        <v/>
      </c>
      <c r="L1187" s="6"/>
      <c r="M1187" s="5" t="str">
        <f>IFERROR(VLOOKUP(E1187,Specifications!$A$2:$D$9,2,FALSE),"")</f>
        <v/>
      </c>
      <c r="N1187" s="5" t="str">
        <f>IFERROR(VLOOKUP(E1187,Specifications!$A$2:$D$9,3,FALSE),"")</f>
        <v/>
      </c>
      <c r="O1187" s="5" t="str">
        <f>IFERROR(VLOOKUP(E1187,Specifications!$A$2:$D$9,4,FALSE),"")</f>
        <v/>
      </c>
      <c r="P1187" s="8" t="str">
        <f t="shared" si="57"/>
        <v/>
      </c>
      <c r="Q1187" s="9"/>
    </row>
    <row r="1188" spans="1:17" ht="15">
      <c r="A1188" s="5" t="str">
        <f t="shared" si="55"/>
        <v/>
      </c>
      <c r="B1188" s="6"/>
      <c r="C1188" s="5" t="str">
        <f>IFERROR(VLOOKUP(B1188,Lists!$A$2:$B$25,2,FALSE),"")</f>
        <v/>
      </c>
      <c r="D1188" s="7"/>
      <c r="E1188" s="6"/>
      <c r="F1188" s="6" t="str">
        <f t="shared" si="56"/>
        <v/>
      </c>
      <c r="G1188" s="6"/>
      <c r="H1188" s="6"/>
      <c r="I1188" s="6"/>
      <c r="J1188" s="7"/>
      <c r="K1188" s="5" t="str" cm="1">
        <f t="array" ref="K1188">IF(OR(A1188="",B1188="",D1188="",E1188=""),"",A1188&amp;"_"&amp;SUBSTITUTE(B1188," ","-")&amp;"_"&amp;D1188&amp;"_"&amp;SUBSTITUTE(SUBSTITUTE(E1188," ",""),"€","Euro")&amp;"_"&amp;IF(F1188="","Unknown",F1188)&amp;IF(F1188="Commemorative",IF(G1188="","","_"&amp;SUBSTITUTE(SUBSTITUTE(SUBSTITUTE(G1188," ","-"),"/","-"),CHAR(39),"")),"")&amp;IF(I1188="Duplicate","_Dub"&amp;IF(SUMPRODUCT(($B$2:B1188=B1188)*($D$2:D1188=D1188)*($E$2:E1188=E1188)*($F$2:F1188=F1188)*($G$2:G1188=G1188)*($I$2:I1188="Duplicate"))&lt;=1,"",SUMPRODUCT(($B$2:B1188=B1188)*($D$2:D1188=D1188)*($E$2:E1188=E1188)*($F$2:F1188=F1188)*($G$2:G1188=G1188)*($I$2:I1188="Duplicate"))-1),"")&amp;".jpeg")</f>
        <v/>
      </c>
      <c r="L1188" s="6"/>
      <c r="M1188" s="5" t="str">
        <f>IFERROR(VLOOKUP(E1188,Specifications!$A$2:$D$9,2,FALSE),"")</f>
        <v/>
      </c>
      <c r="N1188" s="5" t="str">
        <f>IFERROR(VLOOKUP(E1188,Specifications!$A$2:$D$9,3,FALSE),"")</f>
        <v/>
      </c>
      <c r="O1188" s="5" t="str">
        <f>IFERROR(VLOOKUP(E1188,Specifications!$A$2:$D$9,4,FALSE),"")</f>
        <v/>
      </c>
      <c r="P1188" s="8" t="str">
        <f t="shared" si="57"/>
        <v/>
      </c>
      <c r="Q1188" s="9"/>
    </row>
    <row r="1189" spans="1:17" ht="15">
      <c r="A1189" s="5" t="str">
        <f t="shared" si="55"/>
        <v/>
      </c>
      <c r="B1189" s="6"/>
      <c r="C1189" s="5" t="str">
        <f>IFERROR(VLOOKUP(B1189,Lists!$A$2:$B$25,2,FALSE),"")</f>
        <v/>
      </c>
      <c r="D1189" s="7"/>
      <c r="E1189" s="6"/>
      <c r="F1189" s="6" t="str">
        <f t="shared" si="56"/>
        <v/>
      </c>
      <c r="G1189" s="6"/>
      <c r="H1189" s="6"/>
      <c r="I1189" s="6"/>
      <c r="J1189" s="7"/>
      <c r="K1189" s="5" t="str" cm="1">
        <f t="array" ref="K1189">IF(OR(A1189="",B1189="",D1189="",E1189=""),"",A1189&amp;"_"&amp;SUBSTITUTE(B1189," ","-")&amp;"_"&amp;D1189&amp;"_"&amp;SUBSTITUTE(SUBSTITUTE(E1189," ",""),"€","Euro")&amp;"_"&amp;IF(F1189="","Unknown",F1189)&amp;IF(F1189="Commemorative",IF(G1189="","","_"&amp;SUBSTITUTE(SUBSTITUTE(SUBSTITUTE(G1189," ","-"),"/","-"),CHAR(39),"")),"")&amp;IF(I1189="Duplicate","_Dub"&amp;IF(SUMPRODUCT(($B$2:B1189=B1189)*($D$2:D1189=D1189)*($E$2:E1189=E1189)*($F$2:F1189=F1189)*($G$2:G1189=G1189)*($I$2:I1189="Duplicate"))&lt;=1,"",SUMPRODUCT(($B$2:B1189=B1189)*($D$2:D1189=D1189)*($E$2:E1189=E1189)*($F$2:F1189=F1189)*($G$2:G1189=G1189)*($I$2:I1189="Duplicate"))-1),"")&amp;".jpeg")</f>
        <v/>
      </c>
      <c r="L1189" s="6"/>
      <c r="M1189" s="5" t="str">
        <f>IFERROR(VLOOKUP(E1189,Specifications!$A$2:$D$9,2,FALSE),"")</f>
        <v/>
      </c>
      <c r="N1189" s="5" t="str">
        <f>IFERROR(VLOOKUP(E1189,Specifications!$A$2:$D$9,3,FALSE),"")</f>
        <v/>
      </c>
      <c r="O1189" s="5" t="str">
        <f>IFERROR(VLOOKUP(E1189,Specifications!$A$2:$D$9,4,FALSE),"")</f>
        <v/>
      </c>
      <c r="P1189" s="8" t="str">
        <f t="shared" si="57"/>
        <v/>
      </c>
      <c r="Q1189" s="9"/>
    </row>
    <row r="1190" spans="1:17" ht="15">
      <c r="A1190" s="5" t="str">
        <f t="shared" si="55"/>
        <v/>
      </c>
      <c r="B1190" s="6"/>
      <c r="C1190" s="5" t="str">
        <f>IFERROR(VLOOKUP(B1190,Lists!$A$2:$B$25,2,FALSE),"")</f>
        <v/>
      </c>
      <c r="D1190" s="7"/>
      <c r="E1190" s="6"/>
      <c r="F1190" s="6" t="str">
        <f t="shared" si="56"/>
        <v/>
      </c>
      <c r="G1190" s="6"/>
      <c r="H1190" s="6"/>
      <c r="I1190" s="6"/>
      <c r="J1190" s="7"/>
      <c r="K1190" s="5" t="str" cm="1">
        <f t="array" ref="K1190">IF(OR(A1190="",B1190="",D1190="",E1190=""),"",A1190&amp;"_"&amp;SUBSTITUTE(B1190," ","-")&amp;"_"&amp;D1190&amp;"_"&amp;SUBSTITUTE(SUBSTITUTE(E1190," ",""),"€","Euro")&amp;"_"&amp;IF(F1190="","Unknown",F1190)&amp;IF(F1190="Commemorative",IF(G1190="","","_"&amp;SUBSTITUTE(SUBSTITUTE(SUBSTITUTE(G1190," ","-"),"/","-"),CHAR(39),"")),"")&amp;IF(I1190="Duplicate","_Dub"&amp;IF(SUMPRODUCT(($B$2:B1190=B1190)*($D$2:D1190=D1190)*($E$2:E1190=E1190)*($F$2:F1190=F1190)*($G$2:G1190=G1190)*($I$2:I1190="Duplicate"))&lt;=1,"",SUMPRODUCT(($B$2:B1190=B1190)*($D$2:D1190=D1190)*($E$2:E1190=E1190)*($F$2:F1190=F1190)*($G$2:G1190=G1190)*($I$2:I1190="Duplicate"))-1),"")&amp;".jpeg")</f>
        <v/>
      </c>
      <c r="L1190" s="6"/>
      <c r="M1190" s="5" t="str">
        <f>IFERROR(VLOOKUP(E1190,Specifications!$A$2:$D$9,2,FALSE),"")</f>
        <v/>
      </c>
      <c r="N1190" s="5" t="str">
        <f>IFERROR(VLOOKUP(E1190,Specifications!$A$2:$D$9,3,FALSE),"")</f>
        <v/>
      </c>
      <c r="O1190" s="5" t="str">
        <f>IFERROR(VLOOKUP(E1190,Specifications!$A$2:$D$9,4,FALSE),"")</f>
        <v/>
      </c>
      <c r="P1190" s="8" t="str">
        <f t="shared" si="57"/>
        <v/>
      </c>
      <c r="Q1190" s="9"/>
    </row>
    <row r="1191" spans="1:17" ht="15">
      <c r="A1191" s="5" t="str">
        <f t="shared" si="55"/>
        <v/>
      </c>
      <c r="B1191" s="6"/>
      <c r="C1191" s="5" t="str">
        <f>IFERROR(VLOOKUP(B1191,Lists!$A$2:$B$25,2,FALSE),"")</f>
        <v/>
      </c>
      <c r="D1191" s="7"/>
      <c r="E1191" s="6"/>
      <c r="F1191" s="6" t="str">
        <f t="shared" si="56"/>
        <v/>
      </c>
      <c r="G1191" s="6"/>
      <c r="H1191" s="6"/>
      <c r="I1191" s="6"/>
      <c r="J1191" s="7"/>
      <c r="K1191" s="5" t="str" cm="1">
        <f t="array" ref="K1191">IF(OR(A1191="",B1191="",D1191="",E1191=""),"",A1191&amp;"_"&amp;SUBSTITUTE(B1191," ","-")&amp;"_"&amp;D1191&amp;"_"&amp;SUBSTITUTE(SUBSTITUTE(E1191," ",""),"€","Euro")&amp;"_"&amp;IF(F1191="","Unknown",F1191)&amp;IF(F1191="Commemorative",IF(G1191="","","_"&amp;SUBSTITUTE(SUBSTITUTE(SUBSTITUTE(G1191," ","-"),"/","-"),CHAR(39),"")),"")&amp;IF(I1191="Duplicate","_Dub"&amp;IF(SUMPRODUCT(($B$2:B1191=B1191)*($D$2:D1191=D1191)*($E$2:E1191=E1191)*($F$2:F1191=F1191)*($G$2:G1191=G1191)*($I$2:I1191="Duplicate"))&lt;=1,"",SUMPRODUCT(($B$2:B1191=B1191)*($D$2:D1191=D1191)*($E$2:E1191=E1191)*($F$2:F1191=F1191)*($G$2:G1191=G1191)*($I$2:I1191="Duplicate"))-1),"")&amp;".jpeg")</f>
        <v/>
      </c>
      <c r="L1191" s="6"/>
      <c r="M1191" s="5" t="str">
        <f>IFERROR(VLOOKUP(E1191,Specifications!$A$2:$D$9,2,FALSE),"")</f>
        <v/>
      </c>
      <c r="N1191" s="5" t="str">
        <f>IFERROR(VLOOKUP(E1191,Specifications!$A$2:$D$9,3,FALSE),"")</f>
        <v/>
      </c>
      <c r="O1191" s="5" t="str">
        <f>IFERROR(VLOOKUP(E1191,Specifications!$A$2:$D$9,4,FALSE),"")</f>
        <v/>
      </c>
      <c r="P1191" s="8" t="str">
        <f t="shared" si="57"/>
        <v/>
      </c>
      <c r="Q1191" s="9"/>
    </row>
    <row r="1192" spans="1:17" ht="15">
      <c r="A1192" s="5" t="str">
        <f t="shared" si="55"/>
        <v/>
      </c>
      <c r="B1192" s="6"/>
      <c r="C1192" s="5" t="str">
        <f>IFERROR(VLOOKUP(B1192,Lists!$A$2:$B$25,2,FALSE),"")</f>
        <v/>
      </c>
      <c r="D1192" s="7"/>
      <c r="E1192" s="6"/>
      <c r="F1192" s="6" t="str">
        <f t="shared" si="56"/>
        <v/>
      </c>
      <c r="G1192" s="6"/>
      <c r="H1192" s="6"/>
      <c r="I1192" s="6"/>
      <c r="J1192" s="7"/>
      <c r="K1192" s="5" t="str" cm="1">
        <f t="array" ref="K1192">IF(OR(A1192="",B1192="",D1192="",E1192=""),"",A1192&amp;"_"&amp;SUBSTITUTE(B1192," ","-")&amp;"_"&amp;D1192&amp;"_"&amp;SUBSTITUTE(SUBSTITUTE(E1192," ",""),"€","Euro")&amp;"_"&amp;IF(F1192="","Unknown",F1192)&amp;IF(F1192="Commemorative",IF(G1192="","","_"&amp;SUBSTITUTE(SUBSTITUTE(SUBSTITUTE(G1192," ","-"),"/","-"),CHAR(39),"")),"")&amp;IF(I1192="Duplicate","_Dub"&amp;IF(SUMPRODUCT(($B$2:B1192=B1192)*($D$2:D1192=D1192)*($E$2:E1192=E1192)*($F$2:F1192=F1192)*($G$2:G1192=G1192)*($I$2:I1192="Duplicate"))&lt;=1,"",SUMPRODUCT(($B$2:B1192=B1192)*($D$2:D1192=D1192)*($E$2:E1192=E1192)*($F$2:F1192=F1192)*($G$2:G1192=G1192)*($I$2:I1192="Duplicate"))-1),"")&amp;".jpeg")</f>
        <v/>
      </c>
      <c r="L1192" s="6"/>
      <c r="M1192" s="5" t="str">
        <f>IFERROR(VLOOKUP(E1192,Specifications!$A$2:$D$9,2,FALSE),"")</f>
        <v/>
      </c>
      <c r="N1192" s="5" t="str">
        <f>IFERROR(VLOOKUP(E1192,Specifications!$A$2:$D$9,3,FALSE),"")</f>
        <v/>
      </c>
      <c r="O1192" s="5" t="str">
        <f>IFERROR(VLOOKUP(E1192,Specifications!$A$2:$D$9,4,FALSE),"")</f>
        <v/>
      </c>
      <c r="P1192" s="8" t="str">
        <f t="shared" si="57"/>
        <v/>
      </c>
      <c r="Q1192" s="9"/>
    </row>
    <row r="1193" spans="1:17" ht="15">
      <c r="A1193" s="5" t="str">
        <f t="shared" si="55"/>
        <v/>
      </c>
      <c r="B1193" s="6"/>
      <c r="C1193" s="5" t="str">
        <f>IFERROR(VLOOKUP(B1193,Lists!$A$2:$B$25,2,FALSE),"")</f>
        <v/>
      </c>
      <c r="D1193" s="7"/>
      <c r="E1193" s="6"/>
      <c r="F1193" s="6" t="str">
        <f t="shared" si="56"/>
        <v/>
      </c>
      <c r="G1193" s="6"/>
      <c r="H1193" s="6"/>
      <c r="I1193" s="6"/>
      <c r="J1193" s="7"/>
      <c r="K1193" s="5" t="str" cm="1">
        <f t="array" ref="K1193">IF(OR(A1193="",B1193="",D1193="",E1193=""),"",A1193&amp;"_"&amp;SUBSTITUTE(B1193," ","-")&amp;"_"&amp;D1193&amp;"_"&amp;SUBSTITUTE(SUBSTITUTE(E1193," ",""),"€","Euro")&amp;"_"&amp;IF(F1193="","Unknown",F1193)&amp;IF(F1193="Commemorative",IF(G1193="","","_"&amp;SUBSTITUTE(SUBSTITUTE(SUBSTITUTE(G1193," ","-"),"/","-"),CHAR(39),"")),"")&amp;IF(I1193="Duplicate","_Dub"&amp;IF(SUMPRODUCT(($B$2:B1193=B1193)*($D$2:D1193=D1193)*($E$2:E1193=E1193)*($F$2:F1193=F1193)*($G$2:G1193=G1193)*($I$2:I1193="Duplicate"))&lt;=1,"",SUMPRODUCT(($B$2:B1193=B1193)*($D$2:D1193=D1193)*($E$2:E1193=E1193)*($F$2:F1193=F1193)*($G$2:G1193=G1193)*($I$2:I1193="Duplicate"))-1),"")&amp;".jpeg")</f>
        <v/>
      </c>
      <c r="L1193" s="6"/>
      <c r="M1193" s="5" t="str">
        <f>IFERROR(VLOOKUP(E1193,Specifications!$A$2:$D$9,2,FALSE),"")</f>
        <v/>
      </c>
      <c r="N1193" s="5" t="str">
        <f>IFERROR(VLOOKUP(E1193,Specifications!$A$2:$D$9,3,FALSE),"")</f>
        <v/>
      </c>
      <c r="O1193" s="5" t="str">
        <f>IFERROR(VLOOKUP(E1193,Specifications!$A$2:$D$9,4,FALSE),"")</f>
        <v/>
      </c>
      <c r="P1193" s="8" t="str">
        <f t="shared" si="57"/>
        <v/>
      </c>
      <c r="Q1193" s="9"/>
    </row>
    <row r="1194" spans="1:17" ht="15">
      <c r="A1194" s="5" t="str">
        <f t="shared" si="55"/>
        <v/>
      </c>
      <c r="B1194" s="6"/>
      <c r="C1194" s="5" t="str">
        <f>IFERROR(VLOOKUP(B1194,Lists!$A$2:$B$25,2,FALSE),"")</f>
        <v/>
      </c>
      <c r="D1194" s="7"/>
      <c r="E1194" s="6"/>
      <c r="F1194" s="6" t="str">
        <f t="shared" si="56"/>
        <v/>
      </c>
      <c r="G1194" s="6"/>
      <c r="H1194" s="6"/>
      <c r="I1194" s="6"/>
      <c r="J1194" s="7"/>
      <c r="K1194" s="5" t="str" cm="1">
        <f t="array" ref="K1194">IF(OR(A1194="",B1194="",D1194="",E1194=""),"",A1194&amp;"_"&amp;SUBSTITUTE(B1194," ","-")&amp;"_"&amp;D1194&amp;"_"&amp;SUBSTITUTE(SUBSTITUTE(E1194," ",""),"€","Euro")&amp;"_"&amp;IF(F1194="","Unknown",F1194)&amp;IF(F1194="Commemorative",IF(G1194="","","_"&amp;SUBSTITUTE(SUBSTITUTE(SUBSTITUTE(G1194," ","-"),"/","-"),CHAR(39),"")),"")&amp;IF(I1194="Duplicate","_Dub"&amp;IF(SUMPRODUCT(($B$2:B1194=B1194)*($D$2:D1194=D1194)*($E$2:E1194=E1194)*($F$2:F1194=F1194)*($G$2:G1194=G1194)*($I$2:I1194="Duplicate"))&lt;=1,"",SUMPRODUCT(($B$2:B1194=B1194)*($D$2:D1194=D1194)*($E$2:E1194=E1194)*($F$2:F1194=F1194)*($G$2:G1194=G1194)*($I$2:I1194="Duplicate"))-1),"")&amp;".jpeg")</f>
        <v/>
      </c>
      <c r="L1194" s="6"/>
      <c r="M1194" s="5" t="str">
        <f>IFERROR(VLOOKUP(E1194,Specifications!$A$2:$D$9,2,FALSE),"")</f>
        <v/>
      </c>
      <c r="N1194" s="5" t="str">
        <f>IFERROR(VLOOKUP(E1194,Specifications!$A$2:$D$9,3,FALSE),"")</f>
        <v/>
      </c>
      <c r="O1194" s="5" t="str">
        <f>IFERROR(VLOOKUP(E1194,Specifications!$A$2:$D$9,4,FALSE),"")</f>
        <v/>
      </c>
      <c r="P1194" s="8" t="str">
        <f t="shared" si="57"/>
        <v/>
      </c>
      <c r="Q1194" s="9"/>
    </row>
    <row r="1195" spans="1:17" ht="15">
      <c r="A1195" s="5" t="str">
        <f t="shared" si="55"/>
        <v/>
      </c>
      <c r="B1195" s="6"/>
      <c r="C1195" s="5" t="str">
        <f>IFERROR(VLOOKUP(B1195,Lists!$A$2:$B$25,2,FALSE),"")</f>
        <v/>
      </c>
      <c r="D1195" s="7"/>
      <c r="E1195" s="6"/>
      <c r="F1195" s="6" t="str">
        <f t="shared" si="56"/>
        <v/>
      </c>
      <c r="G1195" s="6"/>
      <c r="H1195" s="6"/>
      <c r="I1195" s="6"/>
      <c r="J1195" s="7"/>
      <c r="K1195" s="5" t="str" cm="1">
        <f t="array" ref="K1195">IF(OR(A1195="",B1195="",D1195="",E1195=""),"",A1195&amp;"_"&amp;SUBSTITUTE(B1195," ","-")&amp;"_"&amp;D1195&amp;"_"&amp;SUBSTITUTE(SUBSTITUTE(E1195," ",""),"€","Euro")&amp;"_"&amp;IF(F1195="","Unknown",F1195)&amp;IF(F1195="Commemorative",IF(G1195="","","_"&amp;SUBSTITUTE(SUBSTITUTE(SUBSTITUTE(G1195," ","-"),"/","-"),CHAR(39),"")),"")&amp;IF(I1195="Duplicate","_Dub"&amp;IF(SUMPRODUCT(($B$2:B1195=B1195)*($D$2:D1195=D1195)*($E$2:E1195=E1195)*($F$2:F1195=F1195)*($G$2:G1195=G1195)*($I$2:I1195="Duplicate"))&lt;=1,"",SUMPRODUCT(($B$2:B1195=B1195)*($D$2:D1195=D1195)*($E$2:E1195=E1195)*($F$2:F1195=F1195)*($G$2:G1195=G1195)*($I$2:I1195="Duplicate"))-1),"")&amp;".jpeg")</f>
        <v/>
      </c>
      <c r="L1195" s="6"/>
      <c r="M1195" s="5" t="str">
        <f>IFERROR(VLOOKUP(E1195,Specifications!$A$2:$D$9,2,FALSE),"")</f>
        <v/>
      </c>
      <c r="N1195" s="5" t="str">
        <f>IFERROR(VLOOKUP(E1195,Specifications!$A$2:$D$9,3,FALSE),"")</f>
        <v/>
      </c>
      <c r="O1195" s="5" t="str">
        <f>IFERROR(VLOOKUP(E1195,Specifications!$A$2:$D$9,4,FALSE),"")</f>
        <v/>
      </c>
      <c r="P1195" s="8" t="str">
        <f t="shared" si="57"/>
        <v/>
      </c>
      <c r="Q1195" s="9"/>
    </row>
    <row r="1196" spans="1:17" ht="15">
      <c r="A1196" s="5" t="str">
        <f t="shared" si="55"/>
        <v/>
      </c>
      <c r="B1196" s="6"/>
      <c r="C1196" s="5" t="str">
        <f>IFERROR(VLOOKUP(B1196,Lists!$A$2:$B$25,2,FALSE),"")</f>
        <v/>
      </c>
      <c r="D1196" s="7"/>
      <c r="E1196" s="6"/>
      <c r="F1196" s="6" t="str">
        <f t="shared" si="56"/>
        <v/>
      </c>
      <c r="G1196" s="6"/>
      <c r="H1196" s="6"/>
      <c r="I1196" s="6"/>
      <c r="J1196" s="7"/>
      <c r="K1196" s="5" t="str" cm="1">
        <f t="array" ref="K1196">IF(OR(A1196="",B1196="",D1196="",E1196=""),"",A1196&amp;"_"&amp;SUBSTITUTE(B1196," ","-")&amp;"_"&amp;D1196&amp;"_"&amp;SUBSTITUTE(SUBSTITUTE(E1196," ",""),"€","Euro")&amp;"_"&amp;IF(F1196="","Unknown",F1196)&amp;IF(F1196="Commemorative",IF(G1196="","","_"&amp;SUBSTITUTE(SUBSTITUTE(SUBSTITUTE(G1196," ","-"),"/","-"),CHAR(39),"")),"")&amp;IF(I1196="Duplicate","_Dub"&amp;IF(SUMPRODUCT(($B$2:B1196=B1196)*($D$2:D1196=D1196)*($E$2:E1196=E1196)*($F$2:F1196=F1196)*($G$2:G1196=G1196)*($I$2:I1196="Duplicate"))&lt;=1,"",SUMPRODUCT(($B$2:B1196=B1196)*($D$2:D1196=D1196)*($E$2:E1196=E1196)*($F$2:F1196=F1196)*($G$2:G1196=G1196)*($I$2:I1196="Duplicate"))-1),"")&amp;".jpeg")</f>
        <v/>
      </c>
      <c r="L1196" s="6"/>
      <c r="M1196" s="5" t="str">
        <f>IFERROR(VLOOKUP(E1196,Specifications!$A$2:$D$9,2,FALSE),"")</f>
        <v/>
      </c>
      <c r="N1196" s="5" t="str">
        <f>IFERROR(VLOOKUP(E1196,Specifications!$A$2:$D$9,3,FALSE),"")</f>
        <v/>
      </c>
      <c r="O1196" s="5" t="str">
        <f>IFERROR(VLOOKUP(E1196,Specifications!$A$2:$D$9,4,FALSE),"")</f>
        <v/>
      </c>
      <c r="P1196" s="8" t="str">
        <f t="shared" si="57"/>
        <v/>
      </c>
      <c r="Q1196" s="9"/>
    </row>
    <row r="1197" spans="1:17" ht="15">
      <c r="A1197" s="5" t="str">
        <f t="shared" si="55"/>
        <v/>
      </c>
      <c r="B1197" s="6"/>
      <c r="C1197" s="5" t="str">
        <f>IFERROR(VLOOKUP(B1197,Lists!$A$2:$B$25,2,FALSE),"")</f>
        <v/>
      </c>
      <c r="D1197" s="7"/>
      <c r="E1197" s="6"/>
      <c r="F1197" s="6" t="str">
        <f t="shared" si="56"/>
        <v/>
      </c>
      <c r="G1197" s="6"/>
      <c r="H1197" s="6"/>
      <c r="I1197" s="6"/>
      <c r="J1197" s="7"/>
      <c r="K1197" s="5" t="str" cm="1">
        <f t="array" ref="K1197">IF(OR(A1197="",B1197="",D1197="",E1197=""),"",A1197&amp;"_"&amp;SUBSTITUTE(B1197," ","-")&amp;"_"&amp;D1197&amp;"_"&amp;SUBSTITUTE(SUBSTITUTE(E1197," ",""),"€","Euro")&amp;"_"&amp;IF(F1197="","Unknown",F1197)&amp;IF(F1197="Commemorative",IF(G1197="","","_"&amp;SUBSTITUTE(SUBSTITUTE(SUBSTITUTE(G1197," ","-"),"/","-"),CHAR(39),"")),"")&amp;IF(I1197="Duplicate","_Dub"&amp;IF(SUMPRODUCT(($B$2:B1197=B1197)*($D$2:D1197=D1197)*($E$2:E1197=E1197)*($F$2:F1197=F1197)*($G$2:G1197=G1197)*($I$2:I1197="Duplicate"))&lt;=1,"",SUMPRODUCT(($B$2:B1197=B1197)*($D$2:D1197=D1197)*($E$2:E1197=E1197)*($F$2:F1197=F1197)*($G$2:G1197=G1197)*($I$2:I1197="Duplicate"))-1),"")&amp;".jpeg")</f>
        <v/>
      </c>
      <c r="L1197" s="6"/>
      <c r="M1197" s="5" t="str">
        <f>IFERROR(VLOOKUP(E1197,Specifications!$A$2:$D$9,2,FALSE),"")</f>
        <v/>
      </c>
      <c r="N1197" s="5" t="str">
        <f>IFERROR(VLOOKUP(E1197,Specifications!$A$2:$D$9,3,FALSE),"")</f>
        <v/>
      </c>
      <c r="O1197" s="5" t="str">
        <f>IFERROR(VLOOKUP(E1197,Specifications!$A$2:$D$9,4,FALSE),"")</f>
        <v/>
      </c>
      <c r="P1197" s="8" t="str">
        <f t="shared" si="57"/>
        <v/>
      </c>
      <c r="Q1197" s="9"/>
    </row>
    <row r="1198" spans="1:17" ht="15">
      <c r="A1198" s="5" t="str">
        <f t="shared" si="55"/>
        <v/>
      </c>
      <c r="B1198" s="6"/>
      <c r="C1198" s="5" t="str">
        <f>IFERROR(VLOOKUP(B1198,Lists!$A$2:$B$25,2,FALSE),"")</f>
        <v/>
      </c>
      <c r="D1198" s="7"/>
      <c r="E1198" s="6"/>
      <c r="F1198" s="6" t="str">
        <f t="shared" si="56"/>
        <v/>
      </c>
      <c r="G1198" s="6"/>
      <c r="H1198" s="6"/>
      <c r="I1198" s="6"/>
      <c r="J1198" s="7"/>
      <c r="K1198" s="5" t="str" cm="1">
        <f t="array" ref="K1198">IF(OR(A1198="",B1198="",D1198="",E1198=""),"",A1198&amp;"_"&amp;SUBSTITUTE(B1198," ","-")&amp;"_"&amp;D1198&amp;"_"&amp;SUBSTITUTE(SUBSTITUTE(E1198," ",""),"€","Euro")&amp;"_"&amp;IF(F1198="","Unknown",F1198)&amp;IF(F1198="Commemorative",IF(G1198="","","_"&amp;SUBSTITUTE(SUBSTITUTE(SUBSTITUTE(G1198," ","-"),"/","-"),CHAR(39),"")),"")&amp;IF(I1198="Duplicate","_Dub"&amp;IF(SUMPRODUCT(($B$2:B1198=B1198)*($D$2:D1198=D1198)*($E$2:E1198=E1198)*($F$2:F1198=F1198)*($G$2:G1198=G1198)*($I$2:I1198="Duplicate"))&lt;=1,"",SUMPRODUCT(($B$2:B1198=B1198)*($D$2:D1198=D1198)*($E$2:E1198=E1198)*($F$2:F1198=F1198)*($G$2:G1198=G1198)*($I$2:I1198="Duplicate"))-1),"")&amp;".jpeg")</f>
        <v/>
      </c>
      <c r="L1198" s="6"/>
      <c r="M1198" s="5" t="str">
        <f>IFERROR(VLOOKUP(E1198,Specifications!$A$2:$D$9,2,FALSE),"")</f>
        <v/>
      </c>
      <c r="N1198" s="5" t="str">
        <f>IFERROR(VLOOKUP(E1198,Specifications!$A$2:$D$9,3,FALSE),"")</f>
        <v/>
      </c>
      <c r="O1198" s="5" t="str">
        <f>IFERROR(VLOOKUP(E1198,Specifications!$A$2:$D$9,4,FALSE),"")</f>
        <v/>
      </c>
      <c r="P1198" s="8" t="str">
        <f t="shared" si="57"/>
        <v/>
      </c>
      <c r="Q1198" s="9"/>
    </row>
    <row r="1199" spans="1:17" ht="15">
      <c r="A1199" s="5" t="str">
        <f t="shared" si="55"/>
        <v/>
      </c>
      <c r="B1199" s="6"/>
      <c r="C1199" s="5" t="str">
        <f>IFERROR(VLOOKUP(B1199,Lists!$A$2:$B$25,2,FALSE),"")</f>
        <v/>
      </c>
      <c r="D1199" s="7"/>
      <c r="E1199" s="6"/>
      <c r="F1199" s="6" t="str">
        <f t="shared" si="56"/>
        <v/>
      </c>
      <c r="G1199" s="6"/>
      <c r="H1199" s="6"/>
      <c r="I1199" s="6"/>
      <c r="J1199" s="7"/>
      <c r="K1199" s="5" t="str" cm="1">
        <f t="array" ref="K1199">IF(OR(A1199="",B1199="",D1199="",E1199=""),"",A1199&amp;"_"&amp;SUBSTITUTE(B1199," ","-")&amp;"_"&amp;D1199&amp;"_"&amp;SUBSTITUTE(SUBSTITUTE(E1199," ",""),"€","Euro")&amp;"_"&amp;IF(F1199="","Unknown",F1199)&amp;IF(F1199="Commemorative",IF(G1199="","","_"&amp;SUBSTITUTE(SUBSTITUTE(SUBSTITUTE(G1199," ","-"),"/","-"),CHAR(39),"")),"")&amp;IF(I1199="Duplicate","_Dub"&amp;IF(SUMPRODUCT(($B$2:B1199=B1199)*($D$2:D1199=D1199)*($E$2:E1199=E1199)*($F$2:F1199=F1199)*($G$2:G1199=G1199)*($I$2:I1199="Duplicate"))&lt;=1,"",SUMPRODUCT(($B$2:B1199=B1199)*($D$2:D1199=D1199)*($E$2:E1199=E1199)*($F$2:F1199=F1199)*($G$2:G1199=G1199)*($I$2:I1199="Duplicate"))-1),"")&amp;".jpeg")</f>
        <v/>
      </c>
      <c r="L1199" s="6"/>
      <c r="M1199" s="5" t="str">
        <f>IFERROR(VLOOKUP(E1199,Specifications!$A$2:$D$9,2,FALSE),"")</f>
        <v/>
      </c>
      <c r="N1199" s="5" t="str">
        <f>IFERROR(VLOOKUP(E1199,Specifications!$A$2:$D$9,3,FALSE),"")</f>
        <v/>
      </c>
      <c r="O1199" s="5" t="str">
        <f>IFERROR(VLOOKUP(E1199,Specifications!$A$2:$D$9,4,FALSE),"")</f>
        <v/>
      </c>
      <c r="P1199" s="8" t="str">
        <f t="shared" si="57"/>
        <v/>
      </c>
      <c r="Q1199" s="9"/>
    </row>
    <row r="1200" spans="1:17" ht="15">
      <c r="A1200" s="5" t="str">
        <f t="shared" si="55"/>
        <v/>
      </c>
      <c r="B1200" s="6"/>
      <c r="C1200" s="5" t="str">
        <f>IFERROR(VLOOKUP(B1200,Lists!$A$2:$B$25,2,FALSE),"")</f>
        <v/>
      </c>
      <c r="D1200" s="7"/>
      <c r="E1200" s="6"/>
      <c r="F1200" s="6" t="str">
        <f t="shared" si="56"/>
        <v/>
      </c>
      <c r="G1200" s="6"/>
      <c r="H1200" s="6"/>
      <c r="I1200" s="6"/>
      <c r="J1200" s="7"/>
      <c r="K1200" s="5" t="str" cm="1">
        <f t="array" ref="K1200">IF(OR(A1200="",B1200="",D1200="",E1200=""),"",A1200&amp;"_"&amp;SUBSTITUTE(B1200," ","-")&amp;"_"&amp;D1200&amp;"_"&amp;SUBSTITUTE(SUBSTITUTE(E1200," ",""),"€","Euro")&amp;"_"&amp;IF(F1200="","Unknown",F1200)&amp;IF(F1200="Commemorative",IF(G1200="","","_"&amp;SUBSTITUTE(SUBSTITUTE(SUBSTITUTE(G1200," ","-"),"/","-"),CHAR(39),"")),"")&amp;IF(I1200="Duplicate","_Dub"&amp;IF(SUMPRODUCT(($B$2:B1200=B1200)*($D$2:D1200=D1200)*($E$2:E1200=E1200)*($F$2:F1200=F1200)*($G$2:G1200=G1200)*($I$2:I1200="Duplicate"))&lt;=1,"",SUMPRODUCT(($B$2:B1200=B1200)*($D$2:D1200=D1200)*($E$2:E1200=E1200)*($F$2:F1200=F1200)*($G$2:G1200=G1200)*($I$2:I1200="Duplicate"))-1),"")&amp;".jpeg")</f>
        <v/>
      </c>
      <c r="L1200" s="6"/>
      <c r="M1200" s="5" t="str">
        <f>IFERROR(VLOOKUP(E1200,Specifications!$A$2:$D$9,2,FALSE),"")</f>
        <v/>
      </c>
      <c r="N1200" s="5" t="str">
        <f>IFERROR(VLOOKUP(E1200,Specifications!$A$2:$D$9,3,FALSE),"")</f>
        <v/>
      </c>
      <c r="O1200" s="5" t="str">
        <f>IFERROR(VLOOKUP(E1200,Specifications!$A$2:$D$9,4,FALSE),"")</f>
        <v/>
      </c>
      <c r="P1200" s="8" t="str">
        <f t="shared" si="57"/>
        <v/>
      </c>
      <c r="Q1200" s="9"/>
    </row>
    <row r="1201" spans="1:17" ht="15">
      <c r="A1201" s="5" t="str">
        <f t="shared" si="55"/>
        <v/>
      </c>
      <c r="B1201" s="6"/>
      <c r="C1201" s="5" t="str">
        <f>IFERROR(VLOOKUP(B1201,Lists!$A$2:$B$25,2,FALSE),"")</f>
        <v/>
      </c>
      <c r="D1201" s="7"/>
      <c r="E1201" s="6"/>
      <c r="F1201" s="6" t="str">
        <f t="shared" si="56"/>
        <v/>
      </c>
      <c r="G1201" s="6"/>
      <c r="H1201" s="6"/>
      <c r="I1201" s="6"/>
      <c r="J1201" s="7"/>
      <c r="K1201" s="5" t="str" cm="1">
        <f t="array" ref="K1201">IF(OR(A1201="",B1201="",D1201="",E1201=""),"",A1201&amp;"_"&amp;SUBSTITUTE(B1201," ","-")&amp;"_"&amp;D1201&amp;"_"&amp;SUBSTITUTE(SUBSTITUTE(E1201," ",""),"€","Euro")&amp;"_"&amp;IF(F1201="","Unknown",F1201)&amp;IF(F1201="Commemorative",IF(G1201="","","_"&amp;SUBSTITUTE(SUBSTITUTE(SUBSTITUTE(G1201," ","-"),"/","-"),CHAR(39),"")),"")&amp;IF(I1201="Duplicate","_Dub"&amp;IF(SUMPRODUCT(($B$2:B1201=B1201)*($D$2:D1201=D1201)*($E$2:E1201=E1201)*($F$2:F1201=F1201)*($G$2:G1201=G1201)*($I$2:I1201="Duplicate"))&lt;=1,"",SUMPRODUCT(($B$2:B1201=B1201)*($D$2:D1201=D1201)*($E$2:E1201=E1201)*($F$2:F1201=F1201)*($G$2:G1201=G1201)*($I$2:I1201="Duplicate"))-1),"")&amp;".jpeg")</f>
        <v/>
      </c>
      <c r="L1201" s="6"/>
      <c r="M1201" s="5" t="str">
        <f>IFERROR(VLOOKUP(E1201,Specifications!$A$2:$D$9,2,FALSE),"")</f>
        <v/>
      </c>
      <c r="N1201" s="5" t="str">
        <f>IFERROR(VLOOKUP(E1201,Specifications!$A$2:$D$9,3,FALSE),"")</f>
        <v/>
      </c>
      <c r="O1201" s="5" t="str">
        <f>IFERROR(VLOOKUP(E1201,Specifications!$A$2:$D$9,4,FALSE),"")</f>
        <v/>
      </c>
      <c r="P1201" s="8" t="str">
        <f t="shared" si="57"/>
        <v/>
      </c>
      <c r="Q1201" s="9"/>
    </row>
    <row r="1202" spans="1:17" ht="15">
      <c r="A1202" s="5" t="str">
        <f t="shared" si="55"/>
        <v/>
      </c>
      <c r="B1202" s="6"/>
      <c r="C1202" s="5" t="str">
        <f>IFERROR(VLOOKUP(B1202,Lists!$A$2:$B$25,2,FALSE),"")</f>
        <v/>
      </c>
      <c r="D1202" s="7"/>
      <c r="E1202" s="6"/>
      <c r="F1202" s="6" t="str">
        <f t="shared" si="56"/>
        <v/>
      </c>
      <c r="G1202" s="6"/>
      <c r="H1202" s="6"/>
      <c r="I1202" s="6"/>
      <c r="J1202" s="7"/>
      <c r="K1202" s="5" t="str" cm="1">
        <f t="array" ref="K1202">IF(OR(A1202="",B1202="",D1202="",E1202=""),"",A1202&amp;"_"&amp;SUBSTITUTE(B1202," ","-")&amp;"_"&amp;D1202&amp;"_"&amp;SUBSTITUTE(SUBSTITUTE(E1202," ",""),"€","Euro")&amp;"_"&amp;IF(F1202="","Unknown",F1202)&amp;IF(F1202="Commemorative",IF(G1202="","","_"&amp;SUBSTITUTE(SUBSTITUTE(SUBSTITUTE(G1202," ","-"),"/","-"),CHAR(39),"")),"")&amp;IF(I1202="Duplicate","_Dub"&amp;IF(SUMPRODUCT(($B$2:B1202=B1202)*($D$2:D1202=D1202)*($E$2:E1202=E1202)*($F$2:F1202=F1202)*($G$2:G1202=G1202)*($I$2:I1202="Duplicate"))&lt;=1,"",SUMPRODUCT(($B$2:B1202=B1202)*($D$2:D1202=D1202)*($E$2:E1202=E1202)*($F$2:F1202=F1202)*($G$2:G1202=G1202)*($I$2:I1202="Duplicate"))-1),"")&amp;".jpeg")</f>
        <v/>
      </c>
      <c r="L1202" s="6"/>
      <c r="M1202" s="5" t="str">
        <f>IFERROR(VLOOKUP(E1202,Specifications!$A$2:$D$9,2,FALSE),"")</f>
        <v/>
      </c>
      <c r="N1202" s="5" t="str">
        <f>IFERROR(VLOOKUP(E1202,Specifications!$A$2:$D$9,3,FALSE),"")</f>
        <v/>
      </c>
      <c r="O1202" s="5" t="str">
        <f>IFERROR(VLOOKUP(E1202,Specifications!$A$2:$D$9,4,FALSE),"")</f>
        <v/>
      </c>
      <c r="P1202" s="8" t="str">
        <f t="shared" si="57"/>
        <v/>
      </c>
      <c r="Q1202" s="9"/>
    </row>
    <row r="1203" spans="1:17" ht="15">
      <c r="A1203" s="5" t="str">
        <f t="shared" si="55"/>
        <v/>
      </c>
      <c r="B1203" s="6"/>
      <c r="C1203" s="5" t="str">
        <f>IFERROR(VLOOKUP(B1203,Lists!$A$2:$B$25,2,FALSE),"")</f>
        <v/>
      </c>
      <c r="D1203" s="7"/>
      <c r="E1203" s="6"/>
      <c r="F1203" s="6" t="str">
        <f t="shared" si="56"/>
        <v/>
      </c>
      <c r="G1203" s="6"/>
      <c r="H1203" s="6"/>
      <c r="I1203" s="6"/>
      <c r="J1203" s="7"/>
      <c r="K1203" s="5" t="str" cm="1">
        <f t="array" ref="K1203">IF(OR(A1203="",B1203="",D1203="",E1203=""),"",A1203&amp;"_"&amp;SUBSTITUTE(B1203," ","-")&amp;"_"&amp;D1203&amp;"_"&amp;SUBSTITUTE(SUBSTITUTE(E1203," ",""),"€","Euro")&amp;"_"&amp;IF(F1203="","Unknown",F1203)&amp;IF(F1203="Commemorative",IF(G1203="","","_"&amp;SUBSTITUTE(SUBSTITUTE(SUBSTITUTE(G1203," ","-"),"/","-"),CHAR(39),"")),"")&amp;IF(I1203="Duplicate","_Dub"&amp;IF(SUMPRODUCT(($B$2:B1203=B1203)*($D$2:D1203=D1203)*($E$2:E1203=E1203)*($F$2:F1203=F1203)*($G$2:G1203=G1203)*($I$2:I1203="Duplicate"))&lt;=1,"",SUMPRODUCT(($B$2:B1203=B1203)*($D$2:D1203=D1203)*($E$2:E1203=E1203)*($F$2:F1203=F1203)*($G$2:G1203=G1203)*($I$2:I1203="Duplicate"))-1),"")&amp;".jpeg")</f>
        <v/>
      </c>
      <c r="L1203" s="6"/>
      <c r="M1203" s="5" t="str">
        <f>IFERROR(VLOOKUP(E1203,Specifications!$A$2:$D$9,2,FALSE),"")</f>
        <v/>
      </c>
      <c r="N1203" s="5" t="str">
        <f>IFERROR(VLOOKUP(E1203,Specifications!$A$2:$D$9,3,FALSE),"")</f>
        <v/>
      </c>
      <c r="O1203" s="5" t="str">
        <f>IFERROR(VLOOKUP(E1203,Specifications!$A$2:$D$9,4,FALSE),"")</f>
        <v/>
      </c>
      <c r="P1203" s="8" t="str">
        <f t="shared" si="57"/>
        <v/>
      </c>
      <c r="Q1203" s="9"/>
    </row>
    <row r="1204" spans="1:17" ht="15">
      <c r="A1204" s="5" t="str">
        <f t="shared" si="55"/>
        <v/>
      </c>
      <c r="B1204" s="6"/>
      <c r="C1204" s="5" t="str">
        <f>IFERROR(VLOOKUP(B1204,Lists!$A$2:$B$25,2,FALSE),"")</f>
        <v/>
      </c>
      <c r="D1204" s="7"/>
      <c r="E1204" s="6"/>
      <c r="F1204" s="6" t="str">
        <f t="shared" si="56"/>
        <v/>
      </c>
      <c r="G1204" s="6"/>
      <c r="H1204" s="6"/>
      <c r="I1204" s="6"/>
      <c r="J1204" s="7"/>
      <c r="K1204" s="5" t="str" cm="1">
        <f t="array" ref="K1204">IF(OR(A1204="",B1204="",D1204="",E1204=""),"",A1204&amp;"_"&amp;SUBSTITUTE(B1204," ","-")&amp;"_"&amp;D1204&amp;"_"&amp;SUBSTITUTE(SUBSTITUTE(E1204," ",""),"€","Euro")&amp;"_"&amp;IF(F1204="","Unknown",F1204)&amp;IF(F1204="Commemorative",IF(G1204="","","_"&amp;SUBSTITUTE(SUBSTITUTE(SUBSTITUTE(G1204," ","-"),"/","-"),CHAR(39),"")),"")&amp;IF(I1204="Duplicate","_Dub"&amp;IF(SUMPRODUCT(($B$2:B1204=B1204)*($D$2:D1204=D1204)*($E$2:E1204=E1204)*($F$2:F1204=F1204)*($G$2:G1204=G1204)*($I$2:I1204="Duplicate"))&lt;=1,"",SUMPRODUCT(($B$2:B1204=B1204)*($D$2:D1204=D1204)*($E$2:E1204=E1204)*($F$2:F1204=F1204)*($G$2:G1204=G1204)*($I$2:I1204="Duplicate"))-1),"")&amp;".jpeg")</f>
        <v/>
      </c>
      <c r="L1204" s="6"/>
      <c r="M1204" s="5" t="str">
        <f>IFERROR(VLOOKUP(E1204,Specifications!$A$2:$D$9,2,FALSE),"")</f>
        <v/>
      </c>
      <c r="N1204" s="5" t="str">
        <f>IFERROR(VLOOKUP(E1204,Specifications!$A$2:$D$9,3,FALSE),"")</f>
        <v/>
      </c>
      <c r="O1204" s="5" t="str">
        <f>IFERROR(VLOOKUP(E1204,Specifications!$A$2:$D$9,4,FALSE),"")</f>
        <v/>
      </c>
      <c r="P1204" s="8" t="str">
        <f t="shared" si="57"/>
        <v/>
      </c>
      <c r="Q1204" s="9"/>
    </row>
    <row r="1205" spans="1:17" ht="15">
      <c r="A1205" s="5" t="str">
        <f t="shared" si="55"/>
        <v/>
      </c>
      <c r="B1205" s="6"/>
      <c r="C1205" s="5" t="str">
        <f>IFERROR(VLOOKUP(B1205,Lists!$A$2:$B$25,2,FALSE),"")</f>
        <v/>
      </c>
      <c r="D1205" s="7"/>
      <c r="E1205" s="6"/>
      <c r="F1205" s="6" t="str">
        <f t="shared" si="56"/>
        <v/>
      </c>
      <c r="G1205" s="6"/>
      <c r="H1205" s="6"/>
      <c r="I1205" s="6"/>
      <c r="J1205" s="7"/>
      <c r="K1205" s="5" t="str" cm="1">
        <f t="array" ref="K1205">IF(OR(A1205="",B1205="",D1205="",E1205=""),"",A1205&amp;"_"&amp;SUBSTITUTE(B1205," ","-")&amp;"_"&amp;D1205&amp;"_"&amp;SUBSTITUTE(SUBSTITUTE(E1205," ",""),"€","Euro")&amp;"_"&amp;IF(F1205="","Unknown",F1205)&amp;IF(F1205="Commemorative",IF(G1205="","","_"&amp;SUBSTITUTE(SUBSTITUTE(SUBSTITUTE(G1205," ","-"),"/","-"),CHAR(39),"")),"")&amp;IF(I1205="Duplicate","_Dub"&amp;IF(SUMPRODUCT(($B$2:B1205=B1205)*($D$2:D1205=D1205)*($E$2:E1205=E1205)*($F$2:F1205=F1205)*($G$2:G1205=G1205)*($I$2:I1205="Duplicate"))&lt;=1,"",SUMPRODUCT(($B$2:B1205=B1205)*($D$2:D1205=D1205)*($E$2:E1205=E1205)*($F$2:F1205=F1205)*($G$2:G1205=G1205)*($I$2:I1205="Duplicate"))-1),"")&amp;".jpeg")</f>
        <v/>
      </c>
      <c r="L1205" s="6"/>
      <c r="M1205" s="5" t="str">
        <f>IFERROR(VLOOKUP(E1205,Specifications!$A$2:$D$9,2,FALSE),"")</f>
        <v/>
      </c>
      <c r="N1205" s="5" t="str">
        <f>IFERROR(VLOOKUP(E1205,Specifications!$A$2:$D$9,3,FALSE),"")</f>
        <v/>
      </c>
      <c r="O1205" s="5" t="str">
        <f>IFERROR(VLOOKUP(E1205,Specifications!$A$2:$D$9,4,FALSE),"")</f>
        <v/>
      </c>
      <c r="P1205" s="8" t="str">
        <f t="shared" si="57"/>
        <v/>
      </c>
      <c r="Q1205" s="9"/>
    </row>
    <row r="1206" spans="1:17" ht="15">
      <c r="A1206" s="5" t="str">
        <f t="shared" si="55"/>
        <v/>
      </c>
      <c r="B1206" s="6"/>
      <c r="C1206" s="5" t="str">
        <f>IFERROR(VLOOKUP(B1206,Lists!$A$2:$B$25,2,FALSE),"")</f>
        <v/>
      </c>
      <c r="D1206" s="7"/>
      <c r="E1206" s="6"/>
      <c r="F1206" s="6" t="str">
        <f t="shared" si="56"/>
        <v/>
      </c>
      <c r="G1206" s="6"/>
      <c r="H1206" s="6"/>
      <c r="I1206" s="6"/>
      <c r="J1206" s="7"/>
      <c r="K1206" s="5" t="str" cm="1">
        <f t="array" ref="K1206">IF(OR(A1206="",B1206="",D1206="",E1206=""),"",A1206&amp;"_"&amp;SUBSTITUTE(B1206," ","-")&amp;"_"&amp;D1206&amp;"_"&amp;SUBSTITUTE(SUBSTITUTE(E1206," ",""),"€","Euro")&amp;"_"&amp;IF(F1206="","Unknown",F1206)&amp;IF(F1206="Commemorative",IF(G1206="","","_"&amp;SUBSTITUTE(SUBSTITUTE(SUBSTITUTE(G1206," ","-"),"/","-"),CHAR(39),"")),"")&amp;IF(I1206="Duplicate","_Dub"&amp;IF(SUMPRODUCT(($B$2:B1206=B1206)*($D$2:D1206=D1206)*($E$2:E1206=E1206)*($F$2:F1206=F1206)*($G$2:G1206=G1206)*($I$2:I1206="Duplicate"))&lt;=1,"",SUMPRODUCT(($B$2:B1206=B1206)*($D$2:D1206=D1206)*($E$2:E1206=E1206)*($F$2:F1206=F1206)*($G$2:G1206=G1206)*($I$2:I1206="Duplicate"))-1),"")&amp;".jpeg")</f>
        <v/>
      </c>
      <c r="L1206" s="6"/>
      <c r="M1206" s="5" t="str">
        <f>IFERROR(VLOOKUP(E1206,Specifications!$A$2:$D$9,2,FALSE),"")</f>
        <v/>
      </c>
      <c r="N1206" s="5" t="str">
        <f>IFERROR(VLOOKUP(E1206,Specifications!$A$2:$D$9,3,FALSE),"")</f>
        <v/>
      </c>
      <c r="O1206" s="5" t="str">
        <f>IFERROR(VLOOKUP(E1206,Specifications!$A$2:$D$9,4,FALSE),"")</f>
        <v/>
      </c>
      <c r="P1206" s="8" t="str">
        <f t="shared" si="57"/>
        <v/>
      </c>
      <c r="Q1206" s="9"/>
    </row>
    <row r="1207" spans="1:17" ht="15">
      <c r="A1207" s="5" t="str">
        <f t="shared" si="55"/>
        <v/>
      </c>
      <c r="B1207" s="6"/>
      <c r="C1207" s="5" t="str">
        <f>IFERROR(VLOOKUP(B1207,Lists!$A$2:$B$25,2,FALSE),"")</f>
        <v/>
      </c>
      <c r="D1207" s="7"/>
      <c r="E1207" s="6"/>
      <c r="F1207" s="6" t="str">
        <f t="shared" si="56"/>
        <v/>
      </c>
      <c r="G1207" s="6"/>
      <c r="H1207" s="6"/>
      <c r="I1207" s="6"/>
      <c r="J1207" s="7"/>
      <c r="K1207" s="5" t="str" cm="1">
        <f t="array" ref="K1207">IF(OR(A1207="",B1207="",D1207="",E1207=""),"",A1207&amp;"_"&amp;SUBSTITUTE(B1207," ","-")&amp;"_"&amp;D1207&amp;"_"&amp;SUBSTITUTE(SUBSTITUTE(E1207," ",""),"€","Euro")&amp;"_"&amp;IF(F1207="","Unknown",F1207)&amp;IF(F1207="Commemorative",IF(G1207="","","_"&amp;SUBSTITUTE(SUBSTITUTE(SUBSTITUTE(G1207," ","-"),"/","-"),CHAR(39),"")),"")&amp;IF(I1207="Duplicate","_Dub"&amp;IF(SUMPRODUCT(($B$2:B1207=B1207)*($D$2:D1207=D1207)*($E$2:E1207=E1207)*($F$2:F1207=F1207)*($G$2:G1207=G1207)*($I$2:I1207="Duplicate"))&lt;=1,"",SUMPRODUCT(($B$2:B1207=B1207)*($D$2:D1207=D1207)*($E$2:E1207=E1207)*($F$2:F1207=F1207)*($G$2:G1207=G1207)*($I$2:I1207="Duplicate"))-1),"")&amp;".jpeg")</f>
        <v/>
      </c>
      <c r="L1207" s="6"/>
      <c r="M1207" s="5" t="str">
        <f>IFERROR(VLOOKUP(E1207,Specifications!$A$2:$D$9,2,FALSE),"")</f>
        <v/>
      </c>
      <c r="N1207" s="5" t="str">
        <f>IFERROR(VLOOKUP(E1207,Specifications!$A$2:$D$9,3,FALSE),"")</f>
        <v/>
      </c>
      <c r="O1207" s="5" t="str">
        <f>IFERROR(VLOOKUP(E1207,Specifications!$A$2:$D$9,4,FALSE),"")</f>
        <v/>
      </c>
      <c r="P1207" s="8" t="str">
        <f t="shared" si="57"/>
        <v/>
      </c>
      <c r="Q1207" s="9"/>
    </row>
    <row r="1208" spans="1:17" ht="15">
      <c r="A1208" s="5" t="str">
        <f t="shared" si="55"/>
        <v/>
      </c>
      <c r="B1208" s="6"/>
      <c r="C1208" s="5" t="str">
        <f>IFERROR(VLOOKUP(B1208,Lists!$A$2:$B$25,2,FALSE),"")</f>
        <v/>
      </c>
      <c r="D1208" s="7"/>
      <c r="E1208" s="6"/>
      <c r="F1208" s="6" t="str">
        <f t="shared" si="56"/>
        <v/>
      </c>
      <c r="G1208" s="6"/>
      <c r="H1208" s="6"/>
      <c r="I1208" s="6"/>
      <c r="J1208" s="7"/>
      <c r="K1208" s="5" t="str" cm="1">
        <f t="array" ref="K1208">IF(OR(A1208="",B1208="",D1208="",E1208=""),"",A1208&amp;"_"&amp;SUBSTITUTE(B1208," ","-")&amp;"_"&amp;D1208&amp;"_"&amp;SUBSTITUTE(SUBSTITUTE(E1208," ",""),"€","Euro")&amp;"_"&amp;IF(F1208="","Unknown",F1208)&amp;IF(F1208="Commemorative",IF(G1208="","","_"&amp;SUBSTITUTE(SUBSTITUTE(SUBSTITUTE(G1208," ","-"),"/","-"),CHAR(39),"")),"")&amp;IF(I1208="Duplicate","_Dub"&amp;IF(SUMPRODUCT(($B$2:B1208=B1208)*($D$2:D1208=D1208)*($E$2:E1208=E1208)*($F$2:F1208=F1208)*($G$2:G1208=G1208)*($I$2:I1208="Duplicate"))&lt;=1,"",SUMPRODUCT(($B$2:B1208=B1208)*($D$2:D1208=D1208)*($E$2:E1208=E1208)*($F$2:F1208=F1208)*($G$2:G1208=G1208)*($I$2:I1208="Duplicate"))-1),"")&amp;".jpeg")</f>
        <v/>
      </c>
      <c r="L1208" s="6"/>
      <c r="M1208" s="5" t="str">
        <f>IFERROR(VLOOKUP(E1208,Specifications!$A$2:$D$9,2,FALSE),"")</f>
        <v/>
      </c>
      <c r="N1208" s="5" t="str">
        <f>IFERROR(VLOOKUP(E1208,Specifications!$A$2:$D$9,3,FALSE),"")</f>
        <v/>
      </c>
      <c r="O1208" s="5" t="str">
        <f>IFERROR(VLOOKUP(E1208,Specifications!$A$2:$D$9,4,FALSE),"")</f>
        <v/>
      </c>
      <c r="P1208" s="8" t="str">
        <f t="shared" si="57"/>
        <v/>
      </c>
      <c r="Q1208" s="9"/>
    </row>
    <row r="1209" spans="1:17" ht="15">
      <c r="A1209" s="5" t="str">
        <f t="shared" si="55"/>
        <v/>
      </c>
      <c r="B1209" s="6"/>
      <c r="C1209" s="5" t="str">
        <f>IFERROR(VLOOKUP(B1209,Lists!$A$2:$B$25,2,FALSE),"")</f>
        <v/>
      </c>
      <c r="D1209" s="7"/>
      <c r="E1209" s="6"/>
      <c r="F1209" s="6" t="str">
        <f t="shared" si="56"/>
        <v/>
      </c>
      <c r="G1209" s="6"/>
      <c r="H1209" s="6"/>
      <c r="I1209" s="6"/>
      <c r="J1209" s="7"/>
      <c r="K1209" s="5" t="str" cm="1">
        <f t="array" ref="K1209">IF(OR(A1209="",B1209="",D1209="",E1209=""),"",A1209&amp;"_"&amp;SUBSTITUTE(B1209," ","-")&amp;"_"&amp;D1209&amp;"_"&amp;SUBSTITUTE(SUBSTITUTE(E1209," ",""),"€","Euro")&amp;"_"&amp;IF(F1209="","Unknown",F1209)&amp;IF(F1209="Commemorative",IF(G1209="","","_"&amp;SUBSTITUTE(SUBSTITUTE(SUBSTITUTE(G1209," ","-"),"/","-"),CHAR(39),"")),"")&amp;IF(I1209="Duplicate","_Dub"&amp;IF(SUMPRODUCT(($B$2:B1209=B1209)*($D$2:D1209=D1209)*($E$2:E1209=E1209)*($F$2:F1209=F1209)*($G$2:G1209=G1209)*($I$2:I1209="Duplicate"))&lt;=1,"",SUMPRODUCT(($B$2:B1209=B1209)*($D$2:D1209=D1209)*($E$2:E1209=E1209)*($F$2:F1209=F1209)*($G$2:G1209=G1209)*($I$2:I1209="Duplicate"))-1),"")&amp;".jpeg")</f>
        <v/>
      </c>
      <c r="L1209" s="6"/>
      <c r="M1209" s="5" t="str">
        <f>IFERROR(VLOOKUP(E1209,Specifications!$A$2:$D$9,2,FALSE),"")</f>
        <v/>
      </c>
      <c r="N1209" s="5" t="str">
        <f>IFERROR(VLOOKUP(E1209,Specifications!$A$2:$D$9,3,FALSE),"")</f>
        <v/>
      </c>
      <c r="O1209" s="5" t="str">
        <f>IFERROR(VLOOKUP(E1209,Specifications!$A$2:$D$9,4,FALSE),"")</f>
        <v/>
      </c>
      <c r="P1209" s="8" t="str">
        <f t="shared" si="57"/>
        <v/>
      </c>
      <c r="Q1209" s="9"/>
    </row>
    <row r="1210" spans="1:17" ht="15">
      <c r="A1210" s="5" t="str">
        <f t="shared" si="55"/>
        <v/>
      </c>
      <c r="B1210" s="6"/>
      <c r="C1210" s="5" t="str">
        <f>IFERROR(VLOOKUP(B1210,Lists!$A$2:$B$25,2,FALSE),"")</f>
        <v/>
      </c>
      <c r="D1210" s="7"/>
      <c r="E1210" s="6"/>
      <c r="F1210" s="6" t="str">
        <f t="shared" si="56"/>
        <v/>
      </c>
      <c r="G1210" s="6"/>
      <c r="H1210" s="6"/>
      <c r="I1210" s="6"/>
      <c r="J1210" s="7"/>
      <c r="K1210" s="5" t="str" cm="1">
        <f t="array" ref="K1210">IF(OR(A1210="",B1210="",D1210="",E1210=""),"",A1210&amp;"_"&amp;SUBSTITUTE(B1210," ","-")&amp;"_"&amp;D1210&amp;"_"&amp;SUBSTITUTE(SUBSTITUTE(E1210," ",""),"€","Euro")&amp;"_"&amp;IF(F1210="","Unknown",F1210)&amp;IF(F1210="Commemorative",IF(G1210="","","_"&amp;SUBSTITUTE(SUBSTITUTE(SUBSTITUTE(G1210," ","-"),"/","-"),CHAR(39),"")),"")&amp;IF(I1210="Duplicate","_Dub"&amp;IF(SUMPRODUCT(($B$2:B1210=B1210)*($D$2:D1210=D1210)*($E$2:E1210=E1210)*($F$2:F1210=F1210)*($G$2:G1210=G1210)*($I$2:I1210="Duplicate"))&lt;=1,"",SUMPRODUCT(($B$2:B1210=B1210)*($D$2:D1210=D1210)*($E$2:E1210=E1210)*($F$2:F1210=F1210)*($G$2:G1210=G1210)*($I$2:I1210="Duplicate"))-1),"")&amp;".jpeg")</f>
        <v/>
      </c>
      <c r="L1210" s="6"/>
      <c r="M1210" s="5" t="str">
        <f>IFERROR(VLOOKUP(E1210,Specifications!$A$2:$D$9,2,FALSE),"")</f>
        <v/>
      </c>
      <c r="N1210" s="5" t="str">
        <f>IFERROR(VLOOKUP(E1210,Specifications!$A$2:$D$9,3,FALSE),"")</f>
        <v/>
      </c>
      <c r="O1210" s="5" t="str">
        <f>IFERROR(VLOOKUP(E1210,Specifications!$A$2:$D$9,4,FALSE),"")</f>
        <v/>
      </c>
      <c r="P1210" s="8" t="str">
        <f t="shared" si="57"/>
        <v/>
      </c>
      <c r="Q1210" s="9"/>
    </row>
    <row r="1211" spans="1:17" ht="15">
      <c r="A1211" s="5" t="str">
        <f t="shared" si="55"/>
        <v/>
      </c>
      <c r="B1211" s="6"/>
      <c r="C1211" s="5" t="str">
        <f>IFERROR(VLOOKUP(B1211,Lists!$A$2:$B$25,2,FALSE),"")</f>
        <v/>
      </c>
      <c r="D1211" s="7"/>
      <c r="E1211" s="6"/>
      <c r="F1211" s="6" t="str">
        <f t="shared" si="56"/>
        <v/>
      </c>
      <c r="G1211" s="6"/>
      <c r="H1211" s="6"/>
      <c r="I1211" s="6"/>
      <c r="J1211" s="7"/>
      <c r="K1211" s="5" t="str" cm="1">
        <f t="array" ref="K1211">IF(OR(A1211="",B1211="",D1211="",E1211=""),"",A1211&amp;"_"&amp;SUBSTITUTE(B1211," ","-")&amp;"_"&amp;D1211&amp;"_"&amp;SUBSTITUTE(SUBSTITUTE(E1211," ",""),"€","Euro")&amp;"_"&amp;IF(F1211="","Unknown",F1211)&amp;IF(F1211="Commemorative",IF(G1211="","","_"&amp;SUBSTITUTE(SUBSTITUTE(SUBSTITUTE(G1211," ","-"),"/","-"),CHAR(39),"")),"")&amp;IF(I1211="Duplicate","_Dub"&amp;IF(SUMPRODUCT(($B$2:B1211=B1211)*($D$2:D1211=D1211)*($E$2:E1211=E1211)*($F$2:F1211=F1211)*($G$2:G1211=G1211)*($I$2:I1211="Duplicate"))&lt;=1,"",SUMPRODUCT(($B$2:B1211=B1211)*($D$2:D1211=D1211)*($E$2:E1211=E1211)*($F$2:F1211=F1211)*($G$2:G1211=G1211)*($I$2:I1211="Duplicate"))-1),"")&amp;".jpeg")</f>
        <v/>
      </c>
      <c r="L1211" s="6"/>
      <c r="M1211" s="5" t="str">
        <f>IFERROR(VLOOKUP(E1211,Specifications!$A$2:$D$9,2,FALSE),"")</f>
        <v/>
      </c>
      <c r="N1211" s="5" t="str">
        <f>IFERROR(VLOOKUP(E1211,Specifications!$A$2:$D$9,3,FALSE),"")</f>
        <v/>
      </c>
      <c r="O1211" s="5" t="str">
        <f>IFERROR(VLOOKUP(E1211,Specifications!$A$2:$D$9,4,FALSE),"")</f>
        <v/>
      </c>
      <c r="P1211" s="8" t="str">
        <f t="shared" si="57"/>
        <v/>
      </c>
      <c r="Q1211" s="9"/>
    </row>
    <row r="1212" spans="1:17" ht="15">
      <c r="A1212" s="5" t="str">
        <f t="shared" si="55"/>
        <v/>
      </c>
      <c r="B1212" s="6"/>
      <c r="C1212" s="5" t="str">
        <f>IFERROR(VLOOKUP(B1212,Lists!$A$2:$B$25,2,FALSE),"")</f>
        <v/>
      </c>
      <c r="D1212" s="7"/>
      <c r="E1212" s="6"/>
      <c r="F1212" s="6" t="str">
        <f t="shared" si="56"/>
        <v/>
      </c>
      <c r="G1212" s="6"/>
      <c r="H1212" s="6"/>
      <c r="I1212" s="6"/>
      <c r="J1212" s="7"/>
      <c r="K1212" s="5" t="str" cm="1">
        <f t="array" ref="K1212">IF(OR(A1212="",B1212="",D1212="",E1212=""),"",A1212&amp;"_"&amp;SUBSTITUTE(B1212," ","-")&amp;"_"&amp;D1212&amp;"_"&amp;SUBSTITUTE(SUBSTITUTE(E1212," ",""),"€","Euro")&amp;"_"&amp;IF(F1212="","Unknown",F1212)&amp;IF(F1212="Commemorative",IF(G1212="","","_"&amp;SUBSTITUTE(SUBSTITUTE(SUBSTITUTE(G1212," ","-"),"/","-"),CHAR(39),"")),"")&amp;IF(I1212="Duplicate","_Dub"&amp;IF(SUMPRODUCT(($B$2:B1212=B1212)*($D$2:D1212=D1212)*($E$2:E1212=E1212)*($F$2:F1212=F1212)*($G$2:G1212=G1212)*($I$2:I1212="Duplicate"))&lt;=1,"",SUMPRODUCT(($B$2:B1212=B1212)*($D$2:D1212=D1212)*($E$2:E1212=E1212)*($F$2:F1212=F1212)*($G$2:G1212=G1212)*($I$2:I1212="Duplicate"))-1),"")&amp;".jpeg")</f>
        <v/>
      </c>
      <c r="L1212" s="6"/>
      <c r="M1212" s="5" t="str">
        <f>IFERROR(VLOOKUP(E1212,Specifications!$A$2:$D$9,2,FALSE),"")</f>
        <v/>
      </c>
      <c r="N1212" s="5" t="str">
        <f>IFERROR(VLOOKUP(E1212,Specifications!$A$2:$D$9,3,FALSE),"")</f>
        <v/>
      </c>
      <c r="O1212" s="5" t="str">
        <f>IFERROR(VLOOKUP(E1212,Specifications!$A$2:$D$9,4,FALSE),"")</f>
        <v/>
      </c>
      <c r="P1212" s="8" t="str">
        <f t="shared" si="57"/>
        <v/>
      </c>
      <c r="Q1212" s="9"/>
    </row>
    <row r="1213" spans="1:17" ht="15">
      <c r="A1213" s="5" t="str">
        <f t="shared" si="55"/>
        <v/>
      </c>
      <c r="B1213" s="6"/>
      <c r="C1213" s="5" t="str">
        <f>IFERROR(VLOOKUP(B1213,Lists!$A$2:$B$25,2,FALSE),"")</f>
        <v/>
      </c>
      <c r="D1213" s="7"/>
      <c r="E1213" s="6"/>
      <c r="F1213" s="6" t="str">
        <f t="shared" si="56"/>
        <v/>
      </c>
      <c r="G1213" s="6"/>
      <c r="H1213" s="6"/>
      <c r="I1213" s="6"/>
      <c r="J1213" s="7"/>
      <c r="K1213" s="5" t="str" cm="1">
        <f t="array" ref="K1213">IF(OR(A1213="",B1213="",D1213="",E1213=""),"",A1213&amp;"_"&amp;SUBSTITUTE(B1213," ","-")&amp;"_"&amp;D1213&amp;"_"&amp;SUBSTITUTE(SUBSTITUTE(E1213," ",""),"€","Euro")&amp;"_"&amp;IF(F1213="","Unknown",F1213)&amp;IF(F1213="Commemorative",IF(G1213="","","_"&amp;SUBSTITUTE(SUBSTITUTE(SUBSTITUTE(G1213," ","-"),"/","-"),CHAR(39),"")),"")&amp;IF(I1213="Duplicate","_Dub"&amp;IF(SUMPRODUCT(($B$2:B1213=B1213)*($D$2:D1213=D1213)*($E$2:E1213=E1213)*($F$2:F1213=F1213)*($G$2:G1213=G1213)*($I$2:I1213="Duplicate"))&lt;=1,"",SUMPRODUCT(($B$2:B1213=B1213)*($D$2:D1213=D1213)*($E$2:E1213=E1213)*($F$2:F1213=F1213)*($G$2:G1213=G1213)*($I$2:I1213="Duplicate"))-1),"")&amp;".jpeg")</f>
        <v/>
      </c>
      <c r="L1213" s="6"/>
      <c r="M1213" s="5" t="str">
        <f>IFERROR(VLOOKUP(E1213,Specifications!$A$2:$D$9,2,FALSE),"")</f>
        <v/>
      </c>
      <c r="N1213" s="5" t="str">
        <f>IFERROR(VLOOKUP(E1213,Specifications!$A$2:$D$9,3,FALSE),"")</f>
        <v/>
      </c>
      <c r="O1213" s="5" t="str">
        <f>IFERROR(VLOOKUP(E1213,Specifications!$A$2:$D$9,4,FALSE),"")</f>
        <v/>
      </c>
      <c r="P1213" s="8" t="str">
        <f t="shared" si="57"/>
        <v/>
      </c>
      <c r="Q1213" s="9"/>
    </row>
    <row r="1214" spans="1:17" ht="15">
      <c r="A1214" s="5" t="str">
        <f t="shared" si="55"/>
        <v/>
      </c>
      <c r="B1214" s="6"/>
      <c r="C1214" s="5" t="str">
        <f>IFERROR(VLOOKUP(B1214,Lists!$A$2:$B$25,2,FALSE),"")</f>
        <v/>
      </c>
      <c r="D1214" s="7"/>
      <c r="E1214" s="6"/>
      <c r="F1214" s="6" t="str">
        <f t="shared" si="56"/>
        <v/>
      </c>
      <c r="G1214" s="6"/>
      <c r="H1214" s="6"/>
      <c r="I1214" s="6"/>
      <c r="J1214" s="7"/>
      <c r="K1214" s="5" t="str" cm="1">
        <f t="array" ref="K1214">IF(OR(A1214="",B1214="",D1214="",E1214=""),"",A1214&amp;"_"&amp;SUBSTITUTE(B1214," ","-")&amp;"_"&amp;D1214&amp;"_"&amp;SUBSTITUTE(SUBSTITUTE(E1214," ",""),"€","Euro")&amp;"_"&amp;IF(F1214="","Unknown",F1214)&amp;IF(F1214="Commemorative",IF(G1214="","","_"&amp;SUBSTITUTE(SUBSTITUTE(SUBSTITUTE(G1214," ","-"),"/","-"),CHAR(39),"")),"")&amp;IF(I1214="Duplicate","_Dub"&amp;IF(SUMPRODUCT(($B$2:B1214=B1214)*($D$2:D1214=D1214)*($E$2:E1214=E1214)*($F$2:F1214=F1214)*($G$2:G1214=G1214)*($I$2:I1214="Duplicate"))&lt;=1,"",SUMPRODUCT(($B$2:B1214=B1214)*($D$2:D1214=D1214)*($E$2:E1214=E1214)*($F$2:F1214=F1214)*($G$2:G1214=G1214)*($I$2:I1214="Duplicate"))-1),"")&amp;".jpeg")</f>
        <v/>
      </c>
      <c r="L1214" s="6"/>
      <c r="M1214" s="5" t="str">
        <f>IFERROR(VLOOKUP(E1214,Specifications!$A$2:$D$9,2,FALSE),"")</f>
        <v/>
      </c>
      <c r="N1214" s="5" t="str">
        <f>IFERROR(VLOOKUP(E1214,Specifications!$A$2:$D$9,3,FALSE),"")</f>
        <v/>
      </c>
      <c r="O1214" s="5" t="str">
        <f>IFERROR(VLOOKUP(E1214,Specifications!$A$2:$D$9,4,FALSE),"")</f>
        <v/>
      </c>
      <c r="P1214" s="8" t="str">
        <f t="shared" si="57"/>
        <v/>
      </c>
      <c r="Q1214" s="9"/>
    </row>
    <row r="1215" spans="1:17" ht="15">
      <c r="A1215" s="5" t="str">
        <f t="shared" si="55"/>
        <v/>
      </c>
      <c r="B1215" s="6"/>
      <c r="C1215" s="5" t="str">
        <f>IFERROR(VLOOKUP(B1215,Lists!$A$2:$B$25,2,FALSE),"")</f>
        <v/>
      </c>
      <c r="D1215" s="7"/>
      <c r="E1215" s="6"/>
      <c r="F1215" s="6" t="str">
        <f t="shared" si="56"/>
        <v/>
      </c>
      <c r="G1215" s="6"/>
      <c r="H1215" s="6"/>
      <c r="I1215" s="6"/>
      <c r="J1215" s="7"/>
      <c r="K1215" s="5" t="str" cm="1">
        <f t="array" ref="K1215">IF(OR(A1215="",B1215="",D1215="",E1215=""),"",A1215&amp;"_"&amp;SUBSTITUTE(B1215," ","-")&amp;"_"&amp;D1215&amp;"_"&amp;SUBSTITUTE(SUBSTITUTE(E1215," ",""),"€","Euro")&amp;"_"&amp;IF(F1215="","Unknown",F1215)&amp;IF(F1215="Commemorative",IF(G1215="","","_"&amp;SUBSTITUTE(SUBSTITUTE(SUBSTITUTE(G1215," ","-"),"/","-"),CHAR(39),"")),"")&amp;IF(I1215="Duplicate","_Dub"&amp;IF(SUMPRODUCT(($B$2:B1215=B1215)*($D$2:D1215=D1215)*($E$2:E1215=E1215)*($F$2:F1215=F1215)*($G$2:G1215=G1215)*($I$2:I1215="Duplicate"))&lt;=1,"",SUMPRODUCT(($B$2:B1215=B1215)*($D$2:D1215=D1215)*($E$2:E1215=E1215)*($F$2:F1215=F1215)*($G$2:G1215=G1215)*($I$2:I1215="Duplicate"))-1),"")&amp;".jpeg")</f>
        <v/>
      </c>
      <c r="L1215" s="6"/>
      <c r="M1215" s="5" t="str">
        <f>IFERROR(VLOOKUP(E1215,Specifications!$A$2:$D$9,2,FALSE),"")</f>
        <v/>
      </c>
      <c r="N1215" s="5" t="str">
        <f>IFERROR(VLOOKUP(E1215,Specifications!$A$2:$D$9,3,FALSE),"")</f>
        <v/>
      </c>
      <c r="O1215" s="5" t="str">
        <f>IFERROR(VLOOKUP(E1215,Specifications!$A$2:$D$9,4,FALSE),"")</f>
        <v/>
      </c>
      <c r="P1215" s="8" t="str">
        <f t="shared" si="57"/>
        <v/>
      </c>
      <c r="Q1215" s="9"/>
    </row>
    <row r="1216" spans="1:17" ht="15">
      <c r="A1216" s="5" t="str">
        <f t="shared" si="55"/>
        <v/>
      </c>
      <c r="B1216" s="6"/>
      <c r="C1216" s="5" t="str">
        <f>IFERROR(VLOOKUP(B1216,Lists!$A$2:$B$25,2,FALSE),"")</f>
        <v/>
      </c>
      <c r="D1216" s="7"/>
      <c r="E1216" s="6"/>
      <c r="F1216" s="6" t="str">
        <f t="shared" si="56"/>
        <v/>
      </c>
      <c r="G1216" s="6"/>
      <c r="H1216" s="6"/>
      <c r="I1216" s="6"/>
      <c r="J1216" s="7"/>
      <c r="K1216" s="5" t="str" cm="1">
        <f t="array" ref="K1216">IF(OR(A1216="",B1216="",D1216="",E1216=""),"",A1216&amp;"_"&amp;SUBSTITUTE(B1216," ","-")&amp;"_"&amp;D1216&amp;"_"&amp;SUBSTITUTE(SUBSTITUTE(E1216," ",""),"€","Euro")&amp;"_"&amp;IF(F1216="","Unknown",F1216)&amp;IF(F1216="Commemorative",IF(G1216="","","_"&amp;SUBSTITUTE(SUBSTITUTE(SUBSTITUTE(G1216," ","-"),"/","-"),CHAR(39),"")),"")&amp;IF(I1216="Duplicate","_Dub"&amp;IF(SUMPRODUCT(($B$2:B1216=B1216)*($D$2:D1216=D1216)*($E$2:E1216=E1216)*($F$2:F1216=F1216)*($G$2:G1216=G1216)*($I$2:I1216="Duplicate"))&lt;=1,"",SUMPRODUCT(($B$2:B1216=B1216)*($D$2:D1216=D1216)*($E$2:E1216=E1216)*($F$2:F1216=F1216)*($G$2:G1216=G1216)*($I$2:I1216="Duplicate"))-1),"")&amp;".jpeg")</f>
        <v/>
      </c>
      <c r="L1216" s="6"/>
      <c r="M1216" s="5" t="str">
        <f>IFERROR(VLOOKUP(E1216,Specifications!$A$2:$D$9,2,FALSE),"")</f>
        <v/>
      </c>
      <c r="N1216" s="5" t="str">
        <f>IFERROR(VLOOKUP(E1216,Specifications!$A$2:$D$9,3,FALSE),"")</f>
        <v/>
      </c>
      <c r="O1216" s="5" t="str">
        <f>IFERROR(VLOOKUP(E1216,Specifications!$A$2:$D$9,4,FALSE),"")</f>
        <v/>
      </c>
      <c r="P1216" s="8" t="str">
        <f t="shared" si="57"/>
        <v/>
      </c>
      <c r="Q1216" s="9"/>
    </row>
    <row r="1217" spans="1:17" ht="15">
      <c r="A1217" s="5" t="str">
        <f t="shared" si="55"/>
        <v/>
      </c>
      <c r="B1217" s="6"/>
      <c r="C1217" s="5" t="str">
        <f>IFERROR(VLOOKUP(B1217,Lists!$A$2:$B$25,2,FALSE),"")</f>
        <v/>
      </c>
      <c r="D1217" s="7"/>
      <c r="E1217" s="6"/>
      <c r="F1217" s="6" t="str">
        <f t="shared" si="56"/>
        <v/>
      </c>
      <c r="G1217" s="6"/>
      <c r="H1217" s="6"/>
      <c r="I1217" s="6"/>
      <c r="J1217" s="7"/>
      <c r="K1217" s="5" t="str" cm="1">
        <f t="array" ref="K1217">IF(OR(A1217="",B1217="",D1217="",E1217=""),"",A1217&amp;"_"&amp;SUBSTITUTE(B1217," ","-")&amp;"_"&amp;D1217&amp;"_"&amp;SUBSTITUTE(SUBSTITUTE(E1217," ",""),"€","Euro")&amp;"_"&amp;IF(F1217="","Unknown",F1217)&amp;IF(F1217="Commemorative",IF(G1217="","","_"&amp;SUBSTITUTE(SUBSTITUTE(SUBSTITUTE(G1217," ","-"),"/","-"),CHAR(39),"")),"")&amp;IF(I1217="Duplicate","_Dub"&amp;IF(SUMPRODUCT(($B$2:B1217=B1217)*($D$2:D1217=D1217)*($E$2:E1217=E1217)*($F$2:F1217=F1217)*($G$2:G1217=G1217)*($I$2:I1217="Duplicate"))&lt;=1,"",SUMPRODUCT(($B$2:B1217=B1217)*($D$2:D1217=D1217)*($E$2:E1217=E1217)*($F$2:F1217=F1217)*($G$2:G1217=G1217)*($I$2:I1217="Duplicate"))-1),"")&amp;".jpeg")</f>
        <v/>
      </c>
      <c r="L1217" s="6"/>
      <c r="M1217" s="5" t="str">
        <f>IFERROR(VLOOKUP(E1217,Specifications!$A$2:$D$9,2,FALSE),"")</f>
        <v/>
      </c>
      <c r="N1217" s="5" t="str">
        <f>IFERROR(VLOOKUP(E1217,Specifications!$A$2:$D$9,3,FALSE),"")</f>
        <v/>
      </c>
      <c r="O1217" s="5" t="str">
        <f>IFERROR(VLOOKUP(E1217,Specifications!$A$2:$D$9,4,FALSE),"")</f>
        <v/>
      </c>
      <c r="P1217" s="8" t="str">
        <f t="shared" si="57"/>
        <v/>
      </c>
      <c r="Q1217" s="9"/>
    </row>
    <row r="1218" spans="1:17" ht="15">
      <c r="A1218" s="5" t="str">
        <f t="shared" ref="A1218:A1281" si="58">IF(B1218="","",TEXT(ROW()-1,"000"))</f>
        <v/>
      </c>
      <c r="B1218" s="6"/>
      <c r="C1218" s="5" t="str">
        <f>IFERROR(VLOOKUP(B1218,Lists!$A$2:$B$25,2,FALSE),"")</f>
        <v/>
      </c>
      <c r="D1218" s="7"/>
      <c r="E1218" s="6"/>
      <c r="F1218" s="6" t="str">
        <f t="shared" ref="F1218:F1281" si="59">IF(E1218="","",IF(E1218="2 €","", "Regular"))</f>
        <v/>
      </c>
      <c r="G1218" s="6"/>
      <c r="H1218" s="6"/>
      <c r="I1218" s="6"/>
      <c r="J1218" s="7"/>
      <c r="K1218" s="5" t="str" cm="1">
        <f t="array" ref="K1218">IF(OR(A1218="",B1218="",D1218="",E1218=""),"",A1218&amp;"_"&amp;SUBSTITUTE(B1218," ","-")&amp;"_"&amp;D1218&amp;"_"&amp;SUBSTITUTE(SUBSTITUTE(E1218," ",""),"€","Euro")&amp;"_"&amp;IF(F1218="","Unknown",F1218)&amp;IF(F1218="Commemorative",IF(G1218="","","_"&amp;SUBSTITUTE(SUBSTITUTE(SUBSTITUTE(G1218," ","-"),"/","-"),CHAR(39),"")),"")&amp;IF(I1218="Duplicate","_Dub"&amp;IF(SUMPRODUCT(($B$2:B1218=B1218)*($D$2:D1218=D1218)*($E$2:E1218=E1218)*($F$2:F1218=F1218)*($G$2:G1218=G1218)*($I$2:I1218="Duplicate"))&lt;=1,"",SUMPRODUCT(($B$2:B1218=B1218)*($D$2:D1218=D1218)*($E$2:E1218=E1218)*($F$2:F1218=F1218)*($G$2:G1218=G1218)*($I$2:I1218="Duplicate"))-1),"")&amp;".jpeg")</f>
        <v/>
      </c>
      <c r="L1218" s="6"/>
      <c r="M1218" s="5" t="str">
        <f>IFERROR(VLOOKUP(E1218,Specifications!$A$2:$D$9,2,FALSE),"")</f>
        <v/>
      </c>
      <c r="N1218" s="5" t="str">
        <f>IFERROR(VLOOKUP(E1218,Specifications!$A$2:$D$9,3,FALSE),"")</f>
        <v/>
      </c>
      <c r="O1218" s="5" t="str">
        <f>IFERROR(VLOOKUP(E1218,Specifications!$A$2:$D$9,4,FALSE),"")</f>
        <v/>
      </c>
      <c r="P1218" s="8" t="str">
        <f t="shared" ref="P1218:P1281" si="60">IF(OR(B1218="",E1218="",F1218=""),"",IF(F1218="Regular","Regular "&amp;E1218&amp;" circulation coin of "&amp;B1218&amp;".",IF(F1218="Commemorative",IF(G1218="","",E1218&amp;" commemorative coin of "&amp;B1218&amp;" – "&amp;G1218&amp;"."),"")))</f>
        <v/>
      </c>
      <c r="Q1218" s="9"/>
    </row>
    <row r="1219" spans="1:17" ht="15">
      <c r="A1219" s="5" t="str">
        <f t="shared" si="58"/>
        <v/>
      </c>
      <c r="B1219" s="6"/>
      <c r="C1219" s="5" t="str">
        <f>IFERROR(VLOOKUP(B1219,Lists!$A$2:$B$25,2,FALSE),"")</f>
        <v/>
      </c>
      <c r="D1219" s="7"/>
      <c r="E1219" s="6"/>
      <c r="F1219" s="6" t="str">
        <f t="shared" si="59"/>
        <v/>
      </c>
      <c r="G1219" s="6"/>
      <c r="H1219" s="6"/>
      <c r="I1219" s="6"/>
      <c r="J1219" s="7"/>
      <c r="K1219" s="5" t="str" cm="1">
        <f t="array" ref="K1219">IF(OR(A1219="",B1219="",D1219="",E1219=""),"",A1219&amp;"_"&amp;SUBSTITUTE(B1219," ","-")&amp;"_"&amp;D1219&amp;"_"&amp;SUBSTITUTE(SUBSTITUTE(E1219," ",""),"€","Euro")&amp;"_"&amp;IF(F1219="","Unknown",F1219)&amp;IF(F1219="Commemorative",IF(G1219="","","_"&amp;SUBSTITUTE(SUBSTITUTE(SUBSTITUTE(G1219," ","-"),"/","-"),CHAR(39),"")),"")&amp;IF(I1219="Duplicate","_Dub"&amp;IF(SUMPRODUCT(($B$2:B1219=B1219)*($D$2:D1219=D1219)*($E$2:E1219=E1219)*($F$2:F1219=F1219)*($G$2:G1219=G1219)*($I$2:I1219="Duplicate"))&lt;=1,"",SUMPRODUCT(($B$2:B1219=B1219)*($D$2:D1219=D1219)*($E$2:E1219=E1219)*($F$2:F1219=F1219)*($G$2:G1219=G1219)*($I$2:I1219="Duplicate"))-1),"")&amp;".jpeg")</f>
        <v/>
      </c>
      <c r="L1219" s="6"/>
      <c r="M1219" s="5" t="str">
        <f>IFERROR(VLOOKUP(E1219,Specifications!$A$2:$D$9,2,FALSE),"")</f>
        <v/>
      </c>
      <c r="N1219" s="5" t="str">
        <f>IFERROR(VLOOKUP(E1219,Specifications!$A$2:$D$9,3,FALSE),"")</f>
        <v/>
      </c>
      <c r="O1219" s="5" t="str">
        <f>IFERROR(VLOOKUP(E1219,Specifications!$A$2:$D$9,4,FALSE),"")</f>
        <v/>
      </c>
      <c r="P1219" s="8" t="str">
        <f t="shared" si="60"/>
        <v/>
      </c>
      <c r="Q1219" s="9"/>
    </row>
    <row r="1220" spans="1:17" ht="15">
      <c r="A1220" s="5" t="str">
        <f t="shared" si="58"/>
        <v/>
      </c>
      <c r="B1220" s="6"/>
      <c r="C1220" s="5" t="str">
        <f>IFERROR(VLOOKUP(B1220,Lists!$A$2:$B$25,2,FALSE),"")</f>
        <v/>
      </c>
      <c r="D1220" s="7"/>
      <c r="E1220" s="6"/>
      <c r="F1220" s="6" t="str">
        <f t="shared" si="59"/>
        <v/>
      </c>
      <c r="G1220" s="6"/>
      <c r="H1220" s="6"/>
      <c r="I1220" s="6"/>
      <c r="J1220" s="7"/>
      <c r="K1220" s="5" t="str" cm="1">
        <f t="array" ref="K1220">IF(OR(A1220="",B1220="",D1220="",E1220=""),"",A1220&amp;"_"&amp;SUBSTITUTE(B1220," ","-")&amp;"_"&amp;D1220&amp;"_"&amp;SUBSTITUTE(SUBSTITUTE(E1220," ",""),"€","Euro")&amp;"_"&amp;IF(F1220="","Unknown",F1220)&amp;IF(F1220="Commemorative",IF(G1220="","","_"&amp;SUBSTITUTE(SUBSTITUTE(SUBSTITUTE(G1220," ","-"),"/","-"),CHAR(39),"")),"")&amp;IF(I1220="Duplicate","_Dub"&amp;IF(SUMPRODUCT(($B$2:B1220=B1220)*($D$2:D1220=D1220)*($E$2:E1220=E1220)*($F$2:F1220=F1220)*($G$2:G1220=G1220)*($I$2:I1220="Duplicate"))&lt;=1,"",SUMPRODUCT(($B$2:B1220=B1220)*($D$2:D1220=D1220)*($E$2:E1220=E1220)*($F$2:F1220=F1220)*($G$2:G1220=G1220)*($I$2:I1220="Duplicate"))-1),"")&amp;".jpeg")</f>
        <v/>
      </c>
      <c r="L1220" s="6"/>
      <c r="M1220" s="5" t="str">
        <f>IFERROR(VLOOKUP(E1220,Specifications!$A$2:$D$9,2,FALSE),"")</f>
        <v/>
      </c>
      <c r="N1220" s="5" t="str">
        <f>IFERROR(VLOOKUP(E1220,Specifications!$A$2:$D$9,3,FALSE),"")</f>
        <v/>
      </c>
      <c r="O1220" s="5" t="str">
        <f>IFERROR(VLOOKUP(E1220,Specifications!$A$2:$D$9,4,FALSE),"")</f>
        <v/>
      </c>
      <c r="P1220" s="8" t="str">
        <f t="shared" si="60"/>
        <v/>
      </c>
      <c r="Q1220" s="9"/>
    </row>
    <row r="1221" spans="1:17" ht="15">
      <c r="A1221" s="5" t="str">
        <f t="shared" si="58"/>
        <v/>
      </c>
      <c r="B1221" s="6"/>
      <c r="C1221" s="5" t="str">
        <f>IFERROR(VLOOKUP(B1221,Lists!$A$2:$B$25,2,FALSE),"")</f>
        <v/>
      </c>
      <c r="D1221" s="7"/>
      <c r="E1221" s="6"/>
      <c r="F1221" s="6" t="str">
        <f t="shared" si="59"/>
        <v/>
      </c>
      <c r="G1221" s="6"/>
      <c r="H1221" s="6"/>
      <c r="I1221" s="6"/>
      <c r="J1221" s="7"/>
      <c r="K1221" s="5" t="str" cm="1">
        <f t="array" ref="K1221">IF(OR(A1221="",B1221="",D1221="",E1221=""),"",A1221&amp;"_"&amp;SUBSTITUTE(B1221," ","-")&amp;"_"&amp;D1221&amp;"_"&amp;SUBSTITUTE(SUBSTITUTE(E1221," ",""),"€","Euro")&amp;"_"&amp;IF(F1221="","Unknown",F1221)&amp;IF(F1221="Commemorative",IF(G1221="","","_"&amp;SUBSTITUTE(SUBSTITUTE(SUBSTITUTE(G1221," ","-"),"/","-"),CHAR(39),"")),"")&amp;IF(I1221="Duplicate","_Dub"&amp;IF(SUMPRODUCT(($B$2:B1221=B1221)*($D$2:D1221=D1221)*($E$2:E1221=E1221)*($F$2:F1221=F1221)*($G$2:G1221=G1221)*($I$2:I1221="Duplicate"))&lt;=1,"",SUMPRODUCT(($B$2:B1221=B1221)*($D$2:D1221=D1221)*($E$2:E1221=E1221)*($F$2:F1221=F1221)*($G$2:G1221=G1221)*($I$2:I1221="Duplicate"))-1),"")&amp;".jpeg")</f>
        <v/>
      </c>
      <c r="L1221" s="6"/>
      <c r="M1221" s="5" t="str">
        <f>IFERROR(VLOOKUP(E1221,Specifications!$A$2:$D$9,2,FALSE),"")</f>
        <v/>
      </c>
      <c r="N1221" s="5" t="str">
        <f>IFERROR(VLOOKUP(E1221,Specifications!$A$2:$D$9,3,FALSE),"")</f>
        <v/>
      </c>
      <c r="O1221" s="5" t="str">
        <f>IFERROR(VLOOKUP(E1221,Specifications!$A$2:$D$9,4,FALSE),"")</f>
        <v/>
      </c>
      <c r="P1221" s="8" t="str">
        <f t="shared" si="60"/>
        <v/>
      </c>
      <c r="Q1221" s="9"/>
    </row>
    <row r="1222" spans="1:17" ht="15">
      <c r="A1222" s="5" t="str">
        <f t="shared" si="58"/>
        <v/>
      </c>
      <c r="B1222" s="6"/>
      <c r="C1222" s="5" t="str">
        <f>IFERROR(VLOOKUP(B1222,Lists!$A$2:$B$25,2,FALSE),"")</f>
        <v/>
      </c>
      <c r="D1222" s="7"/>
      <c r="E1222" s="6"/>
      <c r="F1222" s="6" t="str">
        <f t="shared" si="59"/>
        <v/>
      </c>
      <c r="G1222" s="6"/>
      <c r="H1222" s="6"/>
      <c r="I1222" s="6"/>
      <c r="J1222" s="7"/>
      <c r="K1222" s="5" t="str" cm="1">
        <f t="array" ref="K1222">IF(OR(A1222="",B1222="",D1222="",E1222=""),"",A1222&amp;"_"&amp;SUBSTITUTE(B1222," ","-")&amp;"_"&amp;D1222&amp;"_"&amp;SUBSTITUTE(SUBSTITUTE(E1222," ",""),"€","Euro")&amp;"_"&amp;IF(F1222="","Unknown",F1222)&amp;IF(F1222="Commemorative",IF(G1222="","","_"&amp;SUBSTITUTE(SUBSTITUTE(SUBSTITUTE(G1222," ","-"),"/","-"),CHAR(39),"")),"")&amp;IF(I1222="Duplicate","_Dub"&amp;IF(SUMPRODUCT(($B$2:B1222=B1222)*($D$2:D1222=D1222)*($E$2:E1222=E1222)*($F$2:F1222=F1222)*($G$2:G1222=G1222)*($I$2:I1222="Duplicate"))&lt;=1,"",SUMPRODUCT(($B$2:B1222=B1222)*($D$2:D1222=D1222)*($E$2:E1222=E1222)*($F$2:F1222=F1222)*($G$2:G1222=G1222)*($I$2:I1222="Duplicate"))-1),"")&amp;".jpeg")</f>
        <v/>
      </c>
      <c r="L1222" s="6"/>
      <c r="M1222" s="5" t="str">
        <f>IFERROR(VLOOKUP(E1222,Specifications!$A$2:$D$9,2,FALSE),"")</f>
        <v/>
      </c>
      <c r="N1222" s="5" t="str">
        <f>IFERROR(VLOOKUP(E1222,Specifications!$A$2:$D$9,3,FALSE),"")</f>
        <v/>
      </c>
      <c r="O1222" s="5" t="str">
        <f>IFERROR(VLOOKUP(E1222,Specifications!$A$2:$D$9,4,FALSE),"")</f>
        <v/>
      </c>
      <c r="P1222" s="8" t="str">
        <f t="shared" si="60"/>
        <v/>
      </c>
      <c r="Q1222" s="9"/>
    </row>
    <row r="1223" spans="1:17" ht="15">
      <c r="A1223" s="5" t="str">
        <f t="shared" si="58"/>
        <v/>
      </c>
      <c r="B1223" s="6"/>
      <c r="C1223" s="5" t="str">
        <f>IFERROR(VLOOKUP(B1223,Lists!$A$2:$B$25,2,FALSE),"")</f>
        <v/>
      </c>
      <c r="D1223" s="7"/>
      <c r="E1223" s="6"/>
      <c r="F1223" s="6" t="str">
        <f t="shared" si="59"/>
        <v/>
      </c>
      <c r="G1223" s="6"/>
      <c r="H1223" s="6"/>
      <c r="I1223" s="6"/>
      <c r="J1223" s="7"/>
      <c r="K1223" s="5" t="str" cm="1">
        <f t="array" ref="K1223">IF(OR(A1223="",B1223="",D1223="",E1223=""),"",A1223&amp;"_"&amp;SUBSTITUTE(B1223," ","-")&amp;"_"&amp;D1223&amp;"_"&amp;SUBSTITUTE(SUBSTITUTE(E1223," ",""),"€","Euro")&amp;"_"&amp;IF(F1223="","Unknown",F1223)&amp;IF(F1223="Commemorative",IF(G1223="","","_"&amp;SUBSTITUTE(SUBSTITUTE(SUBSTITUTE(G1223," ","-"),"/","-"),CHAR(39),"")),"")&amp;IF(I1223="Duplicate","_Dub"&amp;IF(SUMPRODUCT(($B$2:B1223=B1223)*($D$2:D1223=D1223)*($E$2:E1223=E1223)*($F$2:F1223=F1223)*($G$2:G1223=G1223)*($I$2:I1223="Duplicate"))&lt;=1,"",SUMPRODUCT(($B$2:B1223=B1223)*($D$2:D1223=D1223)*($E$2:E1223=E1223)*($F$2:F1223=F1223)*($G$2:G1223=G1223)*($I$2:I1223="Duplicate"))-1),"")&amp;".jpeg")</f>
        <v/>
      </c>
      <c r="L1223" s="6"/>
      <c r="M1223" s="5" t="str">
        <f>IFERROR(VLOOKUP(E1223,Specifications!$A$2:$D$9,2,FALSE),"")</f>
        <v/>
      </c>
      <c r="N1223" s="5" t="str">
        <f>IFERROR(VLOOKUP(E1223,Specifications!$A$2:$D$9,3,FALSE),"")</f>
        <v/>
      </c>
      <c r="O1223" s="5" t="str">
        <f>IFERROR(VLOOKUP(E1223,Specifications!$A$2:$D$9,4,FALSE),"")</f>
        <v/>
      </c>
      <c r="P1223" s="8" t="str">
        <f t="shared" si="60"/>
        <v/>
      </c>
      <c r="Q1223" s="9"/>
    </row>
    <row r="1224" spans="1:17" ht="15">
      <c r="A1224" s="5" t="str">
        <f t="shared" si="58"/>
        <v/>
      </c>
      <c r="B1224" s="6"/>
      <c r="C1224" s="5" t="str">
        <f>IFERROR(VLOOKUP(B1224,Lists!$A$2:$B$25,2,FALSE),"")</f>
        <v/>
      </c>
      <c r="D1224" s="7"/>
      <c r="E1224" s="6"/>
      <c r="F1224" s="6" t="str">
        <f t="shared" si="59"/>
        <v/>
      </c>
      <c r="G1224" s="6"/>
      <c r="H1224" s="6"/>
      <c r="I1224" s="6"/>
      <c r="J1224" s="7"/>
      <c r="K1224" s="5" t="str" cm="1">
        <f t="array" ref="K1224">IF(OR(A1224="",B1224="",D1224="",E1224=""),"",A1224&amp;"_"&amp;SUBSTITUTE(B1224," ","-")&amp;"_"&amp;D1224&amp;"_"&amp;SUBSTITUTE(SUBSTITUTE(E1224," ",""),"€","Euro")&amp;"_"&amp;IF(F1224="","Unknown",F1224)&amp;IF(F1224="Commemorative",IF(G1224="","","_"&amp;SUBSTITUTE(SUBSTITUTE(SUBSTITUTE(G1224," ","-"),"/","-"),CHAR(39),"")),"")&amp;IF(I1224="Duplicate","_Dub"&amp;IF(SUMPRODUCT(($B$2:B1224=B1224)*($D$2:D1224=D1224)*($E$2:E1224=E1224)*($F$2:F1224=F1224)*($G$2:G1224=G1224)*($I$2:I1224="Duplicate"))&lt;=1,"",SUMPRODUCT(($B$2:B1224=B1224)*($D$2:D1224=D1224)*($E$2:E1224=E1224)*($F$2:F1224=F1224)*($G$2:G1224=G1224)*($I$2:I1224="Duplicate"))-1),"")&amp;".jpeg")</f>
        <v/>
      </c>
      <c r="L1224" s="6"/>
      <c r="M1224" s="5" t="str">
        <f>IFERROR(VLOOKUP(E1224,Specifications!$A$2:$D$9,2,FALSE),"")</f>
        <v/>
      </c>
      <c r="N1224" s="5" t="str">
        <f>IFERROR(VLOOKUP(E1224,Specifications!$A$2:$D$9,3,FALSE),"")</f>
        <v/>
      </c>
      <c r="O1224" s="5" t="str">
        <f>IFERROR(VLOOKUP(E1224,Specifications!$A$2:$D$9,4,FALSE),"")</f>
        <v/>
      </c>
      <c r="P1224" s="8" t="str">
        <f t="shared" si="60"/>
        <v/>
      </c>
      <c r="Q1224" s="9"/>
    </row>
    <row r="1225" spans="1:17" ht="15">
      <c r="A1225" s="5" t="str">
        <f t="shared" si="58"/>
        <v/>
      </c>
      <c r="B1225" s="6"/>
      <c r="C1225" s="5" t="str">
        <f>IFERROR(VLOOKUP(B1225,Lists!$A$2:$B$25,2,FALSE),"")</f>
        <v/>
      </c>
      <c r="D1225" s="7"/>
      <c r="E1225" s="6"/>
      <c r="F1225" s="6" t="str">
        <f t="shared" si="59"/>
        <v/>
      </c>
      <c r="G1225" s="6"/>
      <c r="H1225" s="6"/>
      <c r="I1225" s="6"/>
      <c r="J1225" s="7"/>
      <c r="K1225" s="5" t="str" cm="1">
        <f t="array" ref="K1225">IF(OR(A1225="",B1225="",D1225="",E1225=""),"",A1225&amp;"_"&amp;SUBSTITUTE(B1225," ","-")&amp;"_"&amp;D1225&amp;"_"&amp;SUBSTITUTE(SUBSTITUTE(E1225," ",""),"€","Euro")&amp;"_"&amp;IF(F1225="","Unknown",F1225)&amp;IF(F1225="Commemorative",IF(G1225="","","_"&amp;SUBSTITUTE(SUBSTITUTE(SUBSTITUTE(G1225," ","-"),"/","-"),CHAR(39),"")),"")&amp;IF(I1225="Duplicate","_Dub"&amp;IF(SUMPRODUCT(($B$2:B1225=B1225)*($D$2:D1225=D1225)*($E$2:E1225=E1225)*($F$2:F1225=F1225)*($G$2:G1225=G1225)*($I$2:I1225="Duplicate"))&lt;=1,"",SUMPRODUCT(($B$2:B1225=B1225)*($D$2:D1225=D1225)*($E$2:E1225=E1225)*($F$2:F1225=F1225)*($G$2:G1225=G1225)*($I$2:I1225="Duplicate"))-1),"")&amp;".jpeg")</f>
        <v/>
      </c>
      <c r="L1225" s="6"/>
      <c r="M1225" s="5" t="str">
        <f>IFERROR(VLOOKUP(E1225,Specifications!$A$2:$D$9,2,FALSE),"")</f>
        <v/>
      </c>
      <c r="N1225" s="5" t="str">
        <f>IFERROR(VLOOKUP(E1225,Specifications!$A$2:$D$9,3,FALSE),"")</f>
        <v/>
      </c>
      <c r="O1225" s="5" t="str">
        <f>IFERROR(VLOOKUP(E1225,Specifications!$A$2:$D$9,4,FALSE),"")</f>
        <v/>
      </c>
      <c r="P1225" s="8" t="str">
        <f t="shared" si="60"/>
        <v/>
      </c>
      <c r="Q1225" s="9"/>
    </row>
    <row r="1226" spans="1:17" ht="15">
      <c r="A1226" s="5" t="str">
        <f t="shared" si="58"/>
        <v/>
      </c>
      <c r="B1226" s="6"/>
      <c r="C1226" s="5" t="str">
        <f>IFERROR(VLOOKUP(B1226,Lists!$A$2:$B$25,2,FALSE),"")</f>
        <v/>
      </c>
      <c r="D1226" s="7"/>
      <c r="E1226" s="6"/>
      <c r="F1226" s="6" t="str">
        <f t="shared" si="59"/>
        <v/>
      </c>
      <c r="G1226" s="6"/>
      <c r="H1226" s="6"/>
      <c r="I1226" s="6"/>
      <c r="J1226" s="7"/>
      <c r="K1226" s="5" t="str" cm="1">
        <f t="array" ref="K1226">IF(OR(A1226="",B1226="",D1226="",E1226=""),"",A1226&amp;"_"&amp;SUBSTITUTE(B1226," ","-")&amp;"_"&amp;D1226&amp;"_"&amp;SUBSTITUTE(SUBSTITUTE(E1226," ",""),"€","Euro")&amp;"_"&amp;IF(F1226="","Unknown",F1226)&amp;IF(F1226="Commemorative",IF(G1226="","","_"&amp;SUBSTITUTE(SUBSTITUTE(SUBSTITUTE(G1226," ","-"),"/","-"),CHAR(39),"")),"")&amp;IF(I1226="Duplicate","_Dub"&amp;IF(SUMPRODUCT(($B$2:B1226=B1226)*($D$2:D1226=D1226)*($E$2:E1226=E1226)*($F$2:F1226=F1226)*($G$2:G1226=G1226)*($I$2:I1226="Duplicate"))&lt;=1,"",SUMPRODUCT(($B$2:B1226=B1226)*($D$2:D1226=D1226)*($E$2:E1226=E1226)*($F$2:F1226=F1226)*($G$2:G1226=G1226)*($I$2:I1226="Duplicate"))-1),"")&amp;".jpeg")</f>
        <v/>
      </c>
      <c r="L1226" s="6"/>
      <c r="M1226" s="5" t="str">
        <f>IFERROR(VLOOKUP(E1226,Specifications!$A$2:$D$9,2,FALSE),"")</f>
        <v/>
      </c>
      <c r="N1226" s="5" t="str">
        <f>IFERROR(VLOOKUP(E1226,Specifications!$A$2:$D$9,3,FALSE),"")</f>
        <v/>
      </c>
      <c r="O1226" s="5" t="str">
        <f>IFERROR(VLOOKUP(E1226,Specifications!$A$2:$D$9,4,FALSE),"")</f>
        <v/>
      </c>
      <c r="P1226" s="8" t="str">
        <f t="shared" si="60"/>
        <v/>
      </c>
      <c r="Q1226" s="9"/>
    </row>
    <row r="1227" spans="1:17" ht="15">
      <c r="A1227" s="5" t="str">
        <f t="shared" si="58"/>
        <v/>
      </c>
      <c r="B1227" s="6"/>
      <c r="C1227" s="5" t="str">
        <f>IFERROR(VLOOKUP(B1227,Lists!$A$2:$B$25,2,FALSE),"")</f>
        <v/>
      </c>
      <c r="D1227" s="7"/>
      <c r="E1227" s="6"/>
      <c r="F1227" s="6" t="str">
        <f t="shared" si="59"/>
        <v/>
      </c>
      <c r="G1227" s="6"/>
      <c r="H1227" s="6"/>
      <c r="I1227" s="6"/>
      <c r="J1227" s="7"/>
      <c r="K1227" s="5" t="str" cm="1">
        <f t="array" ref="K1227">IF(OR(A1227="",B1227="",D1227="",E1227=""),"",A1227&amp;"_"&amp;SUBSTITUTE(B1227," ","-")&amp;"_"&amp;D1227&amp;"_"&amp;SUBSTITUTE(SUBSTITUTE(E1227," ",""),"€","Euro")&amp;"_"&amp;IF(F1227="","Unknown",F1227)&amp;IF(F1227="Commemorative",IF(G1227="","","_"&amp;SUBSTITUTE(SUBSTITUTE(SUBSTITUTE(G1227," ","-"),"/","-"),CHAR(39),"")),"")&amp;IF(I1227="Duplicate","_Dub"&amp;IF(SUMPRODUCT(($B$2:B1227=B1227)*($D$2:D1227=D1227)*($E$2:E1227=E1227)*($F$2:F1227=F1227)*($G$2:G1227=G1227)*($I$2:I1227="Duplicate"))&lt;=1,"",SUMPRODUCT(($B$2:B1227=B1227)*($D$2:D1227=D1227)*($E$2:E1227=E1227)*($F$2:F1227=F1227)*($G$2:G1227=G1227)*($I$2:I1227="Duplicate"))-1),"")&amp;".jpeg")</f>
        <v/>
      </c>
      <c r="L1227" s="6"/>
      <c r="M1227" s="5" t="str">
        <f>IFERROR(VLOOKUP(E1227,Specifications!$A$2:$D$9,2,FALSE),"")</f>
        <v/>
      </c>
      <c r="N1227" s="5" t="str">
        <f>IFERROR(VLOOKUP(E1227,Specifications!$A$2:$D$9,3,FALSE),"")</f>
        <v/>
      </c>
      <c r="O1227" s="5" t="str">
        <f>IFERROR(VLOOKUP(E1227,Specifications!$A$2:$D$9,4,FALSE),"")</f>
        <v/>
      </c>
      <c r="P1227" s="8" t="str">
        <f t="shared" si="60"/>
        <v/>
      </c>
      <c r="Q1227" s="9"/>
    </row>
    <row r="1228" spans="1:17" ht="15">
      <c r="A1228" s="5" t="str">
        <f t="shared" si="58"/>
        <v/>
      </c>
      <c r="B1228" s="6"/>
      <c r="C1228" s="5" t="str">
        <f>IFERROR(VLOOKUP(B1228,Lists!$A$2:$B$25,2,FALSE),"")</f>
        <v/>
      </c>
      <c r="D1228" s="7"/>
      <c r="E1228" s="6"/>
      <c r="F1228" s="6" t="str">
        <f t="shared" si="59"/>
        <v/>
      </c>
      <c r="G1228" s="6"/>
      <c r="H1228" s="6"/>
      <c r="I1228" s="6"/>
      <c r="J1228" s="7"/>
      <c r="K1228" s="5" t="str" cm="1">
        <f t="array" ref="K1228">IF(OR(A1228="",B1228="",D1228="",E1228=""),"",A1228&amp;"_"&amp;SUBSTITUTE(B1228," ","-")&amp;"_"&amp;D1228&amp;"_"&amp;SUBSTITUTE(SUBSTITUTE(E1228," ",""),"€","Euro")&amp;"_"&amp;IF(F1228="","Unknown",F1228)&amp;IF(F1228="Commemorative",IF(G1228="","","_"&amp;SUBSTITUTE(SUBSTITUTE(SUBSTITUTE(G1228," ","-"),"/","-"),CHAR(39),"")),"")&amp;IF(I1228="Duplicate","_Dub"&amp;IF(SUMPRODUCT(($B$2:B1228=B1228)*($D$2:D1228=D1228)*($E$2:E1228=E1228)*($F$2:F1228=F1228)*($G$2:G1228=G1228)*($I$2:I1228="Duplicate"))&lt;=1,"",SUMPRODUCT(($B$2:B1228=B1228)*($D$2:D1228=D1228)*($E$2:E1228=E1228)*($F$2:F1228=F1228)*($G$2:G1228=G1228)*($I$2:I1228="Duplicate"))-1),"")&amp;".jpeg")</f>
        <v/>
      </c>
      <c r="L1228" s="6"/>
      <c r="M1228" s="5" t="str">
        <f>IFERROR(VLOOKUP(E1228,Specifications!$A$2:$D$9,2,FALSE),"")</f>
        <v/>
      </c>
      <c r="N1228" s="5" t="str">
        <f>IFERROR(VLOOKUP(E1228,Specifications!$A$2:$D$9,3,FALSE),"")</f>
        <v/>
      </c>
      <c r="O1228" s="5" t="str">
        <f>IFERROR(VLOOKUP(E1228,Specifications!$A$2:$D$9,4,FALSE),"")</f>
        <v/>
      </c>
      <c r="P1228" s="8" t="str">
        <f t="shared" si="60"/>
        <v/>
      </c>
      <c r="Q1228" s="9"/>
    </row>
    <row r="1229" spans="1:17" ht="15">
      <c r="A1229" s="5" t="str">
        <f t="shared" si="58"/>
        <v/>
      </c>
      <c r="B1229" s="6"/>
      <c r="C1229" s="5" t="str">
        <f>IFERROR(VLOOKUP(B1229,Lists!$A$2:$B$25,2,FALSE),"")</f>
        <v/>
      </c>
      <c r="D1229" s="7"/>
      <c r="E1229" s="6"/>
      <c r="F1229" s="6" t="str">
        <f t="shared" si="59"/>
        <v/>
      </c>
      <c r="G1229" s="6"/>
      <c r="H1229" s="6"/>
      <c r="I1229" s="6"/>
      <c r="J1229" s="7"/>
      <c r="K1229" s="5" t="str" cm="1">
        <f t="array" ref="K1229">IF(OR(A1229="",B1229="",D1229="",E1229=""),"",A1229&amp;"_"&amp;SUBSTITUTE(B1229," ","-")&amp;"_"&amp;D1229&amp;"_"&amp;SUBSTITUTE(SUBSTITUTE(E1229," ",""),"€","Euro")&amp;"_"&amp;IF(F1229="","Unknown",F1229)&amp;IF(F1229="Commemorative",IF(G1229="","","_"&amp;SUBSTITUTE(SUBSTITUTE(SUBSTITUTE(G1229," ","-"),"/","-"),CHAR(39),"")),"")&amp;IF(I1229="Duplicate","_Dub"&amp;IF(SUMPRODUCT(($B$2:B1229=B1229)*($D$2:D1229=D1229)*($E$2:E1229=E1229)*($F$2:F1229=F1229)*($G$2:G1229=G1229)*($I$2:I1229="Duplicate"))&lt;=1,"",SUMPRODUCT(($B$2:B1229=B1229)*($D$2:D1229=D1229)*($E$2:E1229=E1229)*($F$2:F1229=F1229)*($G$2:G1229=G1229)*($I$2:I1229="Duplicate"))-1),"")&amp;".jpeg")</f>
        <v/>
      </c>
      <c r="L1229" s="6"/>
      <c r="M1229" s="5" t="str">
        <f>IFERROR(VLOOKUP(E1229,Specifications!$A$2:$D$9,2,FALSE),"")</f>
        <v/>
      </c>
      <c r="N1229" s="5" t="str">
        <f>IFERROR(VLOOKUP(E1229,Specifications!$A$2:$D$9,3,FALSE),"")</f>
        <v/>
      </c>
      <c r="O1229" s="5" t="str">
        <f>IFERROR(VLOOKUP(E1229,Specifications!$A$2:$D$9,4,FALSE),"")</f>
        <v/>
      </c>
      <c r="P1229" s="8" t="str">
        <f t="shared" si="60"/>
        <v/>
      </c>
      <c r="Q1229" s="9"/>
    </row>
    <row r="1230" spans="1:17" ht="15">
      <c r="A1230" s="5" t="str">
        <f t="shared" si="58"/>
        <v/>
      </c>
      <c r="B1230" s="6"/>
      <c r="C1230" s="5" t="str">
        <f>IFERROR(VLOOKUP(B1230,Lists!$A$2:$B$25,2,FALSE),"")</f>
        <v/>
      </c>
      <c r="D1230" s="7"/>
      <c r="E1230" s="6"/>
      <c r="F1230" s="6" t="str">
        <f t="shared" si="59"/>
        <v/>
      </c>
      <c r="G1230" s="6"/>
      <c r="H1230" s="6"/>
      <c r="I1230" s="6"/>
      <c r="J1230" s="7"/>
      <c r="K1230" s="5" t="str" cm="1">
        <f t="array" ref="K1230">IF(OR(A1230="",B1230="",D1230="",E1230=""),"",A1230&amp;"_"&amp;SUBSTITUTE(B1230," ","-")&amp;"_"&amp;D1230&amp;"_"&amp;SUBSTITUTE(SUBSTITUTE(E1230," ",""),"€","Euro")&amp;"_"&amp;IF(F1230="","Unknown",F1230)&amp;IF(F1230="Commemorative",IF(G1230="","","_"&amp;SUBSTITUTE(SUBSTITUTE(SUBSTITUTE(G1230," ","-"),"/","-"),CHAR(39),"")),"")&amp;IF(I1230="Duplicate","_Dub"&amp;IF(SUMPRODUCT(($B$2:B1230=B1230)*($D$2:D1230=D1230)*($E$2:E1230=E1230)*($F$2:F1230=F1230)*($G$2:G1230=G1230)*($I$2:I1230="Duplicate"))&lt;=1,"",SUMPRODUCT(($B$2:B1230=B1230)*($D$2:D1230=D1230)*($E$2:E1230=E1230)*($F$2:F1230=F1230)*($G$2:G1230=G1230)*($I$2:I1230="Duplicate"))-1),"")&amp;".jpeg")</f>
        <v/>
      </c>
      <c r="L1230" s="6"/>
      <c r="M1230" s="5" t="str">
        <f>IFERROR(VLOOKUP(E1230,Specifications!$A$2:$D$9,2,FALSE),"")</f>
        <v/>
      </c>
      <c r="N1230" s="5" t="str">
        <f>IFERROR(VLOOKUP(E1230,Specifications!$A$2:$D$9,3,FALSE),"")</f>
        <v/>
      </c>
      <c r="O1230" s="5" t="str">
        <f>IFERROR(VLOOKUP(E1230,Specifications!$A$2:$D$9,4,FALSE),"")</f>
        <v/>
      </c>
      <c r="P1230" s="8" t="str">
        <f t="shared" si="60"/>
        <v/>
      </c>
      <c r="Q1230" s="9"/>
    </row>
    <row r="1231" spans="1:17" ht="15">
      <c r="A1231" s="5" t="str">
        <f t="shared" si="58"/>
        <v/>
      </c>
      <c r="B1231" s="6"/>
      <c r="C1231" s="5" t="str">
        <f>IFERROR(VLOOKUP(B1231,Lists!$A$2:$B$25,2,FALSE),"")</f>
        <v/>
      </c>
      <c r="D1231" s="7"/>
      <c r="E1231" s="6"/>
      <c r="F1231" s="6" t="str">
        <f t="shared" si="59"/>
        <v/>
      </c>
      <c r="G1231" s="6"/>
      <c r="H1231" s="6"/>
      <c r="I1231" s="6"/>
      <c r="J1231" s="7"/>
      <c r="K1231" s="5" t="str" cm="1">
        <f t="array" ref="K1231">IF(OR(A1231="",B1231="",D1231="",E1231=""),"",A1231&amp;"_"&amp;SUBSTITUTE(B1231," ","-")&amp;"_"&amp;D1231&amp;"_"&amp;SUBSTITUTE(SUBSTITUTE(E1231," ",""),"€","Euro")&amp;"_"&amp;IF(F1231="","Unknown",F1231)&amp;IF(F1231="Commemorative",IF(G1231="","","_"&amp;SUBSTITUTE(SUBSTITUTE(SUBSTITUTE(G1231," ","-"),"/","-"),CHAR(39),"")),"")&amp;IF(I1231="Duplicate","_Dub"&amp;IF(SUMPRODUCT(($B$2:B1231=B1231)*($D$2:D1231=D1231)*($E$2:E1231=E1231)*($F$2:F1231=F1231)*($G$2:G1231=G1231)*($I$2:I1231="Duplicate"))&lt;=1,"",SUMPRODUCT(($B$2:B1231=B1231)*($D$2:D1231=D1231)*($E$2:E1231=E1231)*($F$2:F1231=F1231)*($G$2:G1231=G1231)*($I$2:I1231="Duplicate"))-1),"")&amp;".jpeg")</f>
        <v/>
      </c>
      <c r="L1231" s="6"/>
      <c r="M1231" s="5" t="str">
        <f>IFERROR(VLOOKUP(E1231,Specifications!$A$2:$D$9,2,FALSE),"")</f>
        <v/>
      </c>
      <c r="N1231" s="5" t="str">
        <f>IFERROR(VLOOKUP(E1231,Specifications!$A$2:$D$9,3,FALSE),"")</f>
        <v/>
      </c>
      <c r="O1231" s="5" t="str">
        <f>IFERROR(VLOOKUP(E1231,Specifications!$A$2:$D$9,4,FALSE),"")</f>
        <v/>
      </c>
      <c r="P1231" s="8" t="str">
        <f t="shared" si="60"/>
        <v/>
      </c>
      <c r="Q1231" s="9"/>
    </row>
    <row r="1232" spans="1:17" ht="15">
      <c r="A1232" s="5" t="str">
        <f t="shared" si="58"/>
        <v/>
      </c>
      <c r="B1232" s="6"/>
      <c r="C1232" s="5" t="str">
        <f>IFERROR(VLOOKUP(B1232,Lists!$A$2:$B$25,2,FALSE),"")</f>
        <v/>
      </c>
      <c r="D1232" s="7"/>
      <c r="E1232" s="6"/>
      <c r="F1232" s="6" t="str">
        <f t="shared" si="59"/>
        <v/>
      </c>
      <c r="G1232" s="6"/>
      <c r="H1232" s="6"/>
      <c r="I1232" s="6"/>
      <c r="J1232" s="7"/>
      <c r="K1232" s="5" t="str" cm="1">
        <f t="array" ref="K1232">IF(OR(A1232="",B1232="",D1232="",E1232=""),"",A1232&amp;"_"&amp;SUBSTITUTE(B1232," ","-")&amp;"_"&amp;D1232&amp;"_"&amp;SUBSTITUTE(SUBSTITUTE(E1232," ",""),"€","Euro")&amp;"_"&amp;IF(F1232="","Unknown",F1232)&amp;IF(F1232="Commemorative",IF(G1232="","","_"&amp;SUBSTITUTE(SUBSTITUTE(SUBSTITUTE(G1232," ","-"),"/","-"),CHAR(39),"")),"")&amp;IF(I1232="Duplicate","_Dub"&amp;IF(SUMPRODUCT(($B$2:B1232=B1232)*($D$2:D1232=D1232)*($E$2:E1232=E1232)*($F$2:F1232=F1232)*($G$2:G1232=G1232)*($I$2:I1232="Duplicate"))&lt;=1,"",SUMPRODUCT(($B$2:B1232=B1232)*($D$2:D1232=D1232)*($E$2:E1232=E1232)*($F$2:F1232=F1232)*($G$2:G1232=G1232)*($I$2:I1232="Duplicate"))-1),"")&amp;".jpeg")</f>
        <v/>
      </c>
      <c r="L1232" s="6"/>
      <c r="M1232" s="5" t="str">
        <f>IFERROR(VLOOKUP(E1232,Specifications!$A$2:$D$9,2,FALSE),"")</f>
        <v/>
      </c>
      <c r="N1232" s="5" t="str">
        <f>IFERROR(VLOOKUP(E1232,Specifications!$A$2:$D$9,3,FALSE),"")</f>
        <v/>
      </c>
      <c r="O1232" s="5" t="str">
        <f>IFERROR(VLOOKUP(E1232,Specifications!$A$2:$D$9,4,FALSE),"")</f>
        <v/>
      </c>
      <c r="P1232" s="8" t="str">
        <f t="shared" si="60"/>
        <v/>
      </c>
      <c r="Q1232" s="9"/>
    </row>
    <row r="1233" spans="1:17" ht="15">
      <c r="A1233" s="5" t="str">
        <f t="shared" si="58"/>
        <v/>
      </c>
      <c r="B1233" s="6"/>
      <c r="C1233" s="5" t="str">
        <f>IFERROR(VLOOKUP(B1233,Lists!$A$2:$B$25,2,FALSE),"")</f>
        <v/>
      </c>
      <c r="D1233" s="7"/>
      <c r="E1233" s="6"/>
      <c r="F1233" s="6" t="str">
        <f t="shared" si="59"/>
        <v/>
      </c>
      <c r="G1233" s="6"/>
      <c r="H1233" s="6"/>
      <c r="I1233" s="6"/>
      <c r="J1233" s="7"/>
      <c r="K1233" s="5" t="str" cm="1">
        <f t="array" ref="K1233">IF(OR(A1233="",B1233="",D1233="",E1233=""),"",A1233&amp;"_"&amp;SUBSTITUTE(B1233," ","-")&amp;"_"&amp;D1233&amp;"_"&amp;SUBSTITUTE(SUBSTITUTE(E1233," ",""),"€","Euro")&amp;"_"&amp;IF(F1233="","Unknown",F1233)&amp;IF(F1233="Commemorative",IF(G1233="","","_"&amp;SUBSTITUTE(SUBSTITUTE(SUBSTITUTE(G1233," ","-"),"/","-"),CHAR(39),"")),"")&amp;IF(I1233="Duplicate","_Dub"&amp;IF(SUMPRODUCT(($B$2:B1233=B1233)*($D$2:D1233=D1233)*($E$2:E1233=E1233)*($F$2:F1233=F1233)*($G$2:G1233=G1233)*($I$2:I1233="Duplicate"))&lt;=1,"",SUMPRODUCT(($B$2:B1233=B1233)*($D$2:D1233=D1233)*($E$2:E1233=E1233)*($F$2:F1233=F1233)*($G$2:G1233=G1233)*($I$2:I1233="Duplicate"))-1),"")&amp;".jpeg")</f>
        <v/>
      </c>
      <c r="L1233" s="6"/>
      <c r="M1233" s="5" t="str">
        <f>IFERROR(VLOOKUP(E1233,Specifications!$A$2:$D$9,2,FALSE),"")</f>
        <v/>
      </c>
      <c r="N1233" s="5" t="str">
        <f>IFERROR(VLOOKUP(E1233,Specifications!$A$2:$D$9,3,FALSE),"")</f>
        <v/>
      </c>
      <c r="O1233" s="5" t="str">
        <f>IFERROR(VLOOKUP(E1233,Specifications!$A$2:$D$9,4,FALSE),"")</f>
        <v/>
      </c>
      <c r="P1233" s="8" t="str">
        <f t="shared" si="60"/>
        <v/>
      </c>
      <c r="Q1233" s="9"/>
    </row>
    <row r="1234" spans="1:17" ht="15">
      <c r="A1234" s="5" t="str">
        <f t="shared" si="58"/>
        <v/>
      </c>
      <c r="B1234" s="6"/>
      <c r="C1234" s="5" t="str">
        <f>IFERROR(VLOOKUP(B1234,Lists!$A$2:$B$25,2,FALSE),"")</f>
        <v/>
      </c>
      <c r="D1234" s="7"/>
      <c r="E1234" s="6"/>
      <c r="F1234" s="6" t="str">
        <f t="shared" si="59"/>
        <v/>
      </c>
      <c r="G1234" s="6"/>
      <c r="H1234" s="6"/>
      <c r="I1234" s="6"/>
      <c r="J1234" s="7"/>
      <c r="K1234" s="5" t="str" cm="1">
        <f t="array" ref="K1234">IF(OR(A1234="",B1234="",D1234="",E1234=""),"",A1234&amp;"_"&amp;SUBSTITUTE(B1234," ","-")&amp;"_"&amp;D1234&amp;"_"&amp;SUBSTITUTE(SUBSTITUTE(E1234," ",""),"€","Euro")&amp;"_"&amp;IF(F1234="","Unknown",F1234)&amp;IF(F1234="Commemorative",IF(G1234="","","_"&amp;SUBSTITUTE(SUBSTITUTE(SUBSTITUTE(G1234," ","-"),"/","-"),CHAR(39),"")),"")&amp;IF(I1234="Duplicate","_Dub"&amp;IF(SUMPRODUCT(($B$2:B1234=B1234)*($D$2:D1234=D1234)*($E$2:E1234=E1234)*($F$2:F1234=F1234)*($G$2:G1234=G1234)*($I$2:I1234="Duplicate"))&lt;=1,"",SUMPRODUCT(($B$2:B1234=B1234)*($D$2:D1234=D1234)*($E$2:E1234=E1234)*($F$2:F1234=F1234)*($G$2:G1234=G1234)*($I$2:I1234="Duplicate"))-1),"")&amp;".jpeg")</f>
        <v/>
      </c>
      <c r="L1234" s="6"/>
      <c r="M1234" s="5" t="str">
        <f>IFERROR(VLOOKUP(E1234,Specifications!$A$2:$D$9,2,FALSE),"")</f>
        <v/>
      </c>
      <c r="N1234" s="5" t="str">
        <f>IFERROR(VLOOKUP(E1234,Specifications!$A$2:$D$9,3,FALSE),"")</f>
        <v/>
      </c>
      <c r="O1234" s="5" t="str">
        <f>IFERROR(VLOOKUP(E1234,Specifications!$A$2:$D$9,4,FALSE),"")</f>
        <v/>
      </c>
      <c r="P1234" s="8" t="str">
        <f t="shared" si="60"/>
        <v/>
      </c>
      <c r="Q1234" s="9"/>
    </row>
    <row r="1235" spans="1:17" ht="15">
      <c r="A1235" s="5" t="str">
        <f t="shared" si="58"/>
        <v/>
      </c>
      <c r="B1235" s="6"/>
      <c r="C1235" s="5" t="str">
        <f>IFERROR(VLOOKUP(B1235,Lists!$A$2:$B$25,2,FALSE),"")</f>
        <v/>
      </c>
      <c r="D1235" s="7"/>
      <c r="E1235" s="6"/>
      <c r="F1235" s="6" t="str">
        <f t="shared" si="59"/>
        <v/>
      </c>
      <c r="G1235" s="6"/>
      <c r="H1235" s="6"/>
      <c r="I1235" s="6"/>
      <c r="J1235" s="7"/>
      <c r="K1235" s="5" t="str" cm="1">
        <f t="array" ref="K1235">IF(OR(A1235="",B1235="",D1235="",E1235=""),"",A1235&amp;"_"&amp;SUBSTITUTE(B1235," ","-")&amp;"_"&amp;D1235&amp;"_"&amp;SUBSTITUTE(SUBSTITUTE(E1235," ",""),"€","Euro")&amp;"_"&amp;IF(F1235="","Unknown",F1235)&amp;IF(F1235="Commemorative",IF(G1235="","","_"&amp;SUBSTITUTE(SUBSTITUTE(SUBSTITUTE(G1235," ","-"),"/","-"),CHAR(39),"")),"")&amp;IF(I1235="Duplicate","_Dub"&amp;IF(SUMPRODUCT(($B$2:B1235=B1235)*($D$2:D1235=D1235)*($E$2:E1235=E1235)*($F$2:F1235=F1235)*($G$2:G1235=G1235)*($I$2:I1235="Duplicate"))&lt;=1,"",SUMPRODUCT(($B$2:B1235=B1235)*($D$2:D1235=D1235)*($E$2:E1235=E1235)*($F$2:F1235=F1235)*($G$2:G1235=G1235)*($I$2:I1235="Duplicate"))-1),"")&amp;".jpeg")</f>
        <v/>
      </c>
      <c r="L1235" s="6"/>
      <c r="M1235" s="5" t="str">
        <f>IFERROR(VLOOKUP(E1235,Specifications!$A$2:$D$9,2,FALSE),"")</f>
        <v/>
      </c>
      <c r="N1235" s="5" t="str">
        <f>IFERROR(VLOOKUP(E1235,Specifications!$A$2:$D$9,3,FALSE),"")</f>
        <v/>
      </c>
      <c r="O1235" s="5" t="str">
        <f>IFERROR(VLOOKUP(E1235,Specifications!$A$2:$D$9,4,FALSE),"")</f>
        <v/>
      </c>
      <c r="P1235" s="8" t="str">
        <f t="shared" si="60"/>
        <v/>
      </c>
      <c r="Q1235" s="9"/>
    </row>
    <row r="1236" spans="1:17" ht="15">
      <c r="A1236" s="5" t="str">
        <f t="shared" si="58"/>
        <v/>
      </c>
      <c r="B1236" s="6"/>
      <c r="C1236" s="5" t="str">
        <f>IFERROR(VLOOKUP(B1236,Lists!$A$2:$B$25,2,FALSE),"")</f>
        <v/>
      </c>
      <c r="D1236" s="7"/>
      <c r="E1236" s="6"/>
      <c r="F1236" s="6" t="str">
        <f t="shared" si="59"/>
        <v/>
      </c>
      <c r="G1236" s="6"/>
      <c r="H1236" s="6"/>
      <c r="I1236" s="6"/>
      <c r="J1236" s="7"/>
      <c r="K1236" s="5" t="str" cm="1">
        <f t="array" ref="K1236">IF(OR(A1236="",B1236="",D1236="",E1236=""),"",A1236&amp;"_"&amp;SUBSTITUTE(B1236," ","-")&amp;"_"&amp;D1236&amp;"_"&amp;SUBSTITUTE(SUBSTITUTE(E1236," ",""),"€","Euro")&amp;"_"&amp;IF(F1236="","Unknown",F1236)&amp;IF(F1236="Commemorative",IF(G1236="","","_"&amp;SUBSTITUTE(SUBSTITUTE(SUBSTITUTE(G1236," ","-"),"/","-"),CHAR(39),"")),"")&amp;IF(I1236="Duplicate","_Dub"&amp;IF(SUMPRODUCT(($B$2:B1236=B1236)*($D$2:D1236=D1236)*($E$2:E1236=E1236)*($F$2:F1236=F1236)*($G$2:G1236=G1236)*($I$2:I1236="Duplicate"))&lt;=1,"",SUMPRODUCT(($B$2:B1236=B1236)*($D$2:D1236=D1236)*($E$2:E1236=E1236)*($F$2:F1236=F1236)*($G$2:G1236=G1236)*($I$2:I1236="Duplicate"))-1),"")&amp;".jpeg")</f>
        <v/>
      </c>
      <c r="L1236" s="6"/>
      <c r="M1236" s="5" t="str">
        <f>IFERROR(VLOOKUP(E1236,Specifications!$A$2:$D$9,2,FALSE),"")</f>
        <v/>
      </c>
      <c r="N1236" s="5" t="str">
        <f>IFERROR(VLOOKUP(E1236,Specifications!$A$2:$D$9,3,FALSE),"")</f>
        <v/>
      </c>
      <c r="O1236" s="5" t="str">
        <f>IFERROR(VLOOKUP(E1236,Specifications!$A$2:$D$9,4,FALSE),"")</f>
        <v/>
      </c>
      <c r="P1236" s="8" t="str">
        <f t="shared" si="60"/>
        <v/>
      </c>
      <c r="Q1236" s="9"/>
    </row>
    <row r="1237" spans="1:17" ht="15">
      <c r="A1237" s="5" t="str">
        <f t="shared" si="58"/>
        <v/>
      </c>
      <c r="B1237" s="6"/>
      <c r="C1237" s="5" t="str">
        <f>IFERROR(VLOOKUP(B1237,Lists!$A$2:$B$25,2,FALSE),"")</f>
        <v/>
      </c>
      <c r="D1237" s="7"/>
      <c r="E1237" s="6"/>
      <c r="F1237" s="6" t="str">
        <f t="shared" si="59"/>
        <v/>
      </c>
      <c r="G1237" s="6"/>
      <c r="H1237" s="6"/>
      <c r="I1237" s="6"/>
      <c r="J1237" s="7"/>
      <c r="K1237" s="5" t="str" cm="1">
        <f t="array" ref="K1237">IF(OR(A1237="",B1237="",D1237="",E1237=""),"",A1237&amp;"_"&amp;SUBSTITUTE(B1237," ","-")&amp;"_"&amp;D1237&amp;"_"&amp;SUBSTITUTE(SUBSTITUTE(E1237," ",""),"€","Euro")&amp;"_"&amp;IF(F1237="","Unknown",F1237)&amp;IF(F1237="Commemorative",IF(G1237="","","_"&amp;SUBSTITUTE(SUBSTITUTE(SUBSTITUTE(G1237," ","-"),"/","-"),CHAR(39),"")),"")&amp;IF(I1237="Duplicate","_Dub"&amp;IF(SUMPRODUCT(($B$2:B1237=B1237)*($D$2:D1237=D1237)*($E$2:E1237=E1237)*($F$2:F1237=F1237)*($G$2:G1237=G1237)*($I$2:I1237="Duplicate"))&lt;=1,"",SUMPRODUCT(($B$2:B1237=B1237)*($D$2:D1237=D1237)*($E$2:E1237=E1237)*($F$2:F1237=F1237)*($G$2:G1237=G1237)*($I$2:I1237="Duplicate"))-1),"")&amp;".jpeg")</f>
        <v/>
      </c>
      <c r="L1237" s="6"/>
      <c r="M1237" s="5" t="str">
        <f>IFERROR(VLOOKUP(E1237,Specifications!$A$2:$D$9,2,FALSE),"")</f>
        <v/>
      </c>
      <c r="N1237" s="5" t="str">
        <f>IFERROR(VLOOKUP(E1237,Specifications!$A$2:$D$9,3,FALSE),"")</f>
        <v/>
      </c>
      <c r="O1237" s="5" t="str">
        <f>IFERROR(VLOOKUP(E1237,Specifications!$A$2:$D$9,4,FALSE),"")</f>
        <v/>
      </c>
      <c r="P1237" s="8" t="str">
        <f t="shared" si="60"/>
        <v/>
      </c>
      <c r="Q1237" s="9"/>
    </row>
    <row r="1238" spans="1:17" ht="15">
      <c r="A1238" s="5" t="str">
        <f t="shared" si="58"/>
        <v/>
      </c>
      <c r="B1238" s="6"/>
      <c r="C1238" s="5" t="str">
        <f>IFERROR(VLOOKUP(B1238,Lists!$A$2:$B$25,2,FALSE),"")</f>
        <v/>
      </c>
      <c r="D1238" s="7"/>
      <c r="E1238" s="6"/>
      <c r="F1238" s="6" t="str">
        <f t="shared" si="59"/>
        <v/>
      </c>
      <c r="G1238" s="6"/>
      <c r="H1238" s="6"/>
      <c r="I1238" s="6"/>
      <c r="J1238" s="7"/>
      <c r="K1238" s="5" t="str" cm="1">
        <f t="array" ref="K1238">IF(OR(A1238="",B1238="",D1238="",E1238=""),"",A1238&amp;"_"&amp;SUBSTITUTE(B1238," ","-")&amp;"_"&amp;D1238&amp;"_"&amp;SUBSTITUTE(SUBSTITUTE(E1238," ",""),"€","Euro")&amp;"_"&amp;IF(F1238="","Unknown",F1238)&amp;IF(F1238="Commemorative",IF(G1238="","","_"&amp;SUBSTITUTE(SUBSTITUTE(SUBSTITUTE(G1238," ","-"),"/","-"),CHAR(39),"")),"")&amp;IF(I1238="Duplicate","_Dub"&amp;IF(SUMPRODUCT(($B$2:B1238=B1238)*($D$2:D1238=D1238)*($E$2:E1238=E1238)*($F$2:F1238=F1238)*($G$2:G1238=G1238)*($I$2:I1238="Duplicate"))&lt;=1,"",SUMPRODUCT(($B$2:B1238=B1238)*($D$2:D1238=D1238)*($E$2:E1238=E1238)*($F$2:F1238=F1238)*($G$2:G1238=G1238)*($I$2:I1238="Duplicate"))-1),"")&amp;".jpeg")</f>
        <v/>
      </c>
      <c r="L1238" s="6"/>
      <c r="M1238" s="5" t="str">
        <f>IFERROR(VLOOKUP(E1238,Specifications!$A$2:$D$9,2,FALSE),"")</f>
        <v/>
      </c>
      <c r="N1238" s="5" t="str">
        <f>IFERROR(VLOOKUP(E1238,Specifications!$A$2:$D$9,3,FALSE),"")</f>
        <v/>
      </c>
      <c r="O1238" s="5" t="str">
        <f>IFERROR(VLOOKUP(E1238,Specifications!$A$2:$D$9,4,FALSE),"")</f>
        <v/>
      </c>
      <c r="P1238" s="8" t="str">
        <f t="shared" si="60"/>
        <v/>
      </c>
      <c r="Q1238" s="9"/>
    </row>
    <row r="1239" spans="1:17" ht="15">
      <c r="A1239" s="5" t="str">
        <f t="shared" si="58"/>
        <v/>
      </c>
      <c r="B1239" s="6"/>
      <c r="C1239" s="5" t="str">
        <f>IFERROR(VLOOKUP(B1239,Lists!$A$2:$B$25,2,FALSE),"")</f>
        <v/>
      </c>
      <c r="D1239" s="7"/>
      <c r="E1239" s="6"/>
      <c r="F1239" s="6" t="str">
        <f t="shared" si="59"/>
        <v/>
      </c>
      <c r="G1239" s="6"/>
      <c r="H1239" s="6"/>
      <c r="I1239" s="6"/>
      <c r="J1239" s="7"/>
      <c r="K1239" s="5" t="str" cm="1">
        <f t="array" ref="K1239">IF(OR(A1239="",B1239="",D1239="",E1239=""),"",A1239&amp;"_"&amp;SUBSTITUTE(B1239," ","-")&amp;"_"&amp;D1239&amp;"_"&amp;SUBSTITUTE(SUBSTITUTE(E1239," ",""),"€","Euro")&amp;"_"&amp;IF(F1239="","Unknown",F1239)&amp;IF(F1239="Commemorative",IF(G1239="","","_"&amp;SUBSTITUTE(SUBSTITUTE(SUBSTITUTE(G1239," ","-"),"/","-"),CHAR(39),"")),"")&amp;IF(I1239="Duplicate","_Dub"&amp;IF(SUMPRODUCT(($B$2:B1239=B1239)*($D$2:D1239=D1239)*($E$2:E1239=E1239)*($F$2:F1239=F1239)*($G$2:G1239=G1239)*($I$2:I1239="Duplicate"))&lt;=1,"",SUMPRODUCT(($B$2:B1239=B1239)*($D$2:D1239=D1239)*($E$2:E1239=E1239)*($F$2:F1239=F1239)*($G$2:G1239=G1239)*($I$2:I1239="Duplicate"))-1),"")&amp;".jpeg")</f>
        <v/>
      </c>
      <c r="L1239" s="6"/>
      <c r="M1239" s="5" t="str">
        <f>IFERROR(VLOOKUP(E1239,Specifications!$A$2:$D$9,2,FALSE),"")</f>
        <v/>
      </c>
      <c r="N1239" s="5" t="str">
        <f>IFERROR(VLOOKUP(E1239,Specifications!$A$2:$D$9,3,FALSE),"")</f>
        <v/>
      </c>
      <c r="O1239" s="5" t="str">
        <f>IFERROR(VLOOKUP(E1239,Specifications!$A$2:$D$9,4,FALSE),"")</f>
        <v/>
      </c>
      <c r="P1239" s="8" t="str">
        <f t="shared" si="60"/>
        <v/>
      </c>
      <c r="Q1239" s="9"/>
    </row>
    <row r="1240" spans="1:17" ht="15">
      <c r="A1240" s="5" t="str">
        <f t="shared" si="58"/>
        <v/>
      </c>
      <c r="B1240" s="6"/>
      <c r="C1240" s="5" t="str">
        <f>IFERROR(VLOOKUP(B1240,Lists!$A$2:$B$25,2,FALSE),"")</f>
        <v/>
      </c>
      <c r="D1240" s="7"/>
      <c r="E1240" s="6"/>
      <c r="F1240" s="6" t="str">
        <f t="shared" si="59"/>
        <v/>
      </c>
      <c r="G1240" s="6"/>
      <c r="H1240" s="6"/>
      <c r="I1240" s="6"/>
      <c r="J1240" s="7"/>
      <c r="K1240" s="5" t="str" cm="1">
        <f t="array" ref="K1240">IF(OR(A1240="",B1240="",D1240="",E1240=""),"",A1240&amp;"_"&amp;SUBSTITUTE(B1240," ","-")&amp;"_"&amp;D1240&amp;"_"&amp;SUBSTITUTE(SUBSTITUTE(E1240," ",""),"€","Euro")&amp;"_"&amp;IF(F1240="","Unknown",F1240)&amp;IF(F1240="Commemorative",IF(G1240="","","_"&amp;SUBSTITUTE(SUBSTITUTE(SUBSTITUTE(G1240," ","-"),"/","-"),CHAR(39),"")),"")&amp;IF(I1240="Duplicate","_Dub"&amp;IF(SUMPRODUCT(($B$2:B1240=B1240)*($D$2:D1240=D1240)*($E$2:E1240=E1240)*($F$2:F1240=F1240)*($G$2:G1240=G1240)*($I$2:I1240="Duplicate"))&lt;=1,"",SUMPRODUCT(($B$2:B1240=B1240)*($D$2:D1240=D1240)*($E$2:E1240=E1240)*($F$2:F1240=F1240)*($G$2:G1240=G1240)*($I$2:I1240="Duplicate"))-1),"")&amp;".jpeg")</f>
        <v/>
      </c>
      <c r="L1240" s="6"/>
      <c r="M1240" s="5" t="str">
        <f>IFERROR(VLOOKUP(E1240,Specifications!$A$2:$D$9,2,FALSE),"")</f>
        <v/>
      </c>
      <c r="N1240" s="5" t="str">
        <f>IFERROR(VLOOKUP(E1240,Specifications!$A$2:$D$9,3,FALSE),"")</f>
        <v/>
      </c>
      <c r="O1240" s="5" t="str">
        <f>IFERROR(VLOOKUP(E1240,Specifications!$A$2:$D$9,4,FALSE),"")</f>
        <v/>
      </c>
      <c r="P1240" s="8" t="str">
        <f t="shared" si="60"/>
        <v/>
      </c>
      <c r="Q1240" s="9"/>
    </row>
    <row r="1241" spans="1:17" ht="15">
      <c r="A1241" s="5" t="str">
        <f t="shared" si="58"/>
        <v/>
      </c>
      <c r="B1241" s="6"/>
      <c r="C1241" s="5" t="str">
        <f>IFERROR(VLOOKUP(B1241,Lists!$A$2:$B$25,2,FALSE),"")</f>
        <v/>
      </c>
      <c r="D1241" s="7"/>
      <c r="E1241" s="6"/>
      <c r="F1241" s="6" t="str">
        <f t="shared" si="59"/>
        <v/>
      </c>
      <c r="G1241" s="6"/>
      <c r="H1241" s="6"/>
      <c r="I1241" s="6"/>
      <c r="J1241" s="7"/>
      <c r="K1241" s="5" t="str" cm="1">
        <f t="array" ref="K1241">IF(OR(A1241="",B1241="",D1241="",E1241=""),"",A1241&amp;"_"&amp;SUBSTITUTE(B1241," ","-")&amp;"_"&amp;D1241&amp;"_"&amp;SUBSTITUTE(SUBSTITUTE(E1241," ",""),"€","Euro")&amp;"_"&amp;IF(F1241="","Unknown",F1241)&amp;IF(F1241="Commemorative",IF(G1241="","","_"&amp;SUBSTITUTE(SUBSTITUTE(SUBSTITUTE(G1241," ","-"),"/","-"),CHAR(39),"")),"")&amp;IF(I1241="Duplicate","_Dub"&amp;IF(SUMPRODUCT(($B$2:B1241=B1241)*($D$2:D1241=D1241)*($E$2:E1241=E1241)*($F$2:F1241=F1241)*($G$2:G1241=G1241)*($I$2:I1241="Duplicate"))&lt;=1,"",SUMPRODUCT(($B$2:B1241=B1241)*($D$2:D1241=D1241)*($E$2:E1241=E1241)*($F$2:F1241=F1241)*($G$2:G1241=G1241)*($I$2:I1241="Duplicate"))-1),"")&amp;".jpeg")</f>
        <v/>
      </c>
      <c r="L1241" s="6"/>
      <c r="M1241" s="5" t="str">
        <f>IFERROR(VLOOKUP(E1241,Specifications!$A$2:$D$9,2,FALSE),"")</f>
        <v/>
      </c>
      <c r="N1241" s="5" t="str">
        <f>IFERROR(VLOOKUP(E1241,Specifications!$A$2:$D$9,3,FALSE),"")</f>
        <v/>
      </c>
      <c r="O1241" s="5" t="str">
        <f>IFERROR(VLOOKUP(E1241,Specifications!$A$2:$D$9,4,FALSE),"")</f>
        <v/>
      </c>
      <c r="P1241" s="8" t="str">
        <f t="shared" si="60"/>
        <v/>
      </c>
      <c r="Q1241" s="9"/>
    </row>
    <row r="1242" spans="1:17" ht="15">
      <c r="A1242" s="5" t="str">
        <f t="shared" si="58"/>
        <v/>
      </c>
      <c r="B1242" s="6"/>
      <c r="C1242" s="5" t="str">
        <f>IFERROR(VLOOKUP(B1242,Lists!$A$2:$B$25,2,FALSE),"")</f>
        <v/>
      </c>
      <c r="D1242" s="7"/>
      <c r="E1242" s="6"/>
      <c r="F1242" s="6" t="str">
        <f t="shared" si="59"/>
        <v/>
      </c>
      <c r="G1242" s="6"/>
      <c r="H1242" s="6"/>
      <c r="I1242" s="6"/>
      <c r="J1242" s="7"/>
      <c r="K1242" s="5" t="str" cm="1">
        <f t="array" ref="K1242">IF(OR(A1242="",B1242="",D1242="",E1242=""),"",A1242&amp;"_"&amp;SUBSTITUTE(B1242," ","-")&amp;"_"&amp;D1242&amp;"_"&amp;SUBSTITUTE(SUBSTITUTE(E1242," ",""),"€","Euro")&amp;"_"&amp;IF(F1242="","Unknown",F1242)&amp;IF(F1242="Commemorative",IF(G1242="","","_"&amp;SUBSTITUTE(SUBSTITUTE(SUBSTITUTE(G1242," ","-"),"/","-"),CHAR(39),"")),"")&amp;IF(I1242="Duplicate","_Dub"&amp;IF(SUMPRODUCT(($B$2:B1242=B1242)*($D$2:D1242=D1242)*($E$2:E1242=E1242)*($F$2:F1242=F1242)*($G$2:G1242=G1242)*($I$2:I1242="Duplicate"))&lt;=1,"",SUMPRODUCT(($B$2:B1242=B1242)*($D$2:D1242=D1242)*($E$2:E1242=E1242)*($F$2:F1242=F1242)*($G$2:G1242=G1242)*($I$2:I1242="Duplicate"))-1),"")&amp;".jpeg")</f>
        <v/>
      </c>
      <c r="L1242" s="6"/>
      <c r="M1242" s="5" t="str">
        <f>IFERROR(VLOOKUP(E1242,Specifications!$A$2:$D$9,2,FALSE),"")</f>
        <v/>
      </c>
      <c r="N1242" s="5" t="str">
        <f>IFERROR(VLOOKUP(E1242,Specifications!$A$2:$D$9,3,FALSE),"")</f>
        <v/>
      </c>
      <c r="O1242" s="5" t="str">
        <f>IFERROR(VLOOKUP(E1242,Specifications!$A$2:$D$9,4,FALSE),"")</f>
        <v/>
      </c>
      <c r="P1242" s="8" t="str">
        <f t="shared" si="60"/>
        <v/>
      </c>
      <c r="Q1242" s="9"/>
    </row>
    <row r="1243" spans="1:17" ht="15">
      <c r="A1243" s="5" t="str">
        <f t="shared" si="58"/>
        <v/>
      </c>
      <c r="B1243" s="6"/>
      <c r="C1243" s="5" t="str">
        <f>IFERROR(VLOOKUP(B1243,Lists!$A$2:$B$25,2,FALSE),"")</f>
        <v/>
      </c>
      <c r="D1243" s="7"/>
      <c r="E1243" s="6"/>
      <c r="F1243" s="6" t="str">
        <f t="shared" si="59"/>
        <v/>
      </c>
      <c r="G1243" s="6"/>
      <c r="H1243" s="6"/>
      <c r="I1243" s="6"/>
      <c r="J1243" s="7"/>
      <c r="K1243" s="5" t="str" cm="1">
        <f t="array" ref="K1243">IF(OR(A1243="",B1243="",D1243="",E1243=""),"",A1243&amp;"_"&amp;SUBSTITUTE(B1243," ","-")&amp;"_"&amp;D1243&amp;"_"&amp;SUBSTITUTE(SUBSTITUTE(E1243," ",""),"€","Euro")&amp;"_"&amp;IF(F1243="","Unknown",F1243)&amp;IF(F1243="Commemorative",IF(G1243="","","_"&amp;SUBSTITUTE(SUBSTITUTE(SUBSTITUTE(G1243," ","-"),"/","-"),CHAR(39),"")),"")&amp;IF(I1243="Duplicate","_Dub"&amp;IF(SUMPRODUCT(($B$2:B1243=B1243)*($D$2:D1243=D1243)*($E$2:E1243=E1243)*($F$2:F1243=F1243)*($G$2:G1243=G1243)*($I$2:I1243="Duplicate"))&lt;=1,"",SUMPRODUCT(($B$2:B1243=B1243)*($D$2:D1243=D1243)*($E$2:E1243=E1243)*($F$2:F1243=F1243)*($G$2:G1243=G1243)*($I$2:I1243="Duplicate"))-1),"")&amp;".jpeg")</f>
        <v/>
      </c>
      <c r="L1243" s="6"/>
      <c r="M1243" s="5" t="str">
        <f>IFERROR(VLOOKUP(E1243,Specifications!$A$2:$D$9,2,FALSE),"")</f>
        <v/>
      </c>
      <c r="N1243" s="5" t="str">
        <f>IFERROR(VLOOKUP(E1243,Specifications!$A$2:$D$9,3,FALSE),"")</f>
        <v/>
      </c>
      <c r="O1243" s="5" t="str">
        <f>IFERROR(VLOOKUP(E1243,Specifications!$A$2:$D$9,4,FALSE),"")</f>
        <v/>
      </c>
      <c r="P1243" s="8" t="str">
        <f t="shared" si="60"/>
        <v/>
      </c>
      <c r="Q1243" s="9"/>
    </row>
    <row r="1244" spans="1:17" ht="15">
      <c r="A1244" s="5" t="str">
        <f t="shared" si="58"/>
        <v/>
      </c>
      <c r="B1244" s="6"/>
      <c r="C1244" s="5" t="str">
        <f>IFERROR(VLOOKUP(B1244,Lists!$A$2:$B$25,2,FALSE),"")</f>
        <v/>
      </c>
      <c r="D1244" s="7"/>
      <c r="E1244" s="6"/>
      <c r="F1244" s="6" t="str">
        <f t="shared" si="59"/>
        <v/>
      </c>
      <c r="G1244" s="6"/>
      <c r="H1244" s="6"/>
      <c r="I1244" s="6"/>
      <c r="J1244" s="7"/>
      <c r="K1244" s="5" t="str" cm="1">
        <f t="array" ref="K1244">IF(OR(A1244="",B1244="",D1244="",E1244=""),"",A1244&amp;"_"&amp;SUBSTITUTE(B1244," ","-")&amp;"_"&amp;D1244&amp;"_"&amp;SUBSTITUTE(SUBSTITUTE(E1244," ",""),"€","Euro")&amp;"_"&amp;IF(F1244="","Unknown",F1244)&amp;IF(F1244="Commemorative",IF(G1244="","","_"&amp;SUBSTITUTE(SUBSTITUTE(SUBSTITUTE(G1244," ","-"),"/","-"),CHAR(39),"")),"")&amp;IF(I1244="Duplicate","_Dub"&amp;IF(SUMPRODUCT(($B$2:B1244=B1244)*($D$2:D1244=D1244)*($E$2:E1244=E1244)*($F$2:F1244=F1244)*($G$2:G1244=G1244)*($I$2:I1244="Duplicate"))&lt;=1,"",SUMPRODUCT(($B$2:B1244=B1244)*($D$2:D1244=D1244)*($E$2:E1244=E1244)*($F$2:F1244=F1244)*($G$2:G1244=G1244)*($I$2:I1244="Duplicate"))-1),"")&amp;".jpeg")</f>
        <v/>
      </c>
      <c r="L1244" s="6"/>
      <c r="M1244" s="5" t="str">
        <f>IFERROR(VLOOKUP(E1244,Specifications!$A$2:$D$9,2,FALSE),"")</f>
        <v/>
      </c>
      <c r="N1244" s="5" t="str">
        <f>IFERROR(VLOOKUP(E1244,Specifications!$A$2:$D$9,3,FALSE),"")</f>
        <v/>
      </c>
      <c r="O1244" s="5" t="str">
        <f>IFERROR(VLOOKUP(E1244,Specifications!$A$2:$D$9,4,FALSE),"")</f>
        <v/>
      </c>
      <c r="P1244" s="8" t="str">
        <f t="shared" si="60"/>
        <v/>
      </c>
      <c r="Q1244" s="9"/>
    </row>
    <row r="1245" spans="1:17" ht="15">
      <c r="A1245" s="5" t="str">
        <f t="shared" si="58"/>
        <v/>
      </c>
      <c r="B1245" s="6"/>
      <c r="C1245" s="5" t="str">
        <f>IFERROR(VLOOKUP(B1245,Lists!$A$2:$B$25,2,FALSE),"")</f>
        <v/>
      </c>
      <c r="D1245" s="7"/>
      <c r="E1245" s="6"/>
      <c r="F1245" s="6" t="str">
        <f t="shared" si="59"/>
        <v/>
      </c>
      <c r="G1245" s="6"/>
      <c r="H1245" s="6"/>
      <c r="I1245" s="6"/>
      <c r="J1245" s="7"/>
      <c r="K1245" s="5" t="str" cm="1">
        <f t="array" ref="K1245">IF(OR(A1245="",B1245="",D1245="",E1245=""),"",A1245&amp;"_"&amp;SUBSTITUTE(B1245," ","-")&amp;"_"&amp;D1245&amp;"_"&amp;SUBSTITUTE(SUBSTITUTE(E1245," ",""),"€","Euro")&amp;"_"&amp;IF(F1245="","Unknown",F1245)&amp;IF(F1245="Commemorative",IF(G1245="","","_"&amp;SUBSTITUTE(SUBSTITUTE(SUBSTITUTE(G1245," ","-"),"/","-"),CHAR(39),"")),"")&amp;IF(I1245="Duplicate","_Dub"&amp;IF(SUMPRODUCT(($B$2:B1245=B1245)*($D$2:D1245=D1245)*($E$2:E1245=E1245)*($F$2:F1245=F1245)*($G$2:G1245=G1245)*($I$2:I1245="Duplicate"))&lt;=1,"",SUMPRODUCT(($B$2:B1245=B1245)*($D$2:D1245=D1245)*($E$2:E1245=E1245)*($F$2:F1245=F1245)*($G$2:G1245=G1245)*($I$2:I1245="Duplicate"))-1),"")&amp;".jpeg")</f>
        <v/>
      </c>
      <c r="L1245" s="6"/>
      <c r="M1245" s="5" t="str">
        <f>IFERROR(VLOOKUP(E1245,Specifications!$A$2:$D$9,2,FALSE),"")</f>
        <v/>
      </c>
      <c r="N1245" s="5" t="str">
        <f>IFERROR(VLOOKUP(E1245,Specifications!$A$2:$D$9,3,FALSE),"")</f>
        <v/>
      </c>
      <c r="O1245" s="5" t="str">
        <f>IFERROR(VLOOKUP(E1245,Specifications!$A$2:$D$9,4,FALSE),"")</f>
        <v/>
      </c>
      <c r="P1245" s="8" t="str">
        <f t="shared" si="60"/>
        <v/>
      </c>
      <c r="Q1245" s="9"/>
    </row>
    <row r="1246" spans="1:17" ht="15">
      <c r="A1246" s="5" t="str">
        <f t="shared" si="58"/>
        <v/>
      </c>
      <c r="B1246" s="6"/>
      <c r="C1246" s="5" t="str">
        <f>IFERROR(VLOOKUP(B1246,Lists!$A$2:$B$25,2,FALSE),"")</f>
        <v/>
      </c>
      <c r="D1246" s="7"/>
      <c r="E1246" s="6"/>
      <c r="F1246" s="6" t="str">
        <f t="shared" si="59"/>
        <v/>
      </c>
      <c r="G1246" s="6"/>
      <c r="H1246" s="6"/>
      <c r="I1246" s="6"/>
      <c r="J1246" s="7"/>
      <c r="K1246" s="5" t="str" cm="1">
        <f t="array" ref="K1246">IF(OR(A1246="",B1246="",D1246="",E1246=""),"",A1246&amp;"_"&amp;SUBSTITUTE(B1246," ","-")&amp;"_"&amp;D1246&amp;"_"&amp;SUBSTITUTE(SUBSTITUTE(E1246," ",""),"€","Euro")&amp;"_"&amp;IF(F1246="","Unknown",F1246)&amp;IF(F1246="Commemorative",IF(G1246="","","_"&amp;SUBSTITUTE(SUBSTITUTE(SUBSTITUTE(G1246," ","-"),"/","-"),CHAR(39),"")),"")&amp;IF(I1246="Duplicate","_Dub"&amp;IF(SUMPRODUCT(($B$2:B1246=B1246)*($D$2:D1246=D1246)*($E$2:E1246=E1246)*($F$2:F1246=F1246)*($G$2:G1246=G1246)*($I$2:I1246="Duplicate"))&lt;=1,"",SUMPRODUCT(($B$2:B1246=B1246)*($D$2:D1246=D1246)*($E$2:E1246=E1246)*($F$2:F1246=F1246)*($G$2:G1246=G1246)*($I$2:I1246="Duplicate"))-1),"")&amp;".jpeg")</f>
        <v/>
      </c>
      <c r="L1246" s="6"/>
      <c r="M1246" s="5" t="str">
        <f>IFERROR(VLOOKUP(E1246,Specifications!$A$2:$D$9,2,FALSE),"")</f>
        <v/>
      </c>
      <c r="N1246" s="5" t="str">
        <f>IFERROR(VLOOKUP(E1246,Specifications!$A$2:$D$9,3,FALSE),"")</f>
        <v/>
      </c>
      <c r="O1246" s="5" t="str">
        <f>IFERROR(VLOOKUP(E1246,Specifications!$A$2:$D$9,4,FALSE),"")</f>
        <v/>
      </c>
      <c r="P1246" s="8" t="str">
        <f t="shared" si="60"/>
        <v/>
      </c>
      <c r="Q1246" s="9"/>
    </row>
    <row r="1247" spans="1:17" ht="15">
      <c r="A1247" s="5" t="str">
        <f t="shared" si="58"/>
        <v/>
      </c>
      <c r="B1247" s="6"/>
      <c r="C1247" s="5" t="str">
        <f>IFERROR(VLOOKUP(B1247,Lists!$A$2:$B$25,2,FALSE),"")</f>
        <v/>
      </c>
      <c r="D1247" s="7"/>
      <c r="E1247" s="6"/>
      <c r="F1247" s="6" t="str">
        <f t="shared" si="59"/>
        <v/>
      </c>
      <c r="G1247" s="6"/>
      <c r="H1247" s="6"/>
      <c r="I1247" s="6"/>
      <c r="J1247" s="7"/>
      <c r="K1247" s="5" t="str" cm="1">
        <f t="array" ref="K1247">IF(OR(A1247="",B1247="",D1247="",E1247=""),"",A1247&amp;"_"&amp;SUBSTITUTE(B1247," ","-")&amp;"_"&amp;D1247&amp;"_"&amp;SUBSTITUTE(SUBSTITUTE(E1247," ",""),"€","Euro")&amp;"_"&amp;IF(F1247="","Unknown",F1247)&amp;IF(F1247="Commemorative",IF(G1247="","","_"&amp;SUBSTITUTE(SUBSTITUTE(SUBSTITUTE(G1247," ","-"),"/","-"),CHAR(39),"")),"")&amp;IF(I1247="Duplicate","_Dub"&amp;IF(SUMPRODUCT(($B$2:B1247=B1247)*($D$2:D1247=D1247)*($E$2:E1247=E1247)*($F$2:F1247=F1247)*($G$2:G1247=G1247)*($I$2:I1247="Duplicate"))&lt;=1,"",SUMPRODUCT(($B$2:B1247=B1247)*($D$2:D1247=D1247)*($E$2:E1247=E1247)*($F$2:F1247=F1247)*($G$2:G1247=G1247)*($I$2:I1247="Duplicate"))-1),"")&amp;".jpeg")</f>
        <v/>
      </c>
      <c r="L1247" s="6"/>
      <c r="M1247" s="5" t="str">
        <f>IFERROR(VLOOKUP(E1247,Specifications!$A$2:$D$9,2,FALSE),"")</f>
        <v/>
      </c>
      <c r="N1247" s="5" t="str">
        <f>IFERROR(VLOOKUP(E1247,Specifications!$A$2:$D$9,3,FALSE),"")</f>
        <v/>
      </c>
      <c r="O1247" s="5" t="str">
        <f>IFERROR(VLOOKUP(E1247,Specifications!$A$2:$D$9,4,FALSE),"")</f>
        <v/>
      </c>
      <c r="P1247" s="8" t="str">
        <f t="shared" si="60"/>
        <v/>
      </c>
      <c r="Q1247" s="9"/>
    </row>
    <row r="1248" spans="1:17" ht="15">
      <c r="A1248" s="5" t="str">
        <f t="shared" si="58"/>
        <v/>
      </c>
      <c r="B1248" s="6"/>
      <c r="C1248" s="5" t="str">
        <f>IFERROR(VLOOKUP(B1248,Lists!$A$2:$B$25,2,FALSE),"")</f>
        <v/>
      </c>
      <c r="D1248" s="7"/>
      <c r="E1248" s="6"/>
      <c r="F1248" s="6" t="str">
        <f t="shared" si="59"/>
        <v/>
      </c>
      <c r="G1248" s="6"/>
      <c r="H1248" s="6"/>
      <c r="I1248" s="6"/>
      <c r="J1248" s="7"/>
      <c r="K1248" s="5" t="str" cm="1">
        <f t="array" ref="K1248">IF(OR(A1248="",B1248="",D1248="",E1248=""),"",A1248&amp;"_"&amp;SUBSTITUTE(B1248," ","-")&amp;"_"&amp;D1248&amp;"_"&amp;SUBSTITUTE(SUBSTITUTE(E1248," ",""),"€","Euro")&amp;"_"&amp;IF(F1248="","Unknown",F1248)&amp;IF(F1248="Commemorative",IF(G1248="","","_"&amp;SUBSTITUTE(SUBSTITUTE(SUBSTITUTE(G1248," ","-"),"/","-"),CHAR(39),"")),"")&amp;IF(I1248="Duplicate","_Dub"&amp;IF(SUMPRODUCT(($B$2:B1248=B1248)*($D$2:D1248=D1248)*($E$2:E1248=E1248)*($F$2:F1248=F1248)*($G$2:G1248=G1248)*($I$2:I1248="Duplicate"))&lt;=1,"",SUMPRODUCT(($B$2:B1248=B1248)*($D$2:D1248=D1248)*($E$2:E1248=E1248)*($F$2:F1248=F1248)*($G$2:G1248=G1248)*($I$2:I1248="Duplicate"))-1),"")&amp;".jpeg")</f>
        <v/>
      </c>
      <c r="L1248" s="6"/>
      <c r="M1248" s="5" t="str">
        <f>IFERROR(VLOOKUP(E1248,Specifications!$A$2:$D$9,2,FALSE),"")</f>
        <v/>
      </c>
      <c r="N1248" s="5" t="str">
        <f>IFERROR(VLOOKUP(E1248,Specifications!$A$2:$D$9,3,FALSE),"")</f>
        <v/>
      </c>
      <c r="O1248" s="5" t="str">
        <f>IFERROR(VLOOKUP(E1248,Specifications!$A$2:$D$9,4,FALSE),"")</f>
        <v/>
      </c>
      <c r="P1248" s="8" t="str">
        <f t="shared" si="60"/>
        <v/>
      </c>
      <c r="Q1248" s="9"/>
    </row>
    <row r="1249" spans="1:17" ht="15">
      <c r="A1249" s="5" t="str">
        <f t="shared" si="58"/>
        <v/>
      </c>
      <c r="B1249" s="6"/>
      <c r="C1249" s="5" t="str">
        <f>IFERROR(VLOOKUP(B1249,Lists!$A$2:$B$25,2,FALSE),"")</f>
        <v/>
      </c>
      <c r="D1249" s="7"/>
      <c r="E1249" s="6"/>
      <c r="F1249" s="6" t="str">
        <f t="shared" si="59"/>
        <v/>
      </c>
      <c r="G1249" s="6"/>
      <c r="H1249" s="6"/>
      <c r="I1249" s="6"/>
      <c r="J1249" s="7"/>
      <c r="K1249" s="5" t="str" cm="1">
        <f t="array" ref="K1249">IF(OR(A1249="",B1249="",D1249="",E1249=""),"",A1249&amp;"_"&amp;SUBSTITUTE(B1249," ","-")&amp;"_"&amp;D1249&amp;"_"&amp;SUBSTITUTE(SUBSTITUTE(E1249," ",""),"€","Euro")&amp;"_"&amp;IF(F1249="","Unknown",F1249)&amp;IF(F1249="Commemorative",IF(G1249="","","_"&amp;SUBSTITUTE(SUBSTITUTE(SUBSTITUTE(G1249," ","-"),"/","-"),CHAR(39),"")),"")&amp;IF(I1249="Duplicate","_Dub"&amp;IF(SUMPRODUCT(($B$2:B1249=B1249)*($D$2:D1249=D1249)*($E$2:E1249=E1249)*($F$2:F1249=F1249)*($G$2:G1249=G1249)*($I$2:I1249="Duplicate"))&lt;=1,"",SUMPRODUCT(($B$2:B1249=B1249)*($D$2:D1249=D1249)*($E$2:E1249=E1249)*($F$2:F1249=F1249)*($G$2:G1249=G1249)*($I$2:I1249="Duplicate"))-1),"")&amp;".jpeg")</f>
        <v/>
      </c>
      <c r="L1249" s="6"/>
      <c r="M1249" s="5" t="str">
        <f>IFERROR(VLOOKUP(E1249,Specifications!$A$2:$D$9,2,FALSE),"")</f>
        <v/>
      </c>
      <c r="N1249" s="5" t="str">
        <f>IFERROR(VLOOKUP(E1249,Specifications!$A$2:$D$9,3,FALSE),"")</f>
        <v/>
      </c>
      <c r="O1249" s="5" t="str">
        <f>IFERROR(VLOOKUP(E1249,Specifications!$A$2:$D$9,4,FALSE),"")</f>
        <v/>
      </c>
      <c r="P1249" s="8" t="str">
        <f t="shared" si="60"/>
        <v/>
      </c>
      <c r="Q1249" s="9"/>
    </row>
    <row r="1250" spans="1:17" ht="15">
      <c r="A1250" s="5" t="str">
        <f t="shared" si="58"/>
        <v/>
      </c>
      <c r="B1250" s="6"/>
      <c r="C1250" s="5" t="str">
        <f>IFERROR(VLOOKUP(B1250,Lists!$A$2:$B$25,2,FALSE),"")</f>
        <v/>
      </c>
      <c r="D1250" s="7"/>
      <c r="E1250" s="6"/>
      <c r="F1250" s="6" t="str">
        <f t="shared" si="59"/>
        <v/>
      </c>
      <c r="G1250" s="6"/>
      <c r="H1250" s="6"/>
      <c r="I1250" s="6"/>
      <c r="J1250" s="7"/>
      <c r="K1250" s="5" t="str" cm="1">
        <f t="array" ref="K1250">IF(OR(A1250="",B1250="",D1250="",E1250=""),"",A1250&amp;"_"&amp;SUBSTITUTE(B1250," ","-")&amp;"_"&amp;D1250&amp;"_"&amp;SUBSTITUTE(SUBSTITUTE(E1250," ",""),"€","Euro")&amp;"_"&amp;IF(F1250="","Unknown",F1250)&amp;IF(F1250="Commemorative",IF(G1250="","","_"&amp;SUBSTITUTE(SUBSTITUTE(SUBSTITUTE(G1250," ","-"),"/","-"),CHAR(39),"")),"")&amp;IF(I1250="Duplicate","_Dub"&amp;IF(SUMPRODUCT(($B$2:B1250=B1250)*($D$2:D1250=D1250)*($E$2:E1250=E1250)*($F$2:F1250=F1250)*($G$2:G1250=G1250)*($I$2:I1250="Duplicate"))&lt;=1,"",SUMPRODUCT(($B$2:B1250=B1250)*($D$2:D1250=D1250)*($E$2:E1250=E1250)*($F$2:F1250=F1250)*($G$2:G1250=G1250)*($I$2:I1250="Duplicate"))-1),"")&amp;".jpeg")</f>
        <v/>
      </c>
      <c r="L1250" s="6"/>
      <c r="M1250" s="5" t="str">
        <f>IFERROR(VLOOKUP(E1250,Specifications!$A$2:$D$9,2,FALSE),"")</f>
        <v/>
      </c>
      <c r="N1250" s="5" t="str">
        <f>IFERROR(VLOOKUP(E1250,Specifications!$A$2:$D$9,3,FALSE),"")</f>
        <v/>
      </c>
      <c r="O1250" s="5" t="str">
        <f>IFERROR(VLOOKUP(E1250,Specifications!$A$2:$D$9,4,FALSE),"")</f>
        <v/>
      </c>
      <c r="P1250" s="8" t="str">
        <f t="shared" si="60"/>
        <v/>
      </c>
      <c r="Q1250" s="9"/>
    </row>
    <row r="1251" spans="1:17" ht="15">
      <c r="A1251" s="5" t="str">
        <f t="shared" si="58"/>
        <v/>
      </c>
      <c r="B1251" s="6"/>
      <c r="C1251" s="5" t="str">
        <f>IFERROR(VLOOKUP(B1251,Lists!$A$2:$B$25,2,FALSE),"")</f>
        <v/>
      </c>
      <c r="D1251" s="7"/>
      <c r="E1251" s="6"/>
      <c r="F1251" s="6" t="str">
        <f t="shared" si="59"/>
        <v/>
      </c>
      <c r="G1251" s="6"/>
      <c r="H1251" s="6"/>
      <c r="I1251" s="6"/>
      <c r="J1251" s="7"/>
      <c r="K1251" s="5" t="str" cm="1">
        <f t="array" ref="K1251">IF(OR(A1251="",B1251="",D1251="",E1251=""),"",A1251&amp;"_"&amp;SUBSTITUTE(B1251," ","-")&amp;"_"&amp;D1251&amp;"_"&amp;SUBSTITUTE(SUBSTITUTE(E1251," ",""),"€","Euro")&amp;"_"&amp;IF(F1251="","Unknown",F1251)&amp;IF(F1251="Commemorative",IF(G1251="","","_"&amp;SUBSTITUTE(SUBSTITUTE(SUBSTITUTE(G1251," ","-"),"/","-"),CHAR(39),"")),"")&amp;IF(I1251="Duplicate","_Dub"&amp;IF(SUMPRODUCT(($B$2:B1251=B1251)*($D$2:D1251=D1251)*($E$2:E1251=E1251)*($F$2:F1251=F1251)*($G$2:G1251=G1251)*($I$2:I1251="Duplicate"))&lt;=1,"",SUMPRODUCT(($B$2:B1251=B1251)*($D$2:D1251=D1251)*($E$2:E1251=E1251)*($F$2:F1251=F1251)*($G$2:G1251=G1251)*($I$2:I1251="Duplicate"))-1),"")&amp;".jpeg")</f>
        <v/>
      </c>
      <c r="L1251" s="6"/>
      <c r="M1251" s="5" t="str">
        <f>IFERROR(VLOOKUP(E1251,Specifications!$A$2:$D$9,2,FALSE),"")</f>
        <v/>
      </c>
      <c r="N1251" s="5" t="str">
        <f>IFERROR(VLOOKUP(E1251,Specifications!$A$2:$D$9,3,FALSE),"")</f>
        <v/>
      </c>
      <c r="O1251" s="5" t="str">
        <f>IFERROR(VLOOKUP(E1251,Specifications!$A$2:$D$9,4,FALSE),"")</f>
        <v/>
      </c>
      <c r="P1251" s="8" t="str">
        <f t="shared" si="60"/>
        <v/>
      </c>
      <c r="Q1251" s="9"/>
    </row>
    <row r="1252" spans="1:17" ht="15">
      <c r="A1252" s="5" t="str">
        <f t="shared" si="58"/>
        <v/>
      </c>
      <c r="B1252" s="6"/>
      <c r="C1252" s="5" t="str">
        <f>IFERROR(VLOOKUP(B1252,Lists!$A$2:$B$25,2,FALSE),"")</f>
        <v/>
      </c>
      <c r="D1252" s="7"/>
      <c r="E1252" s="6"/>
      <c r="F1252" s="6" t="str">
        <f t="shared" si="59"/>
        <v/>
      </c>
      <c r="G1252" s="6"/>
      <c r="H1252" s="6"/>
      <c r="I1252" s="6"/>
      <c r="J1252" s="7"/>
      <c r="K1252" s="5" t="str" cm="1">
        <f t="array" ref="K1252">IF(OR(A1252="",B1252="",D1252="",E1252=""),"",A1252&amp;"_"&amp;SUBSTITUTE(B1252," ","-")&amp;"_"&amp;D1252&amp;"_"&amp;SUBSTITUTE(SUBSTITUTE(E1252," ",""),"€","Euro")&amp;"_"&amp;IF(F1252="","Unknown",F1252)&amp;IF(F1252="Commemorative",IF(G1252="","","_"&amp;SUBSTITUTE(SUBSTITUTE(SUBSTITUTE(G1252," ","-"),"/","-"),CHAR(39),"")),"")&amp;IF(I1252="Duplicate","_Dub"&amp;IF(SUMPRODUCT(($B$2:B1252=B1252)*($D$2:D1252=D1252)*($E$2:E1252=E1252)*($F$2:F1252=F1252)*($G$2:G1252=G1252)*($I$2:I1252="Duplicate"))&lt;=1,"",SUMPRODUCT(($B$2:B1252=B1252)*($D$2:D1252=D1252)*($E$2:E1252=E1252)*($F$2:F1252=F1252)*($G$2:G1252=G1252)*($I$2:I1252="Duplicate"))-1),"")&amp;".jpeg")</f>
        <v/>
      </c>
      <c r="L1252" s="6"/>
      <c r="M1252" s="5" t="str">
        <f>IFERROR(VLOOKUP(E1252,Specifications!$A$2:$D$9,2,FALSE),"")</f>
        <v/>
      </c>
      <c r="N1252" s="5" t="str">
        <f>IFERROR(VLOOKUP(E1252,Specifications!$A$2:$D$9,3,FALSE),"")</f>
        <v/>
      </c>
      <c r="O1252" s="5" t="str">
        <f>IFERROR(VLOOKUP(E1252,Specifications!$A$2:$D$9,4,FALSE),"")</f>
        <v/>
      </c>
      <c r="P1252" s="8" t="str">
        <f t="shared" si="60"/>
        <v/>
      </c>
      <c r="Q1252" s="9"/>
    </row>
    <row r="1253" spans="1:17" ht="15">
      <c r="A1253" s="5" t="str">
        <f t="shared" si="58"/>
        <v/>
      </c>
      <c r="B1253" s="6"/>
      <c r="C1253" s="5" t="str">
        <f>IFERROR(VLOOKUP(B1253,Lists!$A$2:$B$25,2,FALSE),"")</f>
        <v/>
      </c>
      <c r="D1253" s="7"/>
      <c r="E1253" s="6"/>
      <c r="F1253" s="6" t="str">
        <f t="shared" si="59"/>
        <v/>
      </c>
      <c r="G1253" s="6"/>
      <c r="H1253" s="6"/>
      <c r="I1253" s="6"/>
      <c r="J1253" s="7"/>
      <c r="K1253" s="5" t="str" cm="1">
        <f t="array" ref="K1253">IF(OR(A1253="",B1253="",D1253="",E1253=""),"",A1253&amp;"_"&amp;SUBSTITUTE(B1253," ","-")&amp;"_"&amp;D1253&amp;"_"&amp;SUBSTITUTE(SUBSTITUTE(E1253," ",""),"€","Euro")&amp;"_"&amp;IF(F1253="","Unknown",F1253)&amp;IF(F1253="Commemorative",IF(G1253="","","_"&amp;SUBSTITUTE(SUBSTITUTE(SUBSTITUTE(G1253," ","-"),"/","-"),CHAR(39),"")),"")&amp;IF(I1253="Duplicate","_Dub"&amp;IF(SUMPRODUCT(($B$2:B1253=B1253)*($D$2:D1253=D1253)*($E$2:E1253=E1253)*($F$2:F1253=F1253)*($G$2:G1253=G1253)*($I$2:I1253="Duplicate"))&lt;=1,"",SUMPRODUCT(($B$2:B1253=B1253)*($D$2:D1253=D1253)*($E$2:E1253=E1253)*($F$2:F1253=F1253)*($G$2:G1253=G1253)*($I$2:I1253="Duplicate"))-1),"")&amp;".jpeg")</f>
        <v/>
      </c>
      <c r="L1253" s="6"/>
      <c r="M1253" s="5" t="str">
        <f>IFERROR(VLOOKUP(E1253,Specifications!$A$2:$D$9,2,FALSE),"")</f>
        <v/>
      </c>
      <c r="N1253" s="5" t="str">
        <f>IFERROR(VLOOKUP(E1253,Specifications!$A$2:$D$9,3,FALSE),"")</f>
        <v/>
      </c>
      <c r="O1253" s="5" t="str">
        <f>IFERROR(VLOOKUP(E1253,Specifications!$A$2:$D$9,4,FALSE),"")</f>
        <v/>
      </c>
      <c r="P1253" s="8" t="str">
        <f t="shared" si="60"/>
        <v/>
      </c>
      <c r="Q1253" s="9"/>
    </row>
    <row r="1254" spans="1:17" ht="15">
      <c r="A1254" s="5" t="str">
        <f t="shared" si="58"/>
        <v/>
      </c>
      <c r="B1254" s="6"/>
      <c r="C1254" s="5" t="str">
        <f>IFERROR(VLOOKUP(B1254,Lists!$A$2:$B$25,2,FALSE),"")</f>
        <v/>
      </c>
      <c r="D1254" s="7"/>
      <c r="E1254" s="6"/>
      <c r="F1254" s="6" t="str">
        <f t="shared" si="59"/>
        <v/>
      </c>
      <c r="G1254" s="6"/>
      <c r="H1254" s="6"/>
      <c r="I1254" s="6"/>
      <c r="J1254" s="7"/>
      <c r="K1254" s="5" t="str" cm="1">
        <f t="array" ref="K1254">IF(OR(A1254="",B1254="",D1254="",E1254=""),"",A1254&amp;"_"&amp;SUBSTITUTE(B1254," ","-")&amp;"_"&amp;D1254&amp;"_"&amp;SUBSTITUTE(SUBSTITUTE(E1254," ",""),"€","Euro")&amp;"_"&amp;IF(F1254="","Unknown",F1254)&amp;IF(F1254="Commemorative",IF(G1254="","","_"&amp;SUBSTITUTE(SUBSTITUTE(SUBSTITUTE(G1254," ","-"),"/","-"),CHAR(39),"")),"")&amp;IF(I1254="Duplicate","_Dub"&amp;IF(SUMPRODUCT(($B$2:B1254=B1254)*($D$2:D1254=D1254)*($E$2:E1254=E1254)*($F$2:F1254=F1254)*($G$2:G1254=G1254)*($I$2:I1254="Duplicate"))&lt;=1,"",SUMPRODUCT(($B$2:B1254=B1254)*($D$2:D1254=D1254)*($E$2:E1254=E1254)*($F$2:F1254=F1254)*($G$2:G1254=G1254)*($I$2:I1254="Duplicate"))-1),"")&amp;".jpeg")</f>
        <v/>
      </c>
      <c r="L1254" s="6"/>
      <c r="M1254" s="5" t="str">
        <f>IFERROR(VLOOKUP(E1254,Specifications!$A$2:$D$9,2,FALSE),"")</f>
        <v/>
      </c>
      <c r="N1254" s="5" t="str">
        <f>IFERROR(VLOOKUP(E1254,Specifications!$A$2:$D$9,3,FALSE),"")</f>
        <v/>
      </c>
      <c r="O1254" s="5" t="str">
        <f>IFERROR(VLOOKUP(E1254,Specifications!$A$2:$D$9,4,FALSE),"")</f>
        <v/>
      </c>
      <c r="P1254" s="8" t="str">
        <f t="shared" si="60"/>
        <v/>
      </c>
      <c r="Q1254" s="9"/>
    </row>
    <row r="1255" spans="1:17" ht="15">
      <c r="A1255" s="5" t="str">
        <f t="shared" si="58"/>
        <v/>
      </c>
      <c r="B1255" s="6"/>
      <c r="C1255" s="5" t="str">
        <f>IFERROR(VLOOKUP(B1255,Lists!$A$2:$B$25,2,FALSE),"")</f>
        <v/>
      </c>
      <c r="D1255" s="7"/>
      <c r="E1255" s="6"/>
      <c r="F1255" s="6" t="str">
        <f t="shared" si="59"/>
        <v/>
      </c>
      <c r="G1255" s="6"/>
      <c r="H1255" s="6"/>
      <c r="I1255" s="6"/>
      <c r="J1255" s="7"/>
      <c r="K1255" s="5" t="str" cm="1">
        <f t="array" ref="K1255">IF(OR(A1255="",B1255="",D1255="",E1255=""),"",A1255&amp;"_"&amp;SUBSTITUTE(B1255," ","-")&amp;"_"&amp;D1255&amp;"_"&amp;SUBSTITUTE(SUBSTITUTE(E1255," ",""),"€","Euro")&amp;"_"&amp;IF(F1255="","Unknown",F1255)&amp;IF(F1255="Commemorative",IF(G1255="","","_"&amp;SUBSTITUTE(SUBSTITUTE(SUBSTITUTE(G1255," ","-"),"/","-"),CHAR(39),"")),"")&amp;IF(I1255="Duplicate","_Dub"&amp;IF(SUMPRODUCT(($B$2:B1255=B1255)*($D$2:D1255=D1255)*($E$2:E1255=E1255)*($F$2:F1255=F1255)*($G$2:G1255=G1255)*($I$2:I1255="Duplicate"))&lt;=1,"",SUMPRODUCT(($B$2:B1255=B1255)*($D$2:D1255=D1255)*($E$2:E1255=E1255)*($F$2:F1255=F1255)*($G$2:G1255=G1255)*($I$2:I1255="Duplicate"))-1),"")&amp;".jpeg")</f>
        <v/>
      </c>
      <c r="L1255" s="6"/>
      <c r="M1255" s="5" t="str">
        <f>IFERROR(VLOOKUP(E1255,Specifications!$A$2:$D$9,2,FALSE),"")</f>
        <v/>
      </c>
      <c r="N1255" s="5" t="str">
        <f>IFERROR(VLOOKUP(E1255,Specifications!$A$2:$D$9,3,FALSE),"")</f>
        <v/>
      </c>
      <c r="O1255" s="5" t="str">
        <f>IFERROR(VLOOKUP(E1255,Specifications!$A$2:$D$9,4,FALSE),"")</f>
        <v/>
      </c>
      <c r="P1255" s="8" t="str">
        <f t="shared" si="60"/>
        <v/>
      </c>
      <c r="Q1255" s="9"/>
    </row>
    <row r="1256" spans="1:17" ht="15">
      <c r="A1256" s="5" t="str">
        <f t="shared" si="58"/>
        <v/>
      </c>
      <c r="B1256" s="6"/>
      <c r="C1256" s="5" t="str">
        <f>IFERROR(VLOOKUP(B1256,Lists!$A$2:$B$25,2,FALSE),"")</f>
        <v/>
      </c>
      <c r="D1256" s="7"/>
      <c r="E1256" s="6"/>
      <c r="F1256" s="6" t="str">
        <f t="shared" si="59"/>
        <v/>
      </c>
      <c r="G1256" s="6"/>
      <c r="H1256" s="6"/>
      <c r="I1256" s="6"/>
      <c r="J1256" s="7"/>
      <c r="K1256" s="5" t="str" cm="1">
        <f t="array" ref="K1256">IF(OR(A1256="",B1256="",D1256="",E1256=""),"",A1256&amp;"_"&amp;SUBSTITUTE(B1256," ","-")&amp;"_"&amp;D1256&amp;"_"&amp;SUBSTITUTE(SUBSTITUTE(E1256," ",""),"€","Euro")&amp;"_"&amp;IF(F1256="","Unknown",F1256)&amp;IF(F1256="Commemorative",IF(G1256="","","_"&amp;SUBSTITUTE(SUBSTITUTE(SUBSTITUTE(G1256," ","-"),"/","-"),CHAR(39),"")),"")&amp;IF(I1256="Duplicate","_Dub"&amp;IF(SUMPRODUCT(($B$2:B1256=B1256)*($D$2:D1256=D1256)*($E$2:E1256=E1256)*($F$2:F1256=F1256)*($G$2:G1256=G1256)*($I$2:I1256="Duplicate"))&lt;=1,"",SUMPRODUCT(($B$2:B1256=B1256)*($D$2:D1256=D1256)*($E$2:E1256=E1256)*($F$2:F1256=F1256)*($G$2:G1256=G1256)*($I$2:I1256="Duplicate"))-1),"")&amp;".jpeg")</f>
        <v/>
      </c>
      <c r="L1256" s="6"/>
      <c r="M1256" s="5" t="str">
        <f>IFERROR(VLOOKUP(E1256,Specifications!$A$2:$D$9,2,FALSE),"")</f>
        <v/>
      </c>
      <c r="N1256" s="5" t="str">
        <f>IFERROR(VLOOKUP(E1256,Specifications!$A$2:$D$9,3,FALSE),"")</f>
        <v/>
      </c>
      <c r="O1256" s="5" t="str">
        <f>IFERROR(VLOOKUP(E1256,Specifications!$A$2:$D$9,4,FALSE),"")</f>
        <v/>
      </c>
      <c r="P1256" s="8" t="str">
        <f t="shared" si="60"/>
        <v/>
      </c>
      <c r="Q1256" s="9"/>
    </row>
    <row r="1257" spans="1:17" ht="15">
      <c r="A1257" s="5" t="str">
        <f t="shared" si="58"/>
        <v/>
      </c>
      <c r="B1257" s="6"/>
      <c r="C1257" s="5" t="str">
        <f>IFERROR(VLOOKUP(B1257,Lists!$A$2:$B$25,2,FALSE),"")</f>
        <v/>
      </c>
      <c r="D1257" s="7"/>
      <c r="E1257" s="6"/>
      <c r="F1257" s="6" t="str">
        <f t="shared" si="59"/>
        <v/>
      </c>
      <c r="G1257" s="6"/>
      <c r="H1257" s="6"/>
      <c r="I1257" s="6"/>
      <c r="J1257" s="7"/>
      <c r="K1257" s="5" t="str" cm="1">
        <f t="array" ref="K1257">IF(OR(A1257="",B1257="",D1257="",E1257=""),"",A1257&amp;"_"&amp;SUBSTITUTE(B1257," ","-")&amp;"_"&amp;D1257&amp;"_"&amp;SUBSTITUTE(SUBSTITUTE(E1257," ",""),"€","Euro")&amp;"_"&amp;IF(F1257="","Unknown",F1257)&amp;IF(F1257="Commemorative",IF(G1257="","","_"&amp;SUBSTITUTE(SUBSTITUTE(SUBSTITUTE(G1257," ","-"),"/","-"),CHAR(39),"")),"")&amp;IF(I1257="Duplicate","_Dub"&amp;IF(SUMPRODUCT(($B$2:B1257=B1257)*($D$2:D1257=D1257)*($E$2:E1257=E1257)*($F$2:F1257=F1257)*($G$2:G1257=G1257)*($I$2:I1257="Duplicate"))&lt;=1,"",SUMPRODUCT(($B$2:B1257=B1257)*($D$2:D1257=D1257)*($E$2:E1257=E1257)*($F$2:F1257=F1257)*($G$2:G1257=G1257)*($I$2:I1257="Duplicate"))-1),"")&amp;".jpeg")</f>
        <v/>
      </c>
      <c r="L1257" s="6"/>
      <c r="M1257" s="5" t="str">
        <f>IFERROR(VLOOKUP(E1257,Specifications!$A$2:$D$9,2,FALSE),"")</f>
        <v/>
      </c>
      <c r="N1257" s="5" t="str">
        <f>IFERROR(VLOOKUP(E1257,Specifications!$A$2:$D$9,3,FALSE),"")</f>
        <v/>
      </c>
      <c r="O1257" s="5" t="str">
        <f>IFERROR(VLOOKUP(E1257,Specifications!$A$2:$D$9,4,FALSE),"")</f>
        <v/>
      </c>
      <c r="P1257" s="8" t="str">
        <f t="shared" si="60"/>
        <v/>
      </c>
      <c r="Q1257" s="9"/>
    </row>
    <row r="1258" spans="1:17" ht="15">
      <c r="A1258" s="5" t="str">
        <f t="shared" si="58"/>
        <v/>
      </c>
      <c r="B1258" s="6"/>
      <c r="C1258" s="5" t="str">
        <f>IFERROR(VLOOKUP(B1258,Lists!$A$2:$B$25,2,FALSE),"")</f>
        <v/>
      </c>
      <c r="D1258" s="7"/>
      <c r="E1258" s="6"/>
      <c r="F1258" s="6" t="str">
        <f t="shared" si="59"/>
        <v/>
      </c>
      <c r="G1258" s="6"/>
      <c r="H1258" s="6"/>
      <c r="I1258" s="6"/>
      <c r="J1258" s="7"/>
      <c r="K1258" s="5" t="str" cm="1">
        <f t="array" ref="K1258">IF(OR(A1258="",B1258="",D1258="",E1258=""),"",A1258&amp;"_"&amp;SUBSTITUTE(B1258," ","-")&amp;"_"&amp;D1258&amp;"_"&amp;SUBSTITUTE(SUBSTITUTE(E1258," ",""),"€","Euro")&amp;"_"&amp;IF(F1258="","Unknown",F1258)&amp;IF(F1258="Commemorative",IF(G1258="","","_"&amp;SUBSTITUTE(SUBSTITUTE(SUBSTITUTE(G1258," ","-"),"/","-"),CHAR(39),"")),"")&amp;IF(I1258="Duplicate","_Dub"&amp;IF(SUMPRODUCT(($B$2:B1258=B1258)*($D$2:D1258=D1258)*($E$2:E1258=E1258)*($F$2:F1258=F1258)*($G$2:G1258=G1258)*($I$2:I1258="Duplicate"))&lt;=1,"",SUMPRODUCT(($B$2:B1258=B1258)*($D$2:D1258=D1258)*($E$2:E1258=E1258)*($F$2:F1258=F1258)*($G$2:G1258=G1258)*($I$2:I1258="Duplicate"))-1),"")&amp;".jpeg")</f>
        <v/>
      </c>
      <c r="L1258" s="6"/>
      <c r="M1258" s="5" t="str">
        <f>IFERROR(VLOOKUP(E1258,Specifications!$A$2:$D$9,2,FALSE),"")</f>
        <v/>
      </c>
      <c r="N1258" s="5" t="str">
        <f>IFERROR(VLOOKUP(E1258,Specifications!$A$2:$D$9,3,FALSE),"")</f>
        <v/>
      </c>
      <c r="O1258" s="5" t="str">
        <f>IFERROR(VLOOKUP(E1258,Specifications!$A$2:$D$9,4,FALSE),"")</f>
        <v/>
      </c>
      <c r="P1258" s="8" t="str">
        <f t="shared" si="60"/>
        <v/>
      </c>
      <c r="Q1258" s="9"/>
    </row>
    <row r="1259" spans="1:17" ht="15">
      <c r="A1259" s="5" t="str">
        <f t="shared" si="58"/>
        <v/>
      </c>
      <c r="B1259" s="6"/>
      <c r="C1259" s="5" t="str">
        <f>IFERROR(VLOOKUP(B1259,Lists!$A$2:$B$25,2,FALSE),"")</f>
        <v/>
      </c>
      <c r="D1259" s="7"/>
      <c r="E1259" s="6"/>
      <c r="F1259" s="6" t="str">
        <f t="shared" si="59"/>
        <v/>
      </c>
      <c r="G1259" s="6"/>
      <c r="H1259" s="6"/>
      <c r="I1259" s="6"/>
      <c r="J1259" s="7"/>
      <c r="K1259" s="5" t="str" cm="1">
        <f t="array" ref="K1259">IF(OR(A1259="",B1259="",D1259="",E1259=""),"",A1259&amp;"_"&amp;SUBSTITUTE(B1259," ","-")&amp;"_"&amp;D1259&amp;"_"&amp;SUBSTITUTE(SUBSTITUTE(E1259," ",""),"€","Euro")&amp;"_"&amp;IF(F1259="","Unknown",F1259)&amp;IF(F1259="Commemorative",IF(G1259="","","_"&amp;SUBSTITUTE(SUBSTITUTE(SUBSTITUTE(G1259," ","-"),"/","-"),CHAR(39),"")),"")&amp;IF(I1259="Duplicate","_Dub"&amp;IF(SUMPRODUCT(($B$2:B1259=B1259)*($D$2:D1259=D1259)*($E$2:E1259=E1259)*($F$2:F1259=F1259)*($G$2:G1259=G1259)*($I$2:I1259="Duplicate"))&lt;=1,"",SUMPRODUCT(($B$2:B1259=B1259)*($D$2:D1259=D1259)*($E$2:E1259=E1259)*($F$2:F1259=F1259)*($G$2:G1259=G1259)*($I$2:I1259="Duplicate"))-1),"")&amp;".jpeg")</f>
        <v/>
      </c>
      <c r="L1259" s="6"/>
      <c r="M1259" s="5" t="str">
        <f>IFERROR(VLOOKUP(E1259,Specifications!$A$2:$D$9,2,FALSE),"")</f>
        <v/>
      </c>
      <c r="N1259" s="5" t="str">
        <f>IFERROR(VLOOKUP(E1259,Specifications!$A$2:$D$9,3,FALSE),"")</f>
        <v/>
      </c>
      <c r="O1259" s="5" t="str">
        <f>IFERROR(VLOOKUP(E1259,Specifications!$A$2:$D$9,4,FALSE),"")</f>
        <v/>
      </c>
      <c r="P1259" s="8" t="str">
        <f t="shared" si="60"/>
        <v/>
      </c>
      <c r="Q1259" s="9"/>
    </row>
    <row r="1260" spans="1:17" ht="15">
      <c r="A1260" s="5" t="str">
        <f t="shared" si="58"/>
        <v/>
      </c>
      <c r="B1260" s="6"/>
      <c r="C1260" s="5" t="str">
        <f>IFERROR(VLOOKUP(B1260,Lists!$A$2:$B$25,2,FALSE),"")</f>
        <v/>
      </c>
      <c r="D1260" s="7"/>
      <c r="E1260" s="6"/>
      <c r="F1260" s="6" t="str">
        <f t="shared" si="59"/>
        <v/>
      </c>
      <c r="G1260" s="6"/>
      <c r="H1260" s="6"/>
      <c r="I1260" s="6"/>
      <c r="J1260" s="7"/>
      <c r="K1260" s="5" t="str" cm="1">
        <f t="array" ref="K1260">IF(OR(A1260="",B1260="",D1260="",E1260=""),"",A1260&amp;"_"&amp;SUBSTITUTE(B1260," ","-")&amp;"_"&amp;D1260&amp;"_"&amp;SUBSTITUTE(SUBSTITUTE(E1260," ",""),"€","Euro")&amp;"_"&amp;IF(F1260="","Unknown",F1260)&amp;IF(F1260="Commemorative",IF(G1260="","","_"&amp;SUBSTITUTE(SUBSTITUTE(SUBSTITUTE(G1260," ","-"),"/","-"),CHAR(39),"")),"")&amp;IF(I1260="Duplicate","_Dub"&amp;IF(SUMPRODUCT(($B$2:B1260=B1260)*($D$2:D1260=D1260)*($E$2:E1260=E1260)*($F$2:F1260=F1260)*($G$2:G1260=G1260)*($I$2:I1260="Duplicate"))&lt;=1,"",SUMPRODUCT(($B$2:B1260=B1260)*($D$2:D1260=D1260)*($E$2:E1260=E1260)*($F$2:F1260=F1260)*($G$2:G1260=G1260)*($I$2:I1260="Duplicate"))-1),"")&amp;".jpeg")</f>
        <v/>
      </c>
      <c r="L1260" s="6"/>
      <c r="M1260" s="5" t="str">
        <f>IFERROR(VLOOKUP(E1260,Specifications!$A$2:$D$9,2,FALSE),"")</f>
        <v/>
      </c>
      <c r="N1260" s="5" t="str">
        <f>IFERROR(VLOOKUP(E1260,Specifications!$A$2:$D$9,3,FALSE),"")</f>
        <v/>
      </c>
      <c r="O1260" s="5" t="str">
        <f>IFERROR(VLOOKUP(E1260,Specifications!$A$2:$D$9,4,FALSE),"")</f>
        <v/>
      </c>
      <c r="P1260" s="8" t="str">
        <f t="shared" si="60"/>
        <v/>
      </c>
      <c r="Q1260" s="9"/>
    </row>
    <row r="1261" spans="1:17" ht="15">
      <c r="A1261" s="5" t="str">
        <f t="shared" si="58"/>
        <v/>
      </c>
      <c r="B1261" s="6"/>
      <c r="C1261" s="5" t="str">
        <f>IFERROR(VLOOKUP(B1261,Lists!$A$2:$B$25,2,FALSE),"")</f>
        <v/>
      </c>
      <c r="D1261" s="7"/>
      <c r="E1261" s="6"/>
      <c r="F1261" s="6" t="str">
        <f t="shared" si="59"/>
        <v/>
      </c>
      <c r="G1261" s="6"/>
      <c r="H1261" s="6"/>
      <c r="I1261" s="6"/>
      <c r="J1261" s="7"/>
      <c r="K1261" s="5" t="str" cm="1">
        <f t="array" ref="K1261">IF(OR(A1261="",B1261="",D1261="",E1261=""),"",A1261&amp;"_"&amp;SUBSTITUTE(B1261," ","-")&amp;"_"&amp;D1261&amp;"_"&amp;SUBSTITUTE(SUBSTITUTE(E1261," ",""),"€","Euro")&amp;"_"&amp;IF(F1261="","Unknown",F1261)&amp;IF(F1261="Commemorative",IF(G1261="","","_"&amp;SUBSTITUTE(SUBSTITUTE(SUBSTITUTE(G1261," ","-"),"/","-"),CHAR(39),"")),"")&amp;IF(I1261="Duplicate","_Dub"&amp;IF(SUMPRODUCT(($B$2:B1261=B1261)*($D$2:D1261=D1261)*($E$2:E1261=E1261)*($F$2:F1261=F1261)*($G$2:G1261=G1261)*($I$2:I1261="Duplicate"))&lt;=1,"",SUMPRODUCT(($B$2:B1261=B1261)*($D$2:D1261=D1261)*($E$2:E1261=E1261)*($F$2:F1261=F1261)*($G$2:G1261=G1261)*($I$2:I1261="Duplicate"))-1),"")&amp;".jpeg")</f>
        <v/>
      </c>
      <c r="L1261" s="6"/>
      <c r="M1261" s="5" t="str">
        <f>IFERROR(VLOOKUP(E1261,Specifications!$A$2:$D$9,2,FALSE),"")</f>
        <v/>
      </c>
      <c r="N1261" s="5" t="str">
        <f>IFERROR(VLOOKUP(E1261,Specifications!$A$2:$D$9,3,FALSE),"")</f>
        <v/>
      </c>
      <c r="O1261" s="5" t="str">
        <f>IFERROR(VLOOKUP(E1261,Specifications!$A$2:$D$9,4,FALSE),"")</f>
        <v/>
      </c>
      <c r="P1261" s="8" t="str">
        <f t="shared" si="60"/>
        <v/>
      </c>
      <c r="Q1261" s="9"/>
    </row>
    <row r="1262" spans="1:17" ht="15">
      <c r="A1262" s="5" t="str">
        <f t="shared" si="58"/>
        <v/>
      </c>
      <c r="B1262" s="6"/>
      <c r="C1262" s="5" t="str">
        <f>IFERROR(VLOOKUP(B1262,Lists!$A$2:$B$25,2,FALSE),"")</f>
        <v/>
      </c>
      <c r="D1262" s="7"/>
      <c r="E1262" s="6"/>
      <c r="F1262" s="6" t="str">
        <f t="shared" si="59"/>
        <v/>
      </c>
      <c r="G1262" s="6"/>
      <c r="H1262" s="6"/>
      <c r="I1262" s="6"/>
      <c r="J1262" s="7"/>
      <c r="K1262" s="5" t="str" cm="1">
        <f t="array" ref="K1262">IF(OR(A1262="",B1262="",D1262="",E1262=""),"",A1262&amp;"_"&amp;SUBSTITUTE(B1262," ","-")&amp;"_"&amp;D1262&amp;"_"&amp;SUBSTITUTE(SUBSTITUTE(E1262," ",""),"€","Euro")&amp;"_"&amp;IF(F1262="","Unknown",F1262)&amp;IF(F1262="Commemorative",IF(G1262="","","_"&amp;SUBSTITUTE(SUBSTITUTE(SUBSTITUTE(G1262," ","-"),"/","-"),CHAR(39),"")),"")&amp;IF(I1262="Duplicate","_Dub"&amp;IF(SUMPRODUCT(($B$2:B1262=B1262)*($D$2:D1262=D1262)*($E$2:E1262=E1262)*($F$2:F1262=F1262)*($G$2:G1262=G1262)*($I$2:I1262="Duplicate"))&lt;=1,"",SUMPRODUCT(($B$2:B1262=B1262)*($D$2:D1262=D1262)*($E$2:E1262=E1262)*($F$2:F1262=F1262)*($G$2:G1262=G1262)*($I$2:I1262="Duplicate"))-1),"")&amp;".jpeg")</f>
        <v/>
      </c>
      <c r="L1262" s="6"/>
      <c r="M1262" s="5" t="str">
        <f>IFERROR(VLOOKUP(E1262,Specifications!$A$2:$D$9,2,FALSE),"")</f>
        <v/>
      </c>
      <c r="N1262" s="5" t="str">
        <f>IFERROR(VLOOKUP(E1262,Specifications!$A$2:$D$9,3,FALSE),"")</f>
        <v/>
      </c>
      <c r="O1262" s="5" t="str">
        <f>IFERROR(VLOOKUP(E1262,Specifications!$A$2:$D$9,4,FALSE),"")</f>
        <v/>
      </c>
      <c r="P1262" s="8" t="str">
        <f t="shared" si="60"/>
        <v/>
      </c>
      <c r="Q1262" s="9"/>
    </row>
    <row r="1263" spans="1:17" ht="15">
      <c r="A1263" s="5" t="str">
        <f t="shared" si="58"/>
        <v/>
      </c>
      <c r="B1263" s="6"/>
      <c r="C1263" s="5" t="str">
        <f>IFERROR(VLOOKUP(B1263,Lists!$A$2:$B$25,2,FALSE),"")</f>
        <v/>
      </c>
      <c r="D1263" s="7"/>
      <c r="E1263" s="6"/>
      <c r="F1263" s="6" t="str">
        <f t="shared" si="59"/>
        <v/>
      </c>
      <c r="G1263" s="6"/>
      <c r="H1263" s="6"/>
      <c r="I1263" s="6"/>
      <c r="J1263" s="7"/>
      <c r="K1263" s="5" t="str" cm="1">
        <f t="array" ref="K1263">IF(OR(A1263="",B1263="",D1263="",E1263=""),"",A1263&amp;"_"&amp;SUBSTITUTE(B1263," ","-")&amp;"_"&amp;D1263&amp;"_"&amp;SUBSTITUTE(SUBSTITUTE(E1263," ",""),"€","Euro")&amp;"_"&amp;IF(F1263="","Unknown",F1263)&amp;IF(F1263="Commemorative",IF(G1263="","","_"&amp;SUBSTITUTE(SUBSTITUTE(SUBSTITUTE(G1263," ","-"),"/","-"),CHAR(39),"")),"")&amp;IF(I1263="Duplicate","_Dub"&amp;IF(SUMPRODUCT(($B$2:B1263=B1263)*($D$2:D1263=D1263)*($E$2:E1263=E1263)*($F$2:F1263=F1263)*($G$2:G1263=G1263)*($I$2:I1263="Duplicate"))&lt;=1,"",SUMPRODUCT(($B$2:B1263=B1263)*($D$2:D1263=D1263)*($E$2:E1263=E1263)*($F$2:F1263=F1263)*($G$2:G1263=G1263)*($I$2:I1263="Duplicate"))-1),"")&amp;".jpeg")</f>
        <v/>
      </c>
      <c r="L1263" s="6"/>
      <c r="M1263" s="5" t="str">
        <f>IFERROR(VLOOKUP(E1263,Specifications!$A$2:$D$9,2,FALSE),"")</f>
        <v/>
      </c>
      <c r="N1263" s="5" t="str">
        <f>IFERROR(VLOOKUP(E1263,Specifications!$A$2:$D$9,3,FALSE),"")</f>
        <v/>
      </c>
      <c r="O1263" s="5" t="str">
        <f>IFERROR(VLOOKUP(E1263,Specifications!$A$2:$D$9,4,FALSE),"")</f>
        <v/>
      </c>
      <c r="P1263" s="8" t="str">
        <f t="shared" si="60"/>
        <v/>
      </c>
      <c r="Q1263" s="9"/>
    </row>
    <row r="1264" spans="1:17" ht="15">
      <c r="A1264" s="5" t="str">
        <f t="shared" si="58"/>
        <v/>
      </c>
      <c r="B1264" s="6"/>
      <c r="C1264" s="5" t="str">
        <f>IFERROR(VLOOKUP(B1264,Lists!$A$2:$B$25,2,FALSE),"")</f>
        <v/>
      </c>
      <c r="D1264" s="7"/>
      <c r="E1264" s="6"/>
      <c r="F1264" s="6" t="str">
        <f t="shared" si="59"/>
        <v/>
      </c>
      <c r="G1264" s="6"/>
      <c r="H1264" s="6"/>
      <c r="I1264" s="6"/>
      <c r="J1264" s="7"/>
      <c r="K1264" s="5" t="str" cm="1">
        <f t="array" ref="K1264">IF(OR(A1264="",B1264="",D1264="",E1264=""),"",A1264&amp;"_"&amp;SUBSTITUTE(B1264," ","-")&amp;"_"&amp;D1264&amp;"_"&amp;SUBSTITUTE(SUBSTITUTE(E1264," ",""),"€","Euro")&amp;"_"&amp;IF(F1264="","Unknown",F1264)&amp;IF(F1264="Commemorative",IF(G1264="","","_"&amp;SUBSTITUTE(SUBSTITUTE(SUBSTITUTE(G1264," ","-"),"/","-"),CHAR(39),"")),"")&amp;IF(I1264="Duplicate","_Dub"&amp;IF(SUMPRODUCT(($B$2:B1264=B1264)*($D$2:D1264=D1264)*($E$2:E1264=E1264)*($F$2:F1264=F1264)*($G$2:G1264=G1264)*($I$2:I1264="Duplicate"))&lt;=1,"",SUMPRODUCT(($B$2:B1264=B1264)*($D$2:D1264=D1264)*($E$2:E1264=E1264)*($F$2:F1264=F1264)*($G$2:G1264=G1264)*($I$2:I1264="Duplicate"))-1),"")&amp;".jpeg")</f>
        <v/>
      </c>
      <c r="L1264" s="6"/>
      <c r="M1264" s="5" t="str">
        <f>IFERROR(VLOOKUP(E1264,Specifications!$A$2:$D$9,2,FALSE),"")</f>
        <v/>
      </c>
      <c r="N1264" s="5" t="str">
        <f>IFERROR(VLOOKUP(E1264,Specifications!$A$2:$D$9,3,FALSE),"")</f>
        <v/>
      </c>
      <c r="O1264" s="5" t="str">
        <f>IFERROR(VLOOKUP(E1264,Specifications!$A$2:$D$9,4,FALSE),"")</f>
        <v/>
      </c>
      <c r="P1264" s="8" t="str">
        <f t="shared" si="60"/>
        <v/>
      </c>
      <c r="Q1264" s="9"/>
    </row>
    <row r="1265" spans="1:17" ht="15">
      <c r="A1265" s="5" t="str">
        <f t="shared" si="58"/>
        <v/>
      </c>
      <c r="B1265" s="6"/>
      <c r="C1265" s="5" t="str">
        <f>IFERROR(VLOOKUP(B1265,Lists!$A$2:$B$25,2,FALSE),"")</f>
        <v/>
      </c>
      <c r="D1265" s="7"/>
      <c r="E1265" s="6"/>
      <c r="F1265" s="6" t="str">
        <f t="shared" si="59"/>
        <v/>
      </c>
      <c r="G1265" s="6"/>
      <c r="H1265" s="6"/>
      <c r="I1265" s="6"/>
      <c r="J1265" s="7"/>
      <c r="K1265" s="5" t="str" cm="1">
        <f t="array" ref="K1265">IF(OR(A1265="",B1265="",D1265="",E1265=""),"",A1265&amp;"_"&amp;SUBSTITUTE(B1265," ","-")&amp;"_"&amp;D1265&amp;"_"&amp;SUBSTITUTE(SUBSTITUTE(E1265," ",""),"€","Euro")&amp;"_"&amp;IF(F1265="","Unknown",F1265)&amp;IF(F1265="Commemorative",IF(G1265="","","_"&amp;SUBSTITUTE(SUBSTITUTE(SUBSTITUTE(G1265," ","-"),"/","-"),CHAR(39),"")),"")&amp;IF(I1265="Duplicate","_Dub"&amp;IF(SUMPRODUCT(($B$2:B1265=B1265)*($D$2:D1265=D1265)*($E$2:E1265=E1265)*($F$2:F1265=F1265)*($G$2:G1265=G1265)*($I$2:I1265="Duplicate"))&lt;=1,"",SUMPRODUCT(($B$2:B1265=B1265)*($D$2:D1265=D1265)*($E$2:E1265=E1265)*($F$2:F1265=F1265)*($G$2:G1265=G1265)*($I$2:I1265="Duplicate"))-1),"")&amp;".jpeg")</f>
        <v/>
      </c>
      <c r="L1265" s="6"/>
      <c r="M1265" s="5" t="str">
        <f>IFERROR(VLOOKUP(E1265,Specifications!$A$2:$D$9,2,FALSE),"")</f>
        <v/>
      </c>
      <c r="N1265" s="5" t="str">
        <f>IFERROR(VLOOKUP(E1265,Specifications!$A$2:$D$9,3,FALSE),"")</f>
        <v/>
      </c>
      <c r="O1265" s="5" t="str">
        <f>IFERROR(VLOOKUP(E1265,Specifications!$A$2:$D$9,4,FALSE),"")</f>
        <v/>
      </c>
      <c r="P1265" s="8" t="str">
        <f t="shared" si="60"/>
        <v/>
      </c>
      <c r="Q1265" s="9"/>
    </row>
    <row r="1266" spans="1:17" ht="15">
      <c r="A1266" s="5" t="str">
        <f t="shared" si="58"/>
        <v/>
      </c>
      <c r="B1266" s="6"/>
      <c r="C1266" s="5" t="str">
        <f>IFERROR(VLOOKUP(B1266,Lists!$A$2:$B$25,2,FALSE),"")</f>
        <v/>
      </c>
      <c r="D1266" s="7"/>
      <c r="E1266" s="6"/>
      <c r="F1266" s="6" t="str">
        <f t="shared" si="59"/>
        <v/>
      </c>
      <c r="G1266" s="6"/>
      <c r="H1266" s="6"/>
      <c r="I1266" s="6"/>
      <c r="J1266" s="7"/>
      <c r="K1266" s="5" t="str" cm="1">
        <f t="array" ref="K1266">IF(OR(A1266="",B1266="",D1266="",E1266=""),"",A1266&amp;"_"&amp;SUBSTITUTE(B1266," ","-")&amp;"_"&amp;D1266&amp;"_"&amp;SUBSTITUTE(SUBSTITUTE(E1266," ",""),"€","Euro")&amp;"_"&amp;IF(F1266="","Unknown",F1266)&amp;IF(F1266="Commemorative",IF(G1266="","","_"&amp;SUBSTITUTE(SUBSTITUTE(SUBSTITUTE(G1266," ","-"),"/","-"),CHAR(39),"")),"")&amp;IF(I1266="Duplicate","_Dub"&amp;IF(SUMPRODUCT(($B$2:B1266=B1266)*($D$2:D1266=D1266)*($E$2:E1266=E1266)*($F$2:F1266=F1266)*($G$2:G1266=G1266)*($I$2:I1266="Duplicate"))&lt;=1,"",SUMPRODUCT(($B$2:B1266=B1266)*($D$2:D1266=D1266)*($E$2:E1266=E1266)*($F$2:F1266=F1266)*($G$2:G1266=G1266)*($I$2:I1266="Duplicate"))-1),"")&amp;".jpeg")</f>
        <v/>
      </c>
      <c r="L1266" s="6"/>
      <c r="M1266" s="5" t="str">
        <f>IFERROR(VLOOKUP(E1266,Specifications!$A$2:$D$9,2,FALSE),"")</f>
        <v/>
      </c>
      <c r="N1266" s="5" t="str">
        <f>IFERROR(VLOOKUP(E1266,Specifications!$A$2:$D$9,3,FALSE),"")</f>
        <v/>
      </c>
      <c r="O1266" s="5" t="str">
        <f>IFERROR(VLOOKUP(E1266,Specifications!$A$2:$D$9,4,FALSE),"")</f>
        <v/>
      </c>
      <c r="P1266" s="8" t="str">
        <f t="shared" si="60"/>
        <v/>
      </c>
      <c r="Q1266" s="9"/>
    </row>
    <row r="1267" spans="1:17" ht="15">
      <c r="A1267" s="5" t="str">
        <f t="shared" si="58"/>
        <v/>
      </c>
      <c r="B1267" s="6"/>
      <c r="C1267" s="5" t="str">
        <f>IFERROR(VLOOKUP(B1267,Lists!$A$2:$B$25,2,FALSE),"")</f>
        <v/>
      </c>
      <c r="D1267" s="7"/>
      <c r="E1267" s="6"/>
      <c r="F1267" s="6" t="str">
        <f t="shared" si="59"/>
        <v/>
      </c>
      <c r="G1267" s="6"/>
      <c r="H1267" s="6"/>
      <c r="I1267" s="6"/>
      <c r="J1267" s="7"/>
      <c r="K1267" s="5" t="str" cm="1">
        <f t="array" ref="K1267">IF(OR(A1267="",B1267="",D1267="",E1267=""),"",A1267&amp;"_"&amp;SUBSTITUTE(B1267," ","-")&amp;"_"&amp;D1267&amp;"_"&amp;SUBSTITUTE(SUBSTITUTE(E1267," ",""),"€","Euro")&amp;"_"&amp;IF(F1267="","Unknown",F1267)&amp;IF(F1267="Commemorative",IF(G1267="","","_"&amp;SUBSTITUTE(SUBSTITUTE(SUBSTITUTE(G1267," ","-"),"/","-"),CHAR(39),"")),"")&amp;IF(I1267="Duplicate","_Dub"&amp;IF(SUMPRODUCT(($B$2:B1267=B1267)*($D$2:D1267=D1267)*($E$2:E1267=E1267)*($F$2:F1267=F1267)*($G$2:G1267=G1267)*($I$2:I1267="Duplicate"))&lt;=1,"",SUMPRODUCT(($B$2:B1267=B1267)*($D$2:D1267=D1267)*($E$2:E1267=E1267)*($F$2:F1267=F1267)*($G$2:G1267=G1267)*($I$2:I1267="Duplicate"))-1),"")&amp;".jpeg")</f>
        <v/>
      </c>
      <c r="L1267" s="6"/>
      <c r="M1267" s="5" t="str">
        <f>IFERROR(VLOOKUP(E1267,Specifications!$A$2:$D$9,2,FALSE),"")</f>
        <v/>
      </c>
      <c r="N1267" s="5" t="str">
        <f>IFERROR(VLOOKUP(E1267,Specifications!$A$2:$D$9,3,FALSE),"")</f>
        <v/>
      </c>
      <c r="O1267" s="5" t="str">
        <f>IFERROR(VLOOKUP(E1267,Specifications!$A$2:$D$9,4,FALSE),"")</f>
        <v/>
      </c>
      <c r="P1267" s="8" t="str">
        <f t="shared" si="60"/>
        <v/>
      </c>
      <c r="Q1267" s="9"/>
    </row>
    <row r="1268" spans="1:17" ht="15">
      <c r="A1268" s="5" t="str">
        <f t="shared" si="58"/>
        <v/>
      </c>
      <c r="B1268" s="6"/>
      <c r="C1268" s="5" t="str">
        <f>IFERROR(VLOOKUP(B1268,Lists!$A$2:$B$25,2,FALSE),"")</f>
        <v/>
      </c>
      <c r="D1268" s="7"/>
      <c r="E1268" s="6"/>
      <c r="F1268" s="6" t="str">
        <f t="shared" si="59"/>
        <v/>
      </c>
      <c r="G1268" s="6"/>
      <c r="H1268" s="6"/>
      <c r="I1268" s="6"/>
      <c r="J1268" s="7"/>
      <c r="K1268" s="5" t="str" cm="1">
        <f t="array" ref="K1268">IF(OR(A1268="",B1268="",D1268="",E1268=""),"",A1268&amp;"_"&amp;SUBSTITUTE(B1268," ","-")&amp;"_"&amp;D1268&amp;"_"&amp;SUBSTITUTE(SUBSTITUTE(E1268," ",""),"€","Euro")&amp;"_"&amp;IF(F1268="","Unknown",F1268)&amp;IF(F1268="Commemorative",IF(G1268="","","_"&amp;SUBSTITUTE(SUBSTITUTE(SUBSTITUTE(G1268," ","-"),"/","-"),CHAR(39),"")),"")&amp;IF(I1268="Duplicate","_Dub"&amp;IF(SUMPRODUCT(($B$2:B1268=B1268)*($D$2:D1268=D1268)*($E$2:E1268=E1268)*($F$2:F1268=F1268)*($G$2:G1268=G1268)*($I$2:I1268="Duplicate"))&lt;=1,"",SUMPRODUCT(($B$2:B1268=B1268)*($D$2:D1268=D1268)*($E$2:E1268=E1268)*($F$2:F1268=F1268)*($G$2:G1268=G1268)*($I$2:I1268="Duplicate"))-1),"")&amp;".jpeg")</f>
        <v/>
      </c>
      <c r="L1268" s="6"/>
      <c r="M1268" s="5" t="str">
        <f>IFERROR(VLOOKUP(E1268,Specifications!$A$2:$D$9,2,FALSE),"")</f>
        <v/>
      </c>
      <c r="N1268" s="5" t="str">
        <f>IFERROR(VLOOKUP(E1268,Specifications!$A$2:$D$9,3,FALSE),"")</f>
        <v/>
      </c>
      <c r="O1268" s="5" t="str">
        <f>IFERROR(VLOOKUP(E1268,Specifications!$A$2:$D$9,4,FALSE),"")</f>
        <v/>
      </c>
      <c r="P1268" s="8" t="str">
        <f t="shared" si="60"/>
        <v/>
      </c>
      <c r="Q1268" s="9"/>
    </row>
    <row r="1269" spans="1:17" ht="15">
      <c r="A1269" s="5" t="str">
        <f t="shared" si="58"/>
        <v/>
      </c>
      <c r="B1269" s="6"/>
      <c r="C1269" s="5" t="str">
        <f>IFERROR(VLOOKUP(B1269,Lists!$A$2:$B$25,2,FALSE),"")</f>
        <v/>
      </c>
      <c r="D1269" s="7"/>
      <c r="E1269" s="6"/>
      <c r="F1269" s="6" t="str">
        <f t="shared" si="59"/>
        <v/>
      </c>
      <c r="G1269" s="6"/>
      <c r="H1269" s="6"/>
      <c r="I1269" s="6"/>
      <c r="J1269" s="7"/>
      <c r="K1269" s="5" t="str" cm="1">
        <f t="array" ref="K1269">IF(OR(A1269="",B1269="",D1269="",E1269=""),"",A1269&amp;"_"&amp;SUBSTITUTE(B1269," ","-")&amp;"_"&amp;D1269&amp;"_"&amp;SUBSTITUTE(SUBSTITUTE(E1269," ",""),"€","Euro")&amp;"_"&amp;IF(F1269="","Unknown",F1269)&amp;IF(F1269="Commemorative",IF(G1269="","","_"&amp;SUBSTITUTE(SUBSTITUTE(SUBSTITUTE(G1269," ","-"),"/","-"),CHAR(39),"")),"")&amp;IF(I1269="Duplicate","_Dub"&amp;IF(SUMPRODUCT(($B$2:B1269=B1269)*($D$2:D1269=D1269)*($E$2:E1269=E1269)*($F$2:F1269=F1269)*($G$2:G1269=G1269)*($I$2:I1269="Duplicate"))&lt;=1,"",SUMPRODUCT(($B$2:B1269=B1269)*($D$2:D1269=D1269)*($E$2:E1269=E1269)*($F$2:F1269=F1269)*($G$2:G1269=G1269)*($I$2:I1269="Duplicate"))-1),"")&amp;".jpeg")</f>
        <v/>
      </c>
      <c r="L1269" s="6"/>
      <c r="M1269" s="5" t="str">
        <f>IFERROR(VLOOKUP(E1269,Specifications!$A$2:$D$9,2,FALSE),"")</f>
        <v/>
      </c>
      <c r="N1269" s="5" t="str">
        <f>IFERROR(VLOOKUP(E1269,Specifications!$A$2:$D$9,3,FALSE),"")</f>
        <v/>
      </c>
      <c r="O1269" s="5" t="str">
        <f>IFERROR(VLOOKUP(E1269,Specifications!$A$2:$D$9,4,FALSE),"")</f>
        <v/>
      </c>
      <c r="P1269" s="8" t="str">
        <f t="shared" si="60"/>
        <v/>
      </c>
      <c r="Q1269" s="9"/>
    </row>
    <row r="1270" spans="1:17" ht="15">
      <c r="A1270" s="5" t="str">
        <f t="shared" si="58"/>
        <v/>
      </c>
      <c r="B1270" s="6"/>
      <c r="C1270" s="5" t="str">
        <f>IFERROR(VLOOKUP(B1270,Lists!$A$2:$B$25,2,FALSE),"")</f>
        <v/>
      </c>
      <c r="D1270" s="7"/>
      <c r="E1270" s="6"/>
      <c r="F1270" s="6" t="str">
        <f t="shared" si="59"/>
        <v/>
      </c>
      <c r="G1270" s="6"/>
      <c r="H1270" s="6"/>
      <c r="I1270" s="6"/>
      <c r="J1270" s="7"/>
      <c r="K1270" s="5" t="str" cm="1">
        <f t="array" ref="K1270">IF(OR(A1270="",B1270="",D1270="",E1270=""),"",A1270&amp;"_"&amp;SUBSTITUTE(B1270," ","-")&amp;"_"&amp;D1270&amp;"_"&amp;SUBSTITUTE(SUBSTITUTE(E1270," ",""),"€","Euro")&amp;"_"&amp;IF(F1270="","Unknown",F1270)&amp;IF(F1270="Commemorative",IF(G1270="","","_"&amp;SUBSTITUTE(SUBSTITUTE(SUBSTITUTE(G1270," ","-"),"/","-"),CHAR(39),"")),"")&amp;IF(I1270="Duplicate","_Dub"&amp;IF(SUMPRODUCT(($B$2:B1270=B1270)*($D$2:D1270=D1270)*($E$2:E1270=E1270)*($F$2:F1270=F1270)*($G$2:G1270=G1270)*($I$2:I1270="Duplicate"))&lt;=1,"",SUMPRODUCT(($B$2:B1270=B1270)*($D$2:D1270=D1270)*($E$2:E1270=E1270)*($F$2:F1270=F1270)*($G$2:G1270=G1270)*($I$2:I1270="Duplicate"))-1),"")&amp;".jpeg")</f>
        <v/>
      </c>
      <c r="L1270" s="6"/>
      <c r="M1270" s="5" t="str">
        <f>IFERROR(VLOOKUP(E1270,Specifications!$A$2:$D$9,2,FALSE),"")</f>
        <v/>
      </c>
      <c r="N1270" s="5" t="str">
        <f>IFERROR(VLOOKUP(E1270,Specifications!$A$2:$D$9,3,FALSE),"")</f>
        <v/>
      </c>
      <c r="O1270" s="5" t="str">
        <f>IFERROR(VLOOKUP(E1270,Specifications!$A$2:$D$9,4,FALSE),"")</f>
        <v/>
      </c>
      <c r="P1270" s="8" t="str">
        <f t="shared" si="60"/>
        <v/>
      </c>
      <c r="Q1270" s="9"/>
    </row>
    <row r="1271" spans="1:17" ht="15">
      <c r="A1271" s="5" t="str">
        <f t="shared" si="58"/>
        <v/>
      </c>
      <c r="B1271" s="6"/>
      <c r="C1271" s="5" t="str">
        <f>IFERROR(VLOOKUP(B1271,Lists!$A$2:$B$25,2,FALSE),"")</f>
        <v/>
      </c>
      <c r="D1271" s="7"/>
      <c r="E1271" s="6"/>
      <c r="F1271" s="6" t="str">
        <f t="shared" si="59"/>
        <v/>
      </c>
      <c r="G1271" s="6"/>
      <c r="H1271" s="6"/>
      <c r="I1271" s="6"/>
      <c r="J1271" s="7"/>
      <c r="K1271" s="5" t="str" cm="1">
        <f t="array" ref="K1271">IF(OR(A1271="",B1271="",D1271="",E1271=""),"",A1271&amp;"_"&amp;SUBSTITUTE(B1271," ","-")&amp;"_"&amp;D1271&amp;"_"&amp;SUBSTITUTE(SUBSTITUTE(E1271," ",""),"€","Euro")&amp;"_"&amp;IF(F1271="","Unknown",F1271)&amp;IF(F1271="Commemorative",IF(G1271="","","_"&amp;SUBSTITUTE(SUBSTITUTE(SUBSTITUTE(G1271," ","-"),"/","-"),CHAR(39),"")),"")&amp;IF(I1271="Duplicate","_Dub"&amp;IF(SUMPRODUCT(($B$2:B1271=B1271)*($D$2:D1271=D1271)*($E$2:E1271=E1271)*($F$2:F1271=F1271)*($G$2:G1271=G1271)*($I$2:I1271="Duplicate"))&lt;=1,"",SUMPRODUCT(($B$2:B1271=B1271)*($D$2:D1271=D1271)*($E$2:E1271=E1271)*($F$2:F1271=F1271)*($G$2:G1271=G1271)*($I$2:I1271="Duplicate"))-1),"")&amp;".jpeg")</f>
        <v/>
      </c>
      <c r="L1271" s="6"/>
      <c r="M1271" s="5" t="str">
        <f>IFERROR(VLOOKUP(E1271,Specifications!$A$2:$D$9,2,FALSE),"")</f>
        <v/>
      </c>
      <c r="N1271" s="5" t="str">
        <f>IFERROR(VLOOKUP(E1271,Specifications!$A$2:$D$9,3,FALSE),"")</f>
        <v/>
      </c>
      <c r="O1271" s="5" t="str">
        <f>IFERROR(VLOOKUP(E1271,Specifications!$A$2:$D$9,4,FALSE),"")</f>
        <v/>
      </c>
      <c r="P1271" s="8" t="str">
        <f t="shared" si="60"/>
        <v/>
      </c>
      <c r="Q1271" s="9"/>
    </row>
    <row r="1272" spans="1:17" ht="15">
      <c r="A1272" s="5" t="str">
        <f t="shared" si="58"/>
        <v/>
      </c>
      <c r="B1272" s="6"/>
      <c r="C1272" s="5" t="str">
        <f>IFERROR(VLOOKUP(B1272,Lists!$A$2:$B$25,2,FALSE),"")</f>
        <v/>
      </c>
      <c r="D1272" s="7"/>
      <c r="E1272" s="6"/>
      <c r="F1272" s="6" t="str">
        <f t="shared" si="59"/>
        <v/>
      </c>
      <c r="G1272" s="6"/>
      <c r="H1272" s="6"/>
      <c r="I1272" s="6"/>
      <c r="J1272" s="7"/>
      <c r="K1272" s="5" t="str" cm="1">
        <f t="array" ref="K1272">IF(OR(A1272="",B1272="",D1272="",E1272=""),"",A1272&amp;"_"&amp;SUBSTITUTE(B1272," ","-")&amp;"_"&amp;D1272&amp;"_"&amp;SUBSTITUTE(SUBSTITUTE(E1272," ",""),"€","Euro")&amp;"_"&amp;IF(F1272="","Unknown",F1272)&amp;IF(F1272="Commemorative",IF(G1272="","","_"&amp;SUBSTITUTE(SUBSTITUTE(SUBSTITUTE(G1272," ","-"),"/","-"),CHAR(39),"")),"")&amp;IF(I1272="Duplicate","_Dub"&amp;IF(SUMPRODUCT(($B$2:B1272=B1272)*($D$2:D1272=D1272)*($E$2:E1272=E1272)*($F$2:F1272=F1272)*($G$2:G1272=G1272)*($I$2:I1272="Duplicate"))&lt;=1,"",SUMPRODUCT(($B$2:B1272=B1272)*($D$2:D1272=D1272)*($E$2:E1272=E1272)*($F$2:F1272=F1272)*($G$2:G1272=G1272)*($I$2:I1272="Duplicate"))-1),"")&amp;".jpeg")</f>
        <v/>
      </c>
      <c r="L1272" s="6"/>
      <c r="M1272" s="5" t="str">
        <f>IFERROR(VLOOKUP(E1272,Specifications!$A$2:$D$9,2,FALSE),"")</f>
        <v/>
      </c>
      <c r="N1272" s="5" t="str">
        <f>IFERROR(VLOOKUP(E1272,Specifications!$A$2:$D$9,3,FALSE),"")</f>
        <v/>
      </c>
      <c r="O1272" s="5" t="str">
        <f>IFERROR(VLOOKUP(E1272,Specifications!$A$2:$D$9,4,FALSE),"")</f>
        <v/>
      </c>
      <c r="P1272" s="8" t="str">
        <f t="shared" si="60"/>
        <v/>
      </c>
      <c r="Q1272" s="9"/>
    </row>
    <row r="1273" spans="1:17" ht="15">
      <c r="A1273" s="5" t="str">
        <f t="shared" si="58"/>
        <v/>
      </c>
      <c r="B1273" s="6"/>
      <c r="C1273" s="5" t="str">
        <f>IFERROR(VLOOKUP(B1273,Lists!$A$2:$B$25,2,FALSE),"")</f>
        <v/>
      </c>
      <c r="D1273" s="7"/>
      <c r="E1273" s="6"/>
      <c r="F1273" s="6" t="str">
        <f t="shared" si="59"/>
        <v/>
      </c>
      <c r="G1273" s="6"/>
      <c r="H1273" s="6"/>
      <c r="I1273" s="6"/>
      <c r="J1273" s="7"/>
      <c r="K1273" s="5" t="str" cm="1">
        <f t="array" ref="K1273">IF(OR(A1273="",B1273="",D1273="",E1273=""),"",A1273&amp;"_"&amp;SUBSTITUTE(B1273," ","-")&amp;"_"&amp;D1273&amp;"_"&amp;SUBSTITUTE(SUBSTITUTE(E1273," ",""),"€","Euro")&amp;"_"&amp;IF(F1273="","Unknown",F1273)&amp;IF(F1273="Commemorative",IF(G1273="","","_"&amp;SUBSTITUTE(SUBSTITUTE(SUBSTITUTE(G1273," ","-"),"/","-"),CHAR(39),"")),"")&amp;IF(I1273="Duplicate","_Dub"&amp;IF(SUMPRODUCT(($B$2:B1273=B1273)*($D$2:D1273=D1273)*($E$2:E1273=E1273)*($F$2:F1273=F1273)*($G$2:G1273=G1273)*($I$2:I1273="Duplicate"))&lt;=1,"",SUMPRODUCT(($B$2:B1273=B1273)*($D$2:D1273=D1273)*($E$2:E1273=E1273)*($F$2:F1273=F1273)*($G$2:G1273=G1273)*($I$2:I1273="Duplicate"))-1),"")&amp;".jpeg")</f>
        <v/>
      </c>
      <c r="L1273" s="6"/>
      <c r="M1273" s="5" t="str">
        <f>IFERROR(VLOOKUP(E1273,Specifications!$A$2:$D$9,2,FALSE),"")</f>
        <v/>
      </c>
      <c r="N1273" s="5" t="str">
        <f>IFERROR(VLOOKUP(E1273,Specifications!$A$2:$D$9,3,FALSE),"")</f>
        <v/>
      </c>
      <c r="O1273" s="5" t="str">
        <f>IFERROR(VLOOKUP(E1273,Specifications!$A$2:$D$9,4,FALSE),"")</f>
        <v/>
      </c>
      <c r="P1273" s="8" t="str">
        <f t="shared" si="60"/>
        <v/>
      </c>
      <c r="Q1273" s="9"/>
    </row>
    <row r="1274" spans="1:17" ht="15">
      <c r="A1274" s="5" t="str">
        <f t="shared" si="58"/>
        <v/>
      </c>
      <c r="B1274" s="6"/>
      <c r="C1274" s="5" t="str">
        <f>IFERROR(VLOOKUP(B1274,Lists!$A$2:$B$25,2,FALSE),"")</f>
        <v/>
      </c>
      <c r="D1274" s="7"/>
      <c r="E1274" s="6"/>
      <c r="F1274" s="6" t="str">
        <f t="shared" si="59"/>
        <v/>
      </c>
      <c r="G1274" s="6"/>
      <c r="H1274" s="6"/>
      <c r="I1274" s="6"/>
      <c r="J1274" s="7"/>
      <c r="K1274" s="5" t="str" cm="1">
        <f t="array" ref="K1274">IF(OR(A1274="",B1274="",D1274="",E1274=""),"",A1274&amp;"_"&amp;SUBSTITUTE(B1274," ","-")&amp;"_"&amp;D1274&amp;"_"&amp;SUBSTITUTE(SUBSTITUTE(E1274," ",""),"€","Euro")&amp;"_"&amp;IF(F1274="","Unknown",F1274)&amp;IF(F1274="Commemorative",IF(G1274="","","_"&amp;SUBSTITUTE(SUBSTITUTE(SUBSTITUTE(G1274," ","-"),"/","-"),CHAR(39),"")),"")&amp;IF(I1274="Duplicate","_Dub"&amp;IF(SUMPRODUCT(($B$2:B1274=B1274)*($D$2:D1274=D1274)*($E$2:E1274=E1274)*($F$2:F1274=F1274)*($G$2:G1274=G1274)*($I$2:I1274="Duplicate"))&lt;=1,"",SUMPRODUCT(($B$2:B1274=B1274)*($D$2:D1274=D1274)*($E$2:E1274=E1274)*($F$2:F1274=F1274)*($G$2:G1274=G1274)*($I$2:I1274="Duplicate"))-1),"")&amp;".jpeg")</f>
        <v/>
      </c>
      <c r="L1274" s="6"/>
      <c r="M1274" s="5" t="str">
        <f>IFERROR(VLOOKUP(E1274,Specifications!$A$2:$D$9,2,FALSE),"")</f>
        <v/>
      </c>
      <c r="N1274" s="5" t="str">
        <f>IFERROR(VLOOKUP(E1274,Specifications!$A$2:$D$9,3,FALSE),"")</f>
        <v/>
      </c>
      <c r="O1274" s="5" t="str">
        <f>IFERROR(VLOOKUP(E1274,Specifications!$A$2:$D$9,4,FALSE),"")</f>
        <v/>
      </c>
      <c r="P1274" s="8" t="str">
        <f t="shared" si="60"/>
        <v/>
      </c>
      <c r="Q1274" s="9"/>
    </row>
    <row r="1275" spans="1:17" ht="15">
      <c r="A1275" s="5" t="str">
        <f t="shared" si="58"/>
        <v/>
      </c>
      <c r="B1275" s="6"/>
      <c r="C1275" s="5" t="str">
        <f>IFERROR(VLOOKUP(B1275,Lists!$A$2:$B$25,2,FALSE),"")</f>
        <v/>
      </c>
      <c r="D1275" s="7"/>
      <c r="E1275" s="6"/>
      <c r="F1275" s="6" t="str">
        <f t="shared" si="59"/>
        <v/>
      </c>
      <c r="G1275" s="6"/>
      <c r="H1275" s="6"/>
      <c r="I1275" s="6"/>
      <c r="J1275" s="7"/>
      <c r="K1275" s="5" t="str" cm="1">
        <f t="array" ref="K1275">IF(OR(A1275="",B1275="",D1275="",E1275=""),"",A1275&amp;"_"&amp;SUBSTITUTE(B1275," ","-")&amp;"_"&amp;D1275&amp;"_"&amp;SUBSTITUTE(SUBSTITUTE(E1275," ",""),"€","Euro")&amp;"_"&amp;IF(F1275="","Unknown",F1275)&amp;IF(F1275="Commemorative",IF(G1275="","","_"&amp;SUBSTITUTE(SUBSTITUTE(SUBSTITUTE(G1275," ","-"),"/","-"),CHAR(39),"")),"")&amp;IF(I1275="Duplicate","_Dub"&amp;IF(SUMPRODUCT(($B$2:B1275=B1275)*($D$2:D1275=D1275)*($E$2:E1275=E1275)*($F$2:F1275=F1275)*($G$2:G1275=G1275)*($I$2:I1275="Duplicate"))&lt;=1,"",SUMPRODUCT(($B$2:B1275=B1275)*($D$2:D1275=D1275)*($E$2:E1275=E1275)*($F$2:F1275=F1275)*($G$2:G1275=G1275)*($I$2:I1275="Duplicate"))-1),"")&amp;".jpeg")</f>
        <v/>
      </c>
      <c r="L1275" s="6"/>
      <c r="M1275" s="5" t="str">
        <f>IFERROR(VLOOKUP(E1275,Specifications!$A$2:$D$9,2,FALSE),"")</f>
        <v/>
      </c>
      <c r="N1275" s="5" t="str">
        <f>IFERROR(VLOOKUP(E1275,Specifications!$A$2:$D$9,3,FALSE),"")</f>
        <v/>
      </c>
      <c r="O1275" s="5" t="str">
        <f>IFERROR(VLOOKUP(E1275,Specifications!$A$2:$D$9,4,FALSE),"")</f>
        <v/>
      </c>
      <c r="P1275" s="8" t="str">
        <f t="shared" si="60"/>
        <v/>
      </c>
      <c r="Q1275" s="9"/>
    </row>
    <row r="1276" spans="1:17" ht="15">
      <c r="A1276" s="5" t="str">
        <f t="shared" si="58"/>
        <v/>
      </c>
      <c r="B1276" s="6"/>
      <c r="C1276" s="5" t="str">
        <f>IFERROR(VLOOKUP(B1276,Lists!$A$2:$B$25,2,FALSE),"")</f>
        <v/>
      </c>
      <c r="D1276" s="7"/>
      <c r="E1276" s="6"/>
      <c r="F1276" s="6" t="str">
        <f t="shared" si="59"/>
        <v/>
      </c>
      <c r="G1276" s="6"/>
      <c r="H1276" s="6"/>
      <c r="I1276" s="6"/>
      <c r="J1276" s="7"/>
      <c r="K1276" s="5" t="str" cm="1">
        <f t="array" ref="K1276">IF(OR(A1276="",B1276="",D1276="",E1276=""),"",A1276&amp;"_"&amp;SUBSTITUTE(B1276," ","-")&amp;"_"&amp;D1276&amp;"_"&amp;SUBSTITUTE(SUBSTITUTE(E1276," ",""),"€","Euro")&amp;"_"&amp;IF(F1276="","Unknown",F1276)&amp;IF(F1276="Commemorative",IF(G1276="","","_"&amp;SUBSTITUTE(SUBSTITUTE(SUBSTITUTE(G1276," ","-"),"/","-"),CHAR(39),"")),"")&amp;IF(I1276="Duplicate","_Dub"&amp;IF(SUMPRODUCT(($B$2:B1276=B1276)*($D$2:D1276=D1276)*($E$2:E1276=E1276)*($F$2:F1276=F1276)*($G$2:G1276=G1276)*($I$2:I1276="Duplicate"))&lt;=1,"",SUMPRODUCT(($B$2:B1276=B1276)*($D$2:D1276=D1276)*($E$2:E1276=E1276)*($F$2:F1276=F1276)*($G$2:G1276=G1276)*($I$2:I1276="Duplicate"))-1),"")&amp;".jpeg")</f>
        <v/>
      </c>
      <c r="L1276" s="6"/>
      <c r="M1276" s="5" t="str">
        <f>IFERROR(VLOOKUP(E1276,Specifications!$A$2:$D$9,2,FALSE),"")</f>
        <v/>
      </c>
      <c r="N1276" s="5" t="str">
        <f>IFERROR(VLOOKUP(E1276,Specifications!$A$2:$D$9,3,FALSE),"")</f>
        <v/>
      </c>
      <c r="O1276" s="5" t="str">
        <f>IFERROR(VLOOKUP(E1276,Specifications!$A$2:$D$9,4,FALSE),"")</f>
        <v/>
      </c>
      <c r="P1276" s="8" t="str">
        <f t="shared" si="60"/>
        <v/>
      </c>
      <c r="Q1276" s="9"/>
    </row>
    <row r="1277" spans="1:17" ht="15">
      <c r="A1277" s="5" t="str">
        <f t="shared" si="58"/>
        <v/>
      </c>
      <c r="B1277" s="6"/>
      <c r="C1277" s="5" t="str">
        <f>IFERROR(VLOOKUP(B1277,Lists!$A$2:$B$25,2,FALSE),"")</f>
        <v/>
      </c>
      <c r="D1277" s="7"/>
      <c r="E1277" s="6"/>
      <c r="F1277" s="6" t="str">
        <f t="shared" si="59"/>
        <v/>
      </c>
      <c r="G1277" s="6"/>
      <c r="H1277" s="6"/>
      <c r="I1277" s="6"/>
      <c r="J1277" s="7"/>
      <c r="K1277" s="5" t="str" cm="1">
        <f t="array" ref="K1277">IF(OR(A1277="",B1277="",D1277="",E1277=""),"",A1277&amp;"_"&amp;SUBSTITUTE(B1277," ","-")&amp;"_"&amp;D1277&amp;"_"&amp;SUBSTITUTE(SUBSTITUTE(E1277," ",""),"€","Euro")&amp;"_"&amp;IF(F1277="","Unknown",F1277)&amp;IF(F1277="Commemorative",IF(G1277="","","_"&amp;SUBSTITUTE(SUBSTITUTE(SUBSTITUTE(G1277," ","-"),"/","-"),CHAR(39),"")),"")&amp;IF(I1277="Duplicate","_Dub"&amp;IF(SUMPRODUCT(($B$2:B1277=B1277)*($D$2:D1277=D1277)*($E$2:E1277=E1277)*($F$2:F1277=F1277)*($G$2:G1277=G1277)*($I$2:I1277="Duplicate"))&lt;=1,"",SUMPRODUCT(($B$2:B1277=B1277)*($D$2:D1277=D1277)*($E$2:E1277=E1277)*($F$2:F1277=F1277)*($G$2:G1277=G1277)*($I$2:I1277="Duplicate"))-1),"")&amp;".jpeg")</f>
        <v/>
      </c>
      <c r="L1277" s="6"/>
      <c r="M1277" s="5" t="str">
        <f>IFERROR(VLOOKUP(E1277,Specifications!$A$2:$D$9,2,FALSE),"")</f>
        <v/>
      </c>
      <c r="N1277" s="5" t="str">
        <f>IFERROR(VLOOKUP(E1277,Specifications!$A$2:$D$9,3,FALSE),"")</f>
        <v/>
      </c>
      <c r="O1277" s="5" t="str">
        <f>IFERROR(VLOOKUP(E1277,Specifications!$A$2:$D$9,4,FALSE),"")</f>
        <v/>
      </c>
      <c r="P1277" s="8" t="str">
        <f t="shared" si="60"/>
        <v/>
      </c>
      <c r="Q1277" s="9"/>
    </row>
    <row r="1278" spans="1:17" ht="15">
      <c r="A1278" s="5" t="str">
        <f t="shared" si="58"/>
        <v/>
      </c>
      <c r="B1278" s="6"/>
      <c r="C1278" s="5" t="str">
        <f>IFERROR(VLOOKUP(B1278,Lists!$A$2:$B$25,2,FALSE),"")</f>
        <v/>
      </c>
      <c r="D1278" s="7"/>
      <c r="E1278" s="6"/>
      <c r="F1278" s="6" t="str">
        <f t="shared" si="59"/>
        <v/>
      </c>
      <c r="G1278" s="6"/>
      <c r="H1278" s="6"/>
      <c r="I1278" s="6"/>
      <c r="J1278" s="7"/>
      <c r="K1278" s="5" t="str" cm="1">
        <f t="array" ref="K1278">IF(OR(A1278="",B1278="",D1278="",E1278=""),"",A1278&amp;"_"&amp;SUBSTITUTE(B1278," ","-")&amp;"_"&amp;D1278&amp;"_"&amp;SUBSTITUTE(SUBSTITUTE(E1278," ",""),"€","Euro")&amp;"_"&amp;IF(F1278="","Unknown",F1278)&amp;IF(F1278="Commemorative",IF(G1278="","","_"&amp;SUBSTITUTE(SUBSTITUTE(SUBSTITUTE(G1278," ","-"),"/","-"),CHAR(39),"")),"")&amp;IF(I1278="Duplicate","_Dub"&amp;IF(SUMPRODUCT(($B$2:B1278=B1278)*($D$2:D1278=D1278)*($E$2:E1278=E1278)*($F$2:F1278=F1278)*($G$2:G1278=G1278)*($I$2:I1278="Duplicate"))&lt;=1,"",SUMPRODUCT(($B$2:B1278=B1278)*($D$2:D1278=D1278)*($E$2:E1278=E1278)*($F$2:F1278=F1278)*($G$2:G1278=G1278)*($I$2:I1278="Duplicate"))-1),"")&amp;".jpeg")</f>
        <v/>
      </c>
      <c r="L1278" s="6"/>
      <c r="M1278" s="5" t="str">
        <f>IFERROR(VLOOKUP(E1278,Specifications!$A$2:$D$9,2,FALSE),"")</f>
        <v/>
      </c>
      <c r="N1278" s="5" t="str">
        <f>IFERROR(VLOOKUP(E1278,Specifications!$A$2:$D$9,3,FALSE),"")</f>
        <v/>
      </c>
      <c r="O1278" s="5" t="str">
        <f>IFERROR(VLOOKUP(E1278,Specifications!$A$2:$D$9,4,FALSE),"")</f>
        <v/>
      </c>
      <c r="P1278" s="8" t="str">
        <f t="shared" si="60"/>
        <v/>
      </c>
      <c r="Q1278" s="9"/>
    </row>
    <row r="1279" spans="1:17" ht="15">
      <c r="A1279" s="5" t="str">
        <f t="shared" si="58"/>
        <v/>
      </c>
      <c r="B1279" s="6"/>
      <c r="C1279" s="5" t="str">
        <f>IFERROR(VLOOKUP(B1279,Lists!$A$2:$B$25,2,FALSE),"")</f>
        <v/>
      </c>
      <c r="D1279" s="7"/>
      <c r="E1279" s="6"/>
      <c r="F1279" s="6" t="str">
        <f t="shared" si="59"/>
        <v/>
      </c>
      <c r="G1279" s="6"/>
      <c r="H1279" s="6"/>
      <c r="I1279" s="6"/>
      <c r="J1279" s="7"/>
      <c r="K1279" s="5" t="str" cm="1">
        <f t="array" ref="K1279">IF(OR(A1279="",B1279="",D1279="",E1279=""),"",A1279&amp;"_"&amp;SUBSTITUTE(B1279," ","-")&amp;"_"&amp;D1279&amp;"_"&amp;SUBSTITUTE(SUBSTITUTE(E1279," ",""),"€","Euro")&amp;"_"&amp;IF(F1279="","Unknown",F1279)&amp;IF(F1279="Commemorative",IF(G1279="","","_"&amp;SUBSTITUTE(SUBSTITUTE(SUBSTITUTE(G1279," ","-"),"/","-"),CHAR(39),"")),"")&amp;IF(I1279="Duplicate","_Dub"&amp;IF(SUMPRODUCT(($B$2:B1279=B1279)*($D$2:D1279=D1279)*($E$2:E1279=E1279)*($F$2:F1279=F1279)*($G$2:G1279=G1279)*($I$2:I1279="Duplicate"))&lt;=1,"",SUMPRODUCT(($B$2:B1279=B1279)*($D$2:D1279=D1279)*($E$2:E1279=E1279)*($F$2:F1279=F1279)*($G$2:G1279=G1279)*($I$2:I1279="Duplicate"))-1),"")&amp;".jpeg")</f>
        <v/>
      </c>
      <c r="L1279" s="6"/>
      <c r="M1279" s="5" t="str">
        <f>IFERROR(VLOOKUP(E1279,Specifications!$A$2:$D$9,2,FALSE),"")</f>
        <v/>
      </c>
      <c r="N1279" s="5" t="str">
        <f>IFERROR(VLOOKUP(E1279,Specifications!$A$2:$D$9,3,FALSE),"")</f>
        <v/>
      </c>
      <c r="O1279" s="5" t="str">
        <f>IFERROR(VLOOKUP(E1279,Specifications!$A$2:$D$9,4,FALSE),"")</f>
        <v/>
      </c>
      <c r="P1279" s="8" t="str">
        <f t="shared" si="60"/>
        <v/>
      </c>
      <c r="Q1279" s="9"/>
    </row>
    <row r="1280" spans="1:17" ht="15">
      <c r="A1280" s="5" t="str">
        <f t="shared" si="58"/>
        <v/>
      </c>
      <c r="B1280" s="6"/>
      <c r="C1280" s="5" t="str">
        <f>IFERROR(VLOOKUP(B1280,Lists!$A$2:$B$25,2,FALSE),"")</f>
        <v/>
      </c>
      <c r="D1280" s="7"/>
      <c r="E1280" s="6"/>
      <c r="F1280" s="6" t="str">
        <f t="shared" si="59"/>
        <v/>
      </c>
      <c r="G1280" s="6"/>
      <c r="H1280" s="6"/>
      <c r="I1280" s="6"/>
      <c r="J1280" s="7"/>
      <c r="K1280" s="5" t="str" cm="1">
        <f t="array" ref="K1280">IF(OR(A1280="",B1280="",D1280="",E1280=""),"",A1280&amp;"_"&amp;SUBSTITUTE(B1280," ","-")&amp;"_"&amp;D1280&amp;"_"&amp;SUBSTITUTE(SUBSTITUTE(E1280," ",""),"€","Euro")&amp;"_"&amp;IF(F1280="","Unknown",F1280)&amp;IF(F1280="Commemorative",IF(G1280="","","_"&amp;SUBSTITUTE(SUBSTITUTE(SUBSTITUTE(G1280," ","-"),"/","-"),CHAR(39),"")),"")&amp;IF(I1280="Duplicate","_Dub"&amp;IF(SUMPRODUCT(($B$2:B1280=B1280)*($D$2:D1280=D1280)*($E$2:E1280=E1280)*($F$2:F1280=F1280)*($G$2:G1280=G1280)*($I$2:I1280="Duplicate"))&lt;=1,"",SUMPRODUCT(($B$2:B1280=B1280)*($D$2:D1280=D1280)*($E$2:E1280=E1280)*($F$2:F1280=F1280)*($G$2:G1280=G1280)*($I$2:I1280="Duplicate"))-1),"")&amp;".jpeg")</f>
        <v/>
      </c>
      <c r="L1280" s="6"/>
      <c r="M1280" s="5" t="str">
        <f>IFERROR(VLOOKUP(E1280,Specifications!$A$2:$D$9,2,FALSE),"")</f>
        <v/>
      </c>
      <c r="N1280" s="5" t="str">
        <f>IFERROR(VLOOKUP(E1280,Specifications!$A$2:$D$9,3,FALSE),"")</f>
        <v/>
      </c>
      <c r="O1280" s="5" t="str">
        <f>IFERROR(VLOOKUP(E1280,Specifications!$A$2:$D$9,4,FALSE),"")</f>
        <v/>
      </c>
      <c r="P1280" s="8" t="str">
        <f t="shared" si="60"/>
        <v/>
      </c>
      <c r="Q1280" s="9"/>
    </row>
    <row r="1281" spans="1:17" ht="15">
      <c r="A1281" s="5" t="str">
        <f t="shared" si="58"/>
        <v/>
      </c>
      <c r="B1281" s="6"/>
      <c r="C1281" s="5" t="str">
        <f>IFERROR(VLOOKUP(B1281,Lists!$A$2:$B$25,2,FALSE),"")</f>
        <v/>
      </c>
      <c r="D1281" s="7"/>
      <c r="E1281" s="6"/>
      <c r="F1281" s="6" t="str">
        <f t="shared" si="59"/>
        <v/>
      </c>
      <c r="G1281" s="6"/>
      <c r="H1281" s="6"/>
      <c r="I1281" s="6"/>
      <c r="J1281" s="7"/>
      <c r="K1281" s="5" t="str" cm="1">
        <f t="array" ref="K1281">IF(OR(A1281="",B1281="",D1281="",E1281=""),"",A1281&amp;"_"&amp;SUBSTITUTE(B1281," ","-")&amp;"_"&amp;D1281&amp;"_"&amp;SUBSTITUTE(SUBSTITUTE(E1281," ",""),"€","Euro")&amp;"_"&amp;IF(F1281="","Unknown",F1281)&amp;IF(F1281="Commemorative",IF(G1281="","","_"&amp;SUBSTITUTE(SUBSTITUTE(SUBSTITUTE(G1281," ","-"),"/","-"),CHAR(39),"")),"")&amp;IF(I1281="Duplicate","_Dub"&amp;IF(SUMPRODUCT(($B$2:B1281=B1281)*($D$2:D1281=D1281)*($E$2:E1281=E1281)*($F$2:F1281=F1281)*($G$2:G1281=G1281)*($I$2:I1281="Duplicate"))&lt;=1,"",SUMPRODUCT(($B$2:B1281=B1281)*($D$2:D1281=D1281)*($E$2:E1281=E1281)*($F$2:F1281=F1281)*($G$2:G1281=G1281)*($I$2:I1281="Duplicate"))-1),"")&amp;".jpeg")</f>
        <v/>
      </c>
      <c r="L1281" s="6"/>
      <c r="M1281" s="5" t="str">
        <f>IFERROR(VLOOKUP(E1281,Specifications!$A$2:$D$9,2,FALSE),"")</f>
        <v/>
      </c>
      <c r="N1281" s="5" t="str">
        <f>IFERROR(VLOOKUP(E1281,Specifications!$A$2:$D$9,3,FALSE),"")</f>
        <v/>
      </c>
      <c r="O1281" s="5" t="str">
        <f>IFERROR(VLOOKUP(E1281,Specifications!$A$2:$D$9,4,FALSE),"")</f>
        <v/>
      </c>
      <c r="P1281" s="8" t="str">
        <f t="shared" si="60"/>
        <v/>
      </c>
      <c r="Q1281" s="9"/>
    </row>
    <row r="1282" spans="1:17" ht="15">
      <c r="A1282" s="5" t="str">
        <f t="shared" ref="A1282:A1345" si="61">IF(B1282="","",TEXT(ROW()-1,"000"))</f>
        <v/>
      </c>
      <c r="B1282" s="6"/>
      <c r="C1282" s="5" t="str">
        <f>IFERROR(VLOOKUP(B1282,Lists!$A$2:$B$25,2,FALSE),"")</f>
        <v/>
      </c>
      <c r="D1282" s="7"/>
      <c r="E1282" s="6"/>
      <c r="F1282" s="6" t="str">
        <f t="shared" ref="F1282:F1345" si="62">IF(E1282="","",IF(E1282="2 €","", "Regular"))</f>
        <v/>
      </c>
      <c r="G1282" s="6"/>
      <c r="H1282" s="6"/>
      <c r="I1282" s="6"/>
      <c r="J1282" s="7"/>
      <c r="K1282" s="5" t="str" cm="1">
        <f t="array" ref="K1282">IF(OR(A1282="",B1282="",D1282="",E1282=""),"",A1282&amp;"_"&amp;SUBSTITUTE(B1282," ","-")&amp;"_"&amp;D1282&amp;"_"&amp;SUBSTITUTE(SUBSTITUTE(E1282," ",""),"€","Euro")&amp;"_"&amp;IF(F1282="","Unknown",F1282)&amp;IF(F1282="Commemorative",IF(G1282="","","_"&amp;SUBSTITUTE(SUBSTITUTE(SUBSTITUTE(G1282," ","-"),"/","-"),CHAR(39),"")),"")&amp;IF(I1282="Duplicate","_Dub"&amp;IF(SUMPRODUCT(($B$2:B1282=B1282)*($D$2:D1282=D1282)*($E$2:E1282=E1282)*($F$2:F1282=F1282)*($G$2:G1282=G1282)*($I$2:I1282="Duplicate"))&lt;=1,"",SUMPRODUCT(($B$2:B1282=B1282)*($D$2:D1282=D1282)*($E$2:E1282=E1282)*($F$2:F1282=F1282)*($G$2:G1282=G1282)*($I$2:I1282="Duplicate"))-1),"")&amp;".jpeg")</f>
        <v/>
      </c>
      <c r="L1282" s="6"/>
      <c r="M1282" s="5" t="str">
        <f>IFERROR(VLOOKUP(E1282,Specifications!$A$2:$D$9,2,FALSE),"")</f>
        <v/>
      </c>
      <c r="N1282" s="5" t="str">
        <f>IFERROR(VLOOKUP(E1282,Specifications!$A$2:$D$9,3,FALSE),"")</f>
        <v/>
      </c>
      <c r="O1282" s="5" t="str">
        <f>IFERROR(VLOOKUP(E1282,Specifications!$A$2:$D$9,4,FALSE),"")</f>
        <v/>
      </c>
      <c r="P1282" s="8" t="str">
        <f t="shared" ref="P1282:P1345" si="63">IF(OR(B1282="",E1282="",F1282=""),"",IF(F1282="Regular","Regular "&amp;E1282&amp;" circulation coin of "&amp;B1282&amp;".",IF(F1282="Commemorative",IF(G1282="","",E1282&amp;" commemorative coin of "&amp;B1282&amp;" – "&amp;G1282&amp;"."),"")))</f>
        <v/>
      </c>
      <c r="Q1282" s="9"/>
    </row>
    <row r="1283" spans="1:17" ht="15">
      <c r="A1283" s="5" t="str">
        <f t="shared" si="61"/>
        <v/>
      </c>
      <c r="B1283" s="6"/>
      <c r="C1283" s="5" t="str">
        <f>IFERROR(VLOOKUP(B1283,Lists!$A$2:$B$25,2,FALSE),"")</f>
        <v/>
      </c>
      <c r="D1283" s="7"/>
      <c r="E1283" s="6"/>
      <c r="F1283" s="6" t="str">
        <f t="shared" si="62"/>
        <v/>
      </c>
      <c r="G1283" s="6"/>
      <c r="H1283" s="6"/>
      <c r="I1283" s="6"/>
      <c r="J1283" s="7"/>
      <c r="K1283" s="5" t="str" cm="1">
        <f t="array" ref="K1283">IF(OR(A1283="",B1283="",D1283="",E1283=""),"",A1283&amp;"_"&amp;SUBSTITUTE(B1283," ","-")&amp;"_"&amp;D1283&amp;"_"&amp;SUBSTITUTE(SUBSTITUTE(E1283," ",""),"€","Euro")&amp;"_"&amp;IF(F1283="","Unknown",F1283)&amp;IF(F1283="Commemorative",IF(G1283="","","_"&amp;SUBSTITUTE(SUBSTITUTE(SUBSTITUTE(G1283," ","-"),"/","-"),CHAR(39),"")),"")&amp;IF(I1283="Duplicate","_Dub"&amp;IF(SUMPRODUCT(($B$2:B1283=B1283)*($D$2:D1283=D1283)*($E$2:E1283=E1283)*($F$2:F1283=F1283)*($G$2:G1283=G1283)*($I$2:I1283="Duplicate"))&lt;=1,"",SUMPRODUCT(($B$2:B1283=B1283)*($D$2:D1283=D1283)*($E$2:E1283=E1283)*($F$2:F1283=F1283)*($G$2:G1283=G1283)*($I$2:I1283="Duplicate"))-1),"")&amp;".jpeg")</f>
        <v/>
      </c>
      <c r="L1283" s="6"/>
      <c r="M1283" s="5" t="str">
        <f>IFERROR(VLOOKUP(E1283,Specifications!$A$2:$D$9,2,FALSE),"")</f>
        <v/>
      </c>
      <c r="N1283" s="5" t="str">
        <f>IFERROR(VLOOKUP(E1283,Specifications!$A$2:$D$9,3,FALSE),"")</f>
        <v/>
      </c>
      <c r="O1283" s="5" t="str">
        <f>IFERROR(VLOOKUP(E1283,Specifications!$A$2:$D$9,4,FALSE),"")</f>
        <v/>
      </c>
      <c r="P1283" s="8" t="str">
        <f t="shared" si="63"/>
        <v/>
      </c>
      <c r="Q1283" s="9"/>
    </row>
    <row r="1284" spans="1:17" ht="15">
      <c r="A1284" s="5" t="str">
        <f t="shared" si="61"/>
        <v/>
      </c>
      <c r="B1284" s="6"/>
      <c r="C1284" s="5" t="str">
        <f>IFERROR(VLOOKUP(B1284,Lists!$A$2:$B$25,2,FALSE),"")</f>
        <v/>
      </c>
      <c r="D1284" s="7"/>
      <c r="E1284" s="6"/>
      <c r="F1284" s="6" t="str">
        <f t="shared" si="62"/>
        <v/>
      </c>
      <c r="G1284" s="6"/>
      <c r="H1284" s="6"/>
      <c r="I1284" s="6"/>
      <c r="J1284" s="7"/>
      <c r="K1284" s="5" t="str" cm="1">
        <f t="array" ref="K1284">IF(OR(A1284="",B1284="",D1284="",E1284=""),"",A1284&amp;"_"&amp;SUBSTITUTE(B1284," ","-")&amp;"_"&amp;D1284&amp;"_"&amp;SUBSTITUTE(SUBSTITUTE(E1284," ",""),"€","Euro")&amp;"_"&amp;IF(F1284="","Unknown",F1284)&amp;IF(F1284="Commemorative",IF(G1284="","","_"&amp;SUBSTITUTE(SUBSTITUTE(SUBSTITUTE(G1284," ","-"),"/","-"),CHAR(39),"")),"")&amp;IF(I1284="Duplicate","_Dub"&amp;IF(SUMPRODUCT(($B$2:B1284=B1284)*($D$2:D1284=D1284)*($E$2:E1284=E1284)*($F$2:F1284=F1284)*($G$2:G1284=G1284)*($I$2:I1284="Duplicate"))&lt;=1,"",SUMPRODUCT(($B$2:B1284=B1284)*($D$2:D1284=D1284)*($E$2:E1284=E1284)*($F$2:F1284=F1284)*($G$2:G1284=G1284)*($I$2:I1284="Duplicate"))-1),"")&amp;".jpeg")</f>
        <v/>
      </c>
      <c r="L1284" s="6"/>
      <c r="M1284" s="5" t="str">
        <f>IFERROR(VLOOKUP(E1284,Specifications!$A$2:$D$9,2,FALSE),"")</f>
        <v/>
      </c>
      <c r="N1284" s="5" t="str">
        <f>IFERROR(VLOOKUP(E1284,Specifications!$A$2:$D$9,3,FALSE),"")</f>
        <v/>
      </c>
      <c r="O1284" s="5" t="str">
        <f>IFERROR(VLOOKUP(E1284,Specifications!$A$2:$D$9,4,FALSE),"")</f>
        <v/>
      </c>
      <c r="P1284" s="8" t="str">
        <f t="shared" si="63"/>
        <v/>
      </c>
      <c r="Q1284" s="9"/>
    </row>
    <row r="1285" spans="1:17" ht="15">
      <c r="A1285" s="5" t="str">
        <f t="shared" si="61"/>
        <v/>
      </c>
      <c r="B1285" s="6"/>
      <c r="C1285" s="5" t="str">
        <f>IFERROR(VLOOKUP(B1285,Lists!$A$2:$B$25,2,FALSE),"")</f>
        <v/>
      </c>
      <c r="D1285" s="7"/>
      <c r="E1285" s="6"/>
      <c r="F1285" s="6" t="str">
        <f t="shared" si="62"/>
        <v/>
      </c>
      <c r="G1285" s="6"/>
      <c r="H1285" s="6"/>
      <c r="I1285" s="6"/>
      <c r="J1285" s="7"/>
      <c r="K1285" s="5" t="str" cm="1">
        <f t="array" ref="K1285">IF(OR(A1285="",B1285="",D1285="",E1285=""),"",A1285&amp;"_"&amp;SUBSTITUTE(B1285," ","-")&amp;"_"&amp;D1285&amp;"_"&amp;SUBSTITUTE(SUBSTITUTE(E1285," ",""),"€","Euro")&amp;"_"&amp;IF(F1285="","Unknown",F1285)&amp;IF(F1285="Commemorative",IF(G1285="","","_"&amp;SUBSTITUTE(SUBSTITUTE(SUBSTITUTE(G1285," ","-"),"/","-"),CHAR(39),"")),"")&amp;IF(I1285="Duplicate","_Dub"&amp;IF(SUMPRODUCT(($B$2:B1285=B1285)*($D$2:D1285=D1285)*($E$2:E1285=E1285)*($F$2:F1285=F1285)*($G$2:G1285=G1285)*($I$2:I1285="Duplicate"))&lt;=1,"",SUMPRODUCT(($B$2:B1285=B1285)*($D$2:D1285=D1285)*($E$2:E1285=E1285)*($F$2:F1285=F1285)*($G$2:G1285=G1285)*($I$2:I1285="Duplicate"))-1),"")&amp;".jpeg")</f>
        <v/>
      </c>
      <c r="L1285" s="6"/>
      <c r="M1285" s="5" t="str">
        <f>IFERROR(VLOOKUP(E1285,Specifications!$A$2:$D$9,2,FALSE),"")</f>
        <v/>
      </c>
      <c r="N1285" s="5" t="str">
        <f>IFERROR(VLOOKUP(E1285,Specifications!$A$2:$D$9,3,FALSE),"")</f>
        <v/>
      </c>
      <c r="O1285" s="5" t="str">
        <f>IFERROR(VLOOKUP(E1285,Specifications!$A$2:$D$9,4,FALSE),"")</f>
        <v/>
      </c>
      <c r="P1285" s="8" t="str">
        <f t="shared" si="63"/>
        <v/>
      </c>
      <c r="Q1285" s="9"/>
    </row>
    <row r="1286" spans="1:17" ht="15">
      <c r="A1286" s="5" t="str">
        <f t="shared" si="61"/>
        <v/>
      </c>
      <c r="B1286" s="6"/>
      <c r="C1286" s="5" t="str">
        <f>IFERROR(VLOOKUP(B1286,Lists!$A$2:$B$25,2,FALSE),"")</f>
        <v/>
      </c>
      <c r="D1286" s="7"/>
      <c r="E1286" s="6"/>
      <c r="F1286" s="6" t="str">
        <f t="shared" si="62"/>
        <v/>
      </c>
      <c r="G1286" s="6"/>
      <c r="H1286" s="6"/>
      <c r="I1286" s="6"/>
      <c r="J1286" s="7"/>
      <c r="K1286" s="5" t="str" cm="1">
        <f t="array" ref="K1286">IF(OR(A1286="",B1286="",D1286="",E1286=""),"",A1286&amp;"_"&amp;SUBSTITUTE(B1286," ","-")&amp;"_"&amp;D1286&amp;"_"&amp;SUBSTITUTE(SUBSTITUTE(E1286," ",""),"€","Euro")&amp;"_"&amp;IF(F1286="","Unknown",F1286)&amp;IF(F1286="Commemorative",IF(G1286="","","_"&amp;SUBSTITUTE(SUBSTITUTE(SUBSTITUTE(G1286," ","-"),"/","-"),CHAR(39),"")),"")&amp;IF(I1286="Duplicate","_Dub"&amp;IF(SUMPRODUCT(($B$2:B1286=B1286)*($D$2:D1286=D1286)*($E$2:E1286=E1286)*($F$2:F1286=F1286)*($G$2:G1286=G1286)*($I$2:I1286="Duplicate"))&lt;=1,"",SUMPRODUCT(($B$2:B1286=B1286)*($D$2:D1286=D1286)*($E$2:E1286=E1286)*($F$2:F1286=F1286)*($G$2:G1286=G1286)*($I$2:I1286="Duplicate"))-1),"")&amp;".jpeg")</f>
        <v/>
      </c>
      <c r="L1286" s="6"/>
      <c r="M1286" s="5" t="str">
        <f>IFERROR(VLOOKUP(E1286,Specifications!$A$2:$D$9,2,FALSE),"")</f>
        <v/>
      </c>
      <c r="N1286" s="5" t="str">
        <f>IFERROR(VLOOKUP(E1286,Specifications!$A$2:$D$9,3,FALSE),"")</f>
        <v/>
      </c>
      <c r="O1286" s="5" t="str">
        <f>IFERROR(VLOOKUP(E1286,Specifications!$A$2:$D$9,4,FALSE),"")</f>
        <v/>
      </c>
      <c r="P1286" s="8" t="str">
        <f t="shared" si="63"/>
        <v/>
      </c>
      <c r="Q1286" s="9"/>
    </row>
    <row r="1287" spans="1:17" ht="15">
      <c r="A1287" s="5" t="str">
        <f t="shared" si="61"/>
        <v/>
      </c>
      <c r="B1287" s="6"/>
      <c r="C1287" s="5" t="str">
        <f>IFERROR(VLOOKUP(B1287,Lists!$A$2:$B$25,2,FALSE),"")</f>
        <v/>
      </c>
      <c r="D1287" s="7"/>
      <c r="E1287" s="6"/>
      <c r="F1287" s="6" t="str">
        <f t="shared" si="62"/>
        <v/>
      </c>
      <c r="G1287" s="6"/>
      <c r="H1287" s="6"/>
      <c r="I1287" s="6"/>
      <c r="J1287" s="7"/>
      <c r="K1287" s="5" t="str" cm="1">
        <f t="array" ref="K1287">IF(OR(A1287="",B1287="",D1287="",E1287=""),"",A1287&amp;"_"&amp;SUBSTITUTE(B1287," ","-")&amp;"_"&amp;D1287&amp;"_"&amp;SUBSTITUTE(SUBSTITUTE(E1287," ",""),"€","Euro")&amp;"_"&amp;IF(F1287="","Unknown",F1287)&amp;IF(F1287="Commemorative",IF(G1287="","","_"&amp;SUBSTITUTE(SUBSTITUTE(SUBSTITUTE(G1287," ","-"),"/","-"),CHAR(39),"")),"")&amp;IF(I1287="Duplicate","_Dub"&amp;IF(SUMPRODUCT(($B$2:B1287=B1287)*($D$2:D1287=D1287)*($E$2:E1287=E1287)*($F$2:F1287=F1287)*($G$2:G1287=G1287)*($I$2:I1287="Duplicate"))&lt;=1,"",SUMPRODUCT(($B$2:B1287=B1287)*($D$2:D1287=D1287)*($E$2:E1287=E1287)*($F$2:F1287=F1287)*($G$2:G1287=G1287)*($I$2:I1287="Duplicate"))-1),"")&amp;".jpeg")</f>
        <v/>
      </c>
      <c r="L1287" s="6"/>
      <c r="M1287" s="5" t="str">
        <f>IFERROR(VLOOKUP(E1287,Specifications!$A$2:$D$9,2,FALSE),"")</f>
        <v/>
      </c>
      <c r="N1287" s="5" t="str">
        <f>IFERROR(VLOOKUP(E1287,Specifications!$A$2:$D$9,3,FALSE),"")</f>
        <v/>
      </c>
      <c r="O1287" s="5" t="str">
        <f>IFERROR(VLOOKUP(E1287,Specifications!$A$2:$D$9,4,FALSE),"")</f>
        <v/>
      </c>
      <c r="P1287" s="8" t="str">
        <f t="shared" si="63"/>
        <v/>
      </c>
      <c r="Q1287" s="9"/>
    </row>
    <row r="1288" spans="1:17" ht="15">
      <c r="A1288" s="5" t="str">
        <f t="shared" si="61"/>
        <v/>
      </c>
      <c r="B1288" s="6"/>
      <c r="C1288" s="5" t="str">
        <f>IFERROR(VLOOKUP(B1288,Lists!$A$2:$B$25,2,FALSE),"")</f>
        <v/>
      </c>
      <c r="D1288" s="7"/>
      <c r="E1288" s="6"/>
      <c r="F1288" s="6" t="str">
        <f t="shared" si="62"/>
        <v/>
      </c>
      <c r="G1288" s="6"/>
      <c r="H1288" s="6"/>
      <c r="I1288" s="6"/>
      <c r="J1288" s="7"/>
      <c r="K1288" s="5" t="str" cm="1">
        <f t="array" ref="K1288">IF(OR(A1288="",B1288="",D1288="",E1288=""),"",A1288&amp;"_"&amp;SUBSTITUTE(B1288," ","-")&amp;"_"&amp;D1288&amp;"_"&amp;SUBSTITUTE(SUBSTITUTE(E1288," ",""),"€","Euro")&amp;"_"&amp;IF(F1288="","Unknown",F1288)&amp;IF(F1288="Commemorative",IF(G1288="","","_"&amp;SUBSTITUTE(SUBSTITUTE(SUBSTITUTE(G1288," ","-"),"/","-"),CHAR(39),"")),"")&amp;IF(I1288="Duplicate","_Dub"&amp;IF(SUMPRODUCT(($B$2:B1288=B1288)*($D$2:D1288=D1288)*($E$2:E1288=E1288)*($F$2:F1288=F1288)*($G$2:G1288=G1288)*($I$2:I1288="Duplicate"))&lt;=1,"",SUMPRODUCT(($B$2:B1288=B1288)*($D$2:D1288=D1288)*($E$2:E1288=E1288)*($F$2:F1288=F1288)*($G$2:G1288=G1288)*($I$2:I1288="Duplicate"))-1),"")&amp;".jpeg")</f>
        <v/>
      </c>
      <c r="L1288" s="6"/>
      <c r="M1288" s="5" t="str">
        <f>IFERROR(VLOOKUP(E1288,Specifications!$A$2:$D$9,2,FALSE),"")</f>
        <v/>
      </c>
      <c r="N1288" s="5" t="str">
        <f>IFERROR(VLOOKUP(E1288,Specifications!$A$2:$D$9,3,FALSE),"")</f>
        <v/>
      </c>
      <c r="O1288" s="5" t="str">
        <f>IFERROR(VLOOKUP(E1288,Specifications!$A$2:$D$9,4,FALSE),"")</f>
        <v/>
      </c>
      <c r="P1288" s="8" t="str">
        <f t="shared" si="63"/>
        <v/>
      </c>
      <c r="Q1288" s="9"/>
    </row>
    <row r="1289" spans="1:17" ht="15">
      <c r="A1289" s="5" t="str">
        <f t="shared" si="61"/>
        <v/>
      </c>
      <c r="B1289" s="6"/>
      <c r="C1289" s="5" t="str">
        <f>IFERROR(VLOOKUP(B1289,Lists!$A$2:$B$25,2,FALSE),"")</f>
        <v/>
      </c>
      <c r="D1289" s="7"/>
      <c r="E1289" s="6"/>
      <c r="F1289" s="6" t="str">
        <f t="shared" si="62"/>
        <v/>
      </c>
      <c r="G1289" s="6"/>
      <c r="H1289" s="6"/>
      <c r="I1289" s="6"/>
      <c r="J1289" s="7"/>
      <c r="K1289" s="5" t="str" cm="1">
        <f t="array" ref="K1289">IF(OR(A1289="",B1289="",D1289="",E1289=""),"",A1289&amp;"_"&amp;SUBSTITUTE(B1289," ","-")&amp;"_"&amp;D1289&amp;"_"&amp;SUBSTITUTE(SUBSTITUTE(E1289," ",""),"€","Euro")&amp;"_"&amp;IF(F1289="","Unknown",F1289)&amp;IF(F1289="Commemorative",IF(G1289="","","_"&amp;SUBSTITUTE(SUBSTITUTE(SUBSTITUTE(G1289," ","-"),"/","-"),CHAR(39),"")),"")&amp;IF(I1289="Duplicate","_Dub"&amp;IF(SUMPRODUCT(($B$2:B1289=B1289)*($D$2:D1289=D1289)*($E$2:E1289=E1289)*($F$2:F1289=F1289)*($G$2:G1289=G1289)*($I$2:I1289="Duplicate"))&lt;=1,"",SUMPRODUCT(($B$2:B1289=B1289)*($D$2:D1289=D1289)*($E$2:E1289=E1289)*($F$2:F1289=F1289)*($G$2:G1289=G1289)*($I$2:I1289="Duplicate"))-1),"")&amp;".jpeg")</f>
        <v/>
      </c>
      <c r="L1289" s="6"/>
      <c r="M1289" s="5" t="str">
        <f>IFERROR(VLOOKUP(E1289,Specifications!$A$2:$D$9,2,FALSE),"")</f>
        <v/>
      </c>
      <c r="N1289" s="5" t="str">
        <f>IFERROR(VLOOKUP(E1289,Specifications!$A$2:$D$9,3,FALSE),"")</f>
        <v/>
      </c>
      <c r="O1289" s="5" t="str">
        <f>IFERROR(VLOOKUP(E1289,Specifications!$A$2:$D$9,4,FALSE),"")</f>
        <v/>
      </c>
      <c r="P1289" s="8" t="str">
        <f t="shared" si="63"/>
        <v/>
      </c>
      <c r="Q1289" s="9"/>
    </row>
    <row r="1290" spans="1:17" ht="15">
      <c r="A1290" s="5" t="str">
        <f t="shared" si="61"/>
        <v/>
      </c>
      <c r="B1290" s="6"/>
      <c r="C1290" s="5" t="str">
        <f>IFERROR(VLOOKUP(B1290,Lists!$A$2:$B$25,2,FALSE),"")</f>
        <v/>
      </c>
      <c r="D1290" s="7"/>
      <c r="E1290" s="6"/>
      <c r="F1290" s="6" t="str">
        <f t="shared" si="62"/>
        <v/>
      </c>
      <c r="G1290" s="6"/>
      <c r="H1290" s="6"/>
      <c r="I1290" s="6"/>
      <c r="J1290" s="7"/>
      <c r="K1290" s="5" t="str" cm="1">
        <f t="array" ref="K1290">IF(OR(A1290="",B1290="",D1290="",E1290=""),"",A1290&amp;"_"&amp;SUBSTITUTE(B1290," ","-")&amp;"_"&amp;D1290&amp;"_"&amp;SUBSTITUTE(SUBSTITUTE(E1290," ",""),"€","Euro")&amp;"_"&amp;IF(F1290="","Unknown",F1290)&amp;IF(F1290="Commemorative",IF(G1290="","","_"&amp;SUBSTITUTE(SUBSTITUTE(SUBSTITUTE(G1290," ","-"),"/","-"),CHAR(39),"")),"")&amp;IF(I1290="Duplicate","_Dub"&amp;IF(SUMPRODUCT(($B$2:B1290=B1290)*($D$2:D1290=D1290)*($E$2:E1290=E1290)*($F$2:F1290=F1290)*($G$2:G1290=G1290)*($I$2:I1290="Duplicate"))&lt;=1,"",SUMPRODUCT(($B$2:B1290=B1290)*($D$2:D1290=D1290)*($E$2:E1290=E1290)*($F$2:F1290=F1290)*($G$2:G1290=G1290)*($I$2:I1290="Duplicate"))-1),"")&amp;".jpeg")</f>
        <v/>
      </c>
      <c r="L1290" s="6"/>
      <c r="M1290" s="5" t="str">
        <f>IFERROR(VLOOKUP(E1290,Specifications!$A$2:$D$9,2,FALSE),"")</f>
        <v/>
      </c>
      <c r="N1290" s="5" t="str">
        <f>IFERROR(VLOOKUP(E1290,Specifications!$A$2:$D$9,3,FALSE),"")</f>
        <v/>
      </c>
      <c r="O1290" s="5" t="str">
        <f>IFERROR(VLOOKUP(E1290,Specifications!$A$2:$D$9,4,FALSE),"")</f>
        <v/>
      </c>
      <c r="P1290" s="8" t="str">
        <f t="shared" si="63"/>
        <v/>
      </c>
      <c r="Q1290" s="9"/>
    </row>
    <row r="1291" spans="1:17" ht="15">
      <c r="A1291" s="5" t="str">
        <f t="shared" si="61"/>
        <v/>
      </c>
      <c r="B1291" s="6"/>
      <c r="C1291" s="5" t="str">
        <f>IFERROR(VLOOKUP(B1291,Lists!$A$2:$B$25,2,FALSE),"")</f>
        <v/>
      </c>
      <c r="D1291" s="7"/>
      <c r="E1291" s="6"/>
      <c r="F1291" s="6" t="str">
        <f t="shared" si="62"/>
        <v/>
      </c>
      <c r="G1291" s="6"/>
      <c r="H1291" s="6"/>
      <c r="I1291" s="6"/>
      <c r="J1291" s="7"/>
      <c r="K1291" s="5" t="str" cm="1">
        <f t="array" ref="K1291">IF(OR(A1291="",B1291="",D1291="",E1291=""),"",A1291&amp;"_"&amp;SUBSTITUTE(B1291," ","-")&amp;"_"&amp;D1291&amp;"_"&amp;SUBSTITUTE(SUBSTITUTE(E1291," ",""),"€","Euro")&amp;"_"&amp;IF(F1291="","Unknown",F1291)&amp;IF(F1291="Commemorative",IF(G1291="","","_"&amp;SUBSTITUTE(SUBSTITUTE(SUBSTITUTE(G1291," ","-"),"/","-"),CHAR(39),"")),"")&amp;IF(I1291="Duplicate","_Dub"&amp;IF(SUMPRODUCT(($B$2:B1291=B1291)*($D$2:D1291=D1291)*($E$2:E1291=E1291)*($F$2:F1291=F1291)*($G$2:G1291=G1291)*($I$2:I1291="Duplicate"))&lt;=1,"",SUMPRODUCT(($B$2:B1291=B1291)*($D$2:D1291=D1291)*($E$2:E1291=E1291)*($F$2:F1291=F1291)*($G$2:G1291=G1291)*($I$2:I1291="Duplicate"))-1),"")&amp;".jpeg")</f>
        <v/>
      </c>
      <c r="L1291" s="6"/>
      <c r="M1291" s="5" t="str">
        <f>IFERROR(VLOOKUP(E1291,Specifications!$A$2:$D$9,2,FALSE),"")</f>
        <v/>
      </c>
      <c r="N1291" s="5" t="str">
        <f>IFERROR(VLOOKUP(E1291,Specifications!$A$2:$D$9,3,FALSE),"")</f>
        <v/>
      </c>
      <c r="O1291" s="5" t="str">
        <f>IFERROR(VLOOKUP(E1291,Specifications!$A$2:$D$9,4,FALSE),"")</f>
        <v/>
      </c>
      <c r="P1291" s="8" t="str">
        <f t="shared" si="63"/>
        <v/>
      </c>
      <c r="Q1291" s="9"/>
    </row>
    <row r="1292" spans="1:17" ht="15">
      <c r="A1292" s="5" t="str">
        <f t="shared" si="61"/>
        <v/>
      </c>
      <c r="B1292" s="6"/>
      <c r="C1292" s="5" t="str">
        <f>IFERROR(VLOOKUP(B1292,Lists!$A$2:$B$25,2,FALSE),"")</f>
        <v/>
      </c>
      <c r="D1292" s="7"/>
      <c r="E1292" s="6"/>
      <c r="F1292" s="6" t="str">
        <f t="shared" si="62"/>
        <v/>
      </c>
      <c r="G1292" s="6"/>
      <c r="H1292" s="6"/>
      <c r="I1292" s="6"/>
      <c r="J1292" s="7"/>
      <c r="K1292" s="5" t="str" cm="1">
        <f t="array" ref="K1292">IF(OR(A1292="",B1292="",D1292="",E1292=""),"",A1292&amp;"_"&amp;SUBSTITUTE(B1292," ","-")&amp;"_"&amp;D1292&amp;"_"&amp;SUBSTITUTE(SUBSTITUTE(E1292," ",""),"€","Euro")&amp;"_"&amp;IF(F1292="","Unknown",F1292)&amp;IF(F1292="Commemorative",IF(G1292="","","_"&amp;SUBSTITUTE(SUBSTITUTE(SUBSTITUTE(G1292," ","-"),"/","-"),CHAR(39),"")),"")&amp;IF(I1292="Duplicate","_Dub"&amp;IF(SUMPRODUCT(($B$2:B1292=B1292)*($D$2:D1292=D1292)*($E$2:E1292=E1292)*($F$2:F1292=F1292)*($G$2:G1292=G1292)*($I$2:I1292="Duplicate"))&lt;=1,"",SUMPRODUCT(($B$2:B1292=B1292)*($D$2:D1292=D1292)*($E$2:E1292=E1292)*($F$2:F1292=F1292)*($G$2:G1292=G1292)*($I$2:I1292="Duplicate"))-1),"")&amp;".jpeg")</f>
        <v/>
      </c>
      <c r="L1292" s="6"/>
      <c r="M1292" s="5" t="str">
        <f>IFERROR(VLOOKUP(E1292,Specifications!$A$2:$D$9,2,FALSE),"")</f>
        <v/>
      </c>
      <c r="N1292" s="5" t="str">
        <f>IFERROR(VLOOKUP(E1292,Specifications!$A$2:$D$9,3,FALSE),"")</f>
        <v/>
      </c>
      <c r="O1292" s="5" t="str">
        <f>IFERROR(VLOOKUP(E1292,Specifications!$A$2:$D$9,4,FALSE),"")</f>
        <v/>
      </c>
      <c r="P1292" s="8" t="str">
        <f t="shared" si="63"/>
        <v/>
      </c>
      <c r="Q1292" s="9"/>
    </row>
    <row r="1293" spans="1:17" ht="15">
      <c r="A1293" s="5" t="str">
        <f t="shared" si="61"/>
        <v/>
      </c>
      <c r="B1293" s="6"/>
      <c r="C1293" s="5" t="str">
        <f>IFERROR(VLOOKUP(B1293,Lists!$A$2:$B$25,2,FALSE),"")</f>
        <v/>
      </c>
      <c r="D1293" s="7"/>
      <c r="E1293" s="6"/>
      <c r="F1293" s="6" t="str">
        <f t="shared" si="62"/>
        <v/>
      </c>
      <c r="G1293" s="6"/>
      <c r="H1293" s="6"/>
      <c r="I1293" s="6"/>
      <c r="J1293" s="7"/>
      <c r="K1293" s="5" t="str" cm="1">
        <f t="array" ref="K1293">IF(OR(A1293="",B1293="",D1293="",E1293=""),"",A1293&amp;"_"&amp;SUBSTITUTE(B1293," ","-")&amp;"_"&amp;D1293&amp;"_"&amp;SUBSTITUTE(SUBSTITUTE(E1293," ",""),"€","Euro")&amp;"_"&amp;IF(F1293="","Unknown",F1293)&amp;IF(F1293="Commemorative",IF(G1293="","","_"&amp;SUBSTITUTE(SUBSTITUTE(SUBSTITUTE(G1293," ","-"),"/","-"),CHAR(39),"")),"")&amp;IF(I1293="Duplicate","_Dub"&amp;IF(SUMPRODUCT(($B$2:B1293=B1293)*($D$2:D1293=D1293)*($E$2:E1293=E1293)*($F$2:F1293=F1293)*($G$2:G1293=G1293)*($I$2:I1293="Duplicate"))&lt;=1,"",SUMPRODUCT(($B$2:B1293=B1293)*($D$2:D1293=D1293)*($E$2:E1293=E1293)*($F$2:F1293=F1293)*($G$2:G1293=G1293)*($I$2:I1293="Duplicate"))-1),"")&amp;".jpeg")</f>
        <v/>
      </c>
      <c r="L1293" s="6"/>
      <c r="M1293" s="5" t="str">
        <f>IFERROR(VLOOKUP(E1293,Specifications!$A$2:$D$9,2,FALSE),"")</f>
        <v/>
      </c>
      <c r="N1293" s="5" t="str">
        <f>IFERROR(VLOOKUP(E1293,Specifications!$A$2:$D$9,3,FALSE),"")</f>
        <v/>
      </c>
      <c r="O1293" s="5" t="str">
        <f>IFERROR(VLOOKUP(E1293,Specifications!$A$2:$D$9,4,FALSE),"")</f>
        <v/>
      </c>
      <c r="P1293" s="8" t="str">
        <f t="shared" si="63"/>
        <v/>
      </c>
      <c r="Q1293" s="9"/>
    </row>
    <row r="1294" spans="1:17" ht="15">
      <c r="A1294" s="5" t="str">
        <f t="shared" si="61"/>
        <v/>
      </c>
      <c r="B1294" s="6"/>
      <c r="C1294" s="5" t="str">
        <f>IFERROR(VLOOKUP(B1294,Lists!$A$2:$B$25,2,FALSE),"")</f>
        <v/>
      </c>
      <c r="D1294" s="7"/>
      <c r="E1294" s="6"/>
      <c r="F1294" s="6" t="str">
        <f t="shared" si="62"/>
        <v/>
      </c>
      <c r="G1294" s="6"/>
      <c r="H1294" s="6"/>
      <c r="I1294" s="6"/>
      <c r="J1294" s="7"/>
      <c r="K1294" s="5" t="str" cm="1">
        <f t="array" ref="K1294">IF(OR(A1294="",B1294="",D1294="",E1294=""),"",A1294&amp;"_"&amp;SUBSTITUTE(B1294," ","-")&amp;"_"&amp;D1294&amp;"_"&amp;SUBSTITUTE(SUBSTITUTE(E1294," ",""),"€","Euro")&amp;"_"&amp;IF(F1294="","Unknown",F1294)&amp;IF(F1294="Commemorative",IF(G1294="","","_"&amp;SUBSTITUTE(SUBSTITUTE(SUBSTITUTE(G1294," ","-"),"/","-"),CHAR(39),"")),"")&amp;IF(I1294="Duplicate","_Dub"&amp;IF(SUMPRODUCT(($B$2:B1294=B1294)*($D$2:D1294=D1294)*($E$2:E1294=E1294)*($F$2:F1294=F1294)*($G$2:G1294=G1294)*($I$2:I1294="Duplicate"))&lt;=1,"",SUMPRODUCT(($B$2:B1294=B1294)*($D$2:D1294=D1294)*($E$2:E1294=E1294)*($F$2:F1294=F1294)*($G$2:G1294=G1294)*($I$2:I1294="Duplicate"))-1),"")&amp;".jpeg")</f>
        <v/>
      </c>
      <c r="L1294" s="6"/>
      <c r="M1294" s="5" t="str">
        <f>IFERROR(VLOOKUP(E1294,Specifications!$A$2:$D$9,2,FALSE),"")</f>
        <v/>
      </c>
      <c r="N1294" s="5" t="str">
        <f>IFERROR(VLOOKUP(E1294,Specifications!$A$2:$D$9,3,FALSE),"")</f>
        <v/>
      </c>
      <c r="O1294" s="5" t="str">
        <f>IFERROR(VLOOKUP(E1294,Specifications!$A$2:$D$9,4,FALSE),"")</f>
        <v/>
      </c>
      <c r="P1294" s="8" t="str">
        <f t="shared" si="63"/>
        <v/>
      </c>
      <c r="Q1294" s="9"/>
    </row>
    <row r="1295" spans="1:17" ht="15">
      <c r="A1295" s="5" t="str">
        <f t="shared" si="61"/>
        <v/>
      </c>
      <c r="B1295" s="6"/>
      <c r="C1295" s="5" t="str">
        <f>IFERROR(VLOOKUP(B1295,Lists!$A$2:$B$25,2,FALSE),"")</f>
        <v/>
      </c>
      <c r="D1295" s="7"/>
      <c r="E1295" s="6"/>
      <c r="F1295" s="6" t="str">
        <f t="shared" si="62"/>
        <v/>
      </c>
      <c r="G1295" s="6"/>
      <c r="H1295" s="6"/>
      <c r="I1295" s="6"/>
      <c r="J1295" s="7"/>
      <c r="K1295" s="5" t="str" cm="1">
        <f t="array" ref="K1295">IF(OR(A1295="",B1295="",D1295="",E1295=""),"",A1295&amp;"_"&amp;SUBSTITUTE(B1295," ","-")&amp;"_"&amp;D1295&amp;"_"&amp;SUBSTITUTE(SUBSTITUTE(E1295," ",""),"€","Euro")&amp;"_"&amp;IF(F1295="","Unknown",F1295)&amp;IF(F1295="Commemorative",IF(G1295="","","_"&amp;SUBSTITUTE(SUBSTITUTE(SUBSTITUTE(G1295," ","-"),"/","-"),CHAR(39),"")),"")&amp;IF(I1295="Duplicate","_Dub"&amp;IF(SUMPRODUCT(($B$2:B1295=B1295)*($D$2:D1295=D1295)*($E$2:E1295=E1295)*($F$2:F1295=F1295)*($G$2:G1295=G1295)*($I$2:I1295="Duplicate"))&lt;=1,"",SUMPRODUCT(($B$2:B1295=B1295)*($D$2:D1295=D1295)*($E$2:E1295=E1295)*($F$2:F1295=F1295)*($G$2:G1295=G1295)*($I$2:I1295="Duplicate"))-1),"")&amp;".jpeg")</f>
        <v/>
      </c>
      <c r="L1295" s="6"/>
      <c r="M1295" s="5" t="str">
        <f>IFERROR(VLOOKUP(E1295,Specifications!$A$2:$D$9,2,FALSE),"")</f>
        <v/>
      </c>
      <c r="N1295" s="5" t="str">
        <f>IFERROR(VLOOKUP(E1295,Specifications!$A$2:$D$9,3,FALSE),"")</f>
        <v/>
      </c>
      <c r="O1295" s="5" t="str">
        <f>IFERROR(VLOOKUP(E1295,Specifications!$A$2:$D$9,4,FALSE),"")</f>
        <v/>
      </c>
      <c r="P1295" s="8" t="str">
        <f t="shared" si="63"/>
        <v/>
      </c>
      <c r="Q1295" s="9"/>
    </row>
    <row r="1296" spans="1:17" ht="15">
      <c r="A1296" s="5" t="str">
        <f t="shared" si="61"/>
        <v/>
      </c>
      <c r="B1296" s="6"/>
      <c r="C1296" s="5" t="str">
        <f>IFERROR(VLOOKUP(B1296,Lists!$A$2:$B$25,2,FALSE),"")</f>
        <v/>
      </c>
      <c r="D1296" s="7"/>
      <c r="E1296" s="6"/>
      <c r="F1296" s="6" t="str">
        <f t="shared" si="62"/>
        <v/>
      </c>
      <c r="G1296" s="6"/>
      <c r="H1296" s="6"/>
      <c r="I1296" s="6"/>
      <c r="J1296" s="7"/>
      <c r="K1296" s="5" t="str" cm="1">
        <f t="array" ref="K1296">IF(OR(A1296="",B1296="",D1296="",E1296=""),"",A1296&amp;"_"&amp;SUBSTITUTE(B1296," ","-")&amp;"_"&amp;D1296&amp;"_"&amp;SUBSTITUTE(SUBSTITUTE(E1296," ",""),"€","Euro")&amp;"_"&amp;IF(F1296="","Unknown",F1296)&amp;IF(F1296="Commemorative",IF(G1296="","","_"&amp;SUBSTITUTE(SUBSTITUTE(SUBSTITUTE(G1296," ","-"),"/","-"),CHAR(39),"")),"")&amp;IF(I1296="Duplicate","_Dub"&amp;IF(SUMPRODUCT(($B$2:B1296=B1296)*($D$2:D1296=D1296)*($E$2:E1296=E1296)*($F$2:F1296=F1296)*($G$2:G1296=G1296)*($I$2:I1296="Duplicate"))&lt;=1,"",SUMPRODUCT(($B$2:B1296=B1296)*($D$2:D1296=D1296)*($E$2:E1296=E1296)*($F$2:F1296=F1296)*($G$2:G1296=G1296)*($I$2:I1296="Duplicate"))-1),"")&amp;".jpeg")</f>
        <v/>
      </c>
      <c r="L1296" s="6"/>
      <c r="M1296" s="5" t="str">
        <f>IFERROR(VLOOKUP(E1296,Specifications!$A$2:$D$9,2,FALSE),"")</f>
        <v/>
      </c>
      <c r="N1296" s="5" t="str">
        <f>IFERROR(VLOOKUP(E1296,Specifications!$A$2:$D$9,3,FALSE),"")</f>
        <v/>
      </c>
      <c r="O1296" s="5" t="str">
        <f>IFERROR(VLOOKUP(E1296,Specifications!$A$2:$D$9,4,FALSE),"")</f>
        <v/>
      </c>
      <c r="P1296" s="8" t="str">
        <f t="shared" si="63"/>
        <v/>
      </c>
      <c r="Q1296" s="9"/>
    </row>
    <row r="1297" spans="1:17" ht="15">
      <c r="A1297" s="5" t="str">
        <f t="shared" si="61"/>
        <v/>
      </c>
      <c r="B1297" s="6"/>
      <c r="C1297" s="5" t="str">
        <f>IFERROR(VLOOKUP(B1297,Lists!$A$2:$B$25,2,FALSE),"")</f>
        <v/>
      </c>
      <c r="D1297" s="7"/>
      <c r="E1297" s="6"/>
      <c r="F1297" s="6" t="str">
        <f t="shared" si="62"/>
        <v/>
      </c>
      <c r="G1297" s="6"/>
      <c r="H1297" s="6"/>
      <c r="I1297" s="6"/>
      <c r="J1297" s="7"/>
      <c r="K1297" s="5" t="str" cm="1">
        <f t="array" ref="K1297">IF(OR(A1297="",B1297="",D1297="",E1297=""),"",A1297&amp;"_"&amp;SUBSTITUTE(B1297," ","-")&amp;"_"&amp;D1297&amp;"_"&amp;SUBSTITUTE(SUBSTITUTE(E1297," ",""),"€","Euro")&amp;"_"&amp;IF(F1297="","Unknown",F1297)&amp;IF(F1297="Commemorative",IF(G1297="","","_"&amp;SUBSTITUTE(SUBSTITUTE(SUBSTITUTE(G1297," ","-"),"/","-"),CHAR(39),"")),"")&amp;IF(I1297="Duplicate","_Dub"&amp;IF(SUMPRODUCT(($B$2:B1297=B1297)*($D$2:D1297=D1297)*($E$2:E1297=E1297)*($F$2:F1297=F1297)*($G$2:G1297=G1297)*($I$2:I1297="Duplicate"))&lt;=1,"",SUMPRODUCT(($B$2:B1297=B1297)*($D$2:D1297=D1297)*($E$2:E1297=E1297)*($F$2:F1297=F1297)*($G$2:G1297=G1297)*($I$2:I1297="Duplicate"))-1),"")&amp;".jpeg")</f>
        <v/>
      </c>
      <c r="L1297" s="6"/>
      <c r="M1297" s="5" t="str">
        <f>IFERROR(VLOOKUP(E1297,Specifications!$A$2:$D$9,2,FALSE),"")</f>
        <v/>
      </c>
      <c r="N1297" s="5" t="str">
        <f>IFERROR(VLOOKUP(E1297,Specifications!$A$2:$D$9,3,FALSE),"")</f>
        <v/>
      </c>
      <c r="O1297" s="5" t="str">
        <f>IFERROR(VLOOKUP(E1297,Specifications!$A$2:$D$9,4,FALSE),"")</f>
        <v/>
      </c>
      <c r="P1297" s="8" t="str">
        <f t="shared" si="63"/>
        <v/>
      </c>
      <c r="Q1297" s="9"/>
    </row>
    <row r="1298" spans="1:17" ht="15">
      <c r="A1298" s="5" t="str">
        <f t="shared" si="61"/>
        <v/>
      </c>
      <c r="B1298" s="6"/>
      <c r="C1298" s="5" t="str">
        <f>IFERROR(VLOOKUP(B1298,Lists!$A$2:$B$25,2,FALSE),"")</f>
        <v/>
      </c>
      <c r="D1298" s="7"/>
      <c r="E1298" s="6"/>
      <c r="F1298" s="6" t="str">
        <f t="shared" si="62"/>
        <v/>
      </c>
      <c r="G1298" s="6"/>
      <c r="H1298" s="6"/>
      <c r="I1298" s="6"/>
      <c r="J1298" s="7"/>
      <c r="K1298" s="5" t="str" cm="1">
        <f t="array" ref="K1298">IF(OR(A1298="",B1298="",D1298="",E1298=""),"",A1298&amp;"_"&amp;SUBSTITUTE(B1298," ","-")&amp;"_"&amp;D1298&amp;"_"&amp;SUBSTITUTE(SUBSTITUTE(E1298," ",""),"€","Euro")&amp;"_"&amp;IF(F1298="","Unknown",F1298)&amp;IF(F1298="Commemorative",IF(G1298="","","_"&amp;SUBSTITUTE(SUBSTITUTE(SUBSTITUTE(G1298," ","-"),"/","-"),CHAR(39),"")),"")&amp;IF(I1298="Duplicate","_Dub"&amp;IF(SUMPRODUCT(($B$2:B1298=B1298)*($D$2:D1298=D1298)*($E$2:E1298=E1298)*($F$2:F1298=F1298)*($G$2:G1298=G1298)*($I$2:I1298="Duplicate"))&lt;=1,"",SUMPRODUCT(($B$2:B1298=B1298)*($D$2:D1298=D1298)*($E$2:E1298=E1298)*($F$2:F1298=F1298)*($G$2:G1298=G1298)*($I$2:I1298="Duplicate"))-1),"")&amp;".jpeg")</f>
        <v/>
      </c>
      <c r="L1298" s="6"/>
      <c r="M1298" s="5" t="str">
        <f>IFERROR(VLOOKUP(E1298,Specifications!$A$2:$D$9,2,FALSE),"")</f>
        <v/>
      </c>
      <c r="N1298" s="5" t="str">
        <f>IFERROR(VLOOKUP(E1298,Specifications!$A$2:$D$9,3,FALSE),"")</f>
        <v/>
      </c>
      <c r="O1298" s="5" t="str">
        <f>IFERROR(VLOOKUP(E1298,Specifications!$A$2:$D$9,4,FALSE),"")</f>
        <v/>
      </c>
      <c r="P1298" s="8" t="str">
        <f t="shared" si="63"/>
        <v/>
      </c>
      <c r="Q1298" s="9"/>
    </row>
    <row r="1299" spans="1:17" ht="15">
      <c r="A1299" s="5" t="str">
        <f t="shared" si="61"/>
        <v/>
      </c>
      <c r="B1299" s="6"/>
      <c r="C1299" s="5" t="str">
        <f>IFERROR(VLOOKUP(B1299,Lists!$A$2:$B$25,2,FALSE),"")</f>
        <v/>
      </c>
      <c r="D1299" s="7"/>
      <c r="E1299" s="6"/>
      <c r="F1299" s="6" t="str">
        <f t="shared" si="62"/>
        <v/>
      </c>
      <c r="G1299" s="6"/>
      <c r="H1299" s="6"/>
      <c r="I1299" s="6"/>
      <c r="J1299" s="7"/>
      <c r="K1299" s="5" t="str" cm="1">
        <f t="array" ref="K1299">IF(OR(A1299="",B1299="",D1299="",E1299=""),"",A1299&amp;"_"&amp;SUBSTITUTE(B1299," ","-")&amp;"_"&amp;D1299&amp;"_"&amp;SUBSTITUTE(SUBSTITUTE(E1299," ",""),"€","Euro")&amp;"_"&amp;IF(F1299="","Unknown",F1299)&amp;IF(F1299="Commemorative",IF(G1299="","","_"&amp;SUBSTITUTE(SUBSTITUTE(SUBSTITUTE(G1299," ","-"),"/","-"),CHAR(39),"")),"")&amp;IF(I1299="Duplicate","_Dub"&amp;IF(SUMPRODUCT(($B$2:B1299=B1299)*($D$2:D1299=D1299)*($E$2:E1299=E1299)*($F$2:F1299=F1299)*($G$2:G1299=G1299)*($I$2:I1299="Duplicate"))&lt;=1,"",SUMPRODUCT(($B$2:B1299=B1299)*($D$2:D1299=D1299)*($E$2:E1299=E1299)*($F$2:F1299=F1299)*($G$2:G1299=G1299)*($I$2:I1299="Duplicate"))-1),"")&amp;".jpeg")</f>
        <v/>
      </c>
      <c r="L1299" s="6"/>
      <c r="M1299" s="5" t="str">
        <f>IFERROR(VLOOKUP(E1299,Specifications!$A$2:$D$9,2,FALSE),"")</f>
        <v/>
      </c>
      <c r="N1299" s="5" t="str">
        <f>IFERROR(VLOOKUP(E1299,Specifications!$A$2:$D$9,3,FALSE),"")</f>
        <v/>
      </c>
      <c r="O1299" s="5" t="str">
        <f>IFERROR(VLOOKUP(E1299,Specifications!$A$2:$D$9,4,FALSE),"")</f>
        <v/>
      </c>
      <c r="P1299" s="8" t="str">
        <f t="shared" si="63"/>
        <v/>
      </c>
      <c r="Q1299" s="9"/>
    </row>
    <row r="1300" spans="1:17" ht="15">
      <c r="A1300" s="5" t="str">
        <f t="shared" si="61"/>
        <v/>
      </c>
      <c r="B1300" s="6"/>
      <c r="C1300" s="5" t="str">
        <f>IFERROR(VLOOKUP(B1300,Lists!$A$2:$B$25,2,FALSE),"")</f>
        <v/>
      </c>
      <c r="D1300" s="7"/>
      <c r="E1300" s="6"/>
      <c r="F1300" s="6" t="str">
        <f t="shared" si="62"/>
        <v/>
      </c>
      <c r="G1300" s="6"/>
      <c r="H1300" s="6"/>
      <c r="I1300" s="6"/>
      <c r="J1300" s="7"/>
      <c r="K1300" s="5" t="str" cm="1">
        <f t="array" ref="K1300">IF(OR(A1300="",B1300="",D1300="",E1300=""),"",A1300&amp;"_"&amp;SUBSTITUTE(B1300," ","-")&amp;"_"&amp;D1300&amp;"_"&amp;SUBSTITUTE(SUBSTITUTE(E1300," ",""),"€","Euro")&amp;"_"&amp;IF(F1300="","Unknown",F1300)&amp;IF(F1300="Commemorative",IF(G1300="","","_"&amp;SUBSTITUTE(SUBSTITUTE(SUBSTITUTE(G1300," ","-"),"/","-"),CHAR(39),"")),"")&amp;IF(I1300="Duplicate","_Dub"&amp;IF(SUMPRODUCT(($B$2:B1300=B1300)*($D$2:D1300=D1300)*($E$2:E1300=E1300)*($F$2:F1300=F1300)*($G$2:G1300=G1300)*($I$2:I1300="Duplicate"))&lt;=1,"",SUMPRODUCT(($B$2:B1300=B1300)*($D$2:D1300=D1300)*($E$2:E1300=E1300)*($F$2:F1300=F1300)*($G$2:G1300=G1300)*($I$2:I1300="Duplicate"))-1),"")&amp;".jpeg")</f>
        <v/>
      </c>
      <c r="L1300" s="6"/>
      <c r="M1300" s="5" t="str">
        <f>IFERROR(VLOOKUP(E1300,Specifications!$A$2:$D$9,2,FALSE),"")</f>
        <v/>
      </c>
      <c r="N1300" s="5" t="str">
        <f>IFERROR(VLOOKUP(E1300,Specifications!$A$2:$D$9,3,FALSE),"")</f>
        <v/>
      </c>
      <c r="O1300" s="5" t="str">
        <f>IFERROR(VLOOKUP(E1300,Specifications!$A$2:$D$9,4,FALSE),"")</f>
        <v/>
      </c>
      <c r="P1300" s="8" t="str">
        <f t="shared" si="63"/>
        <v/>
      </c>
      <c r="Q1300" s="9"/>
    </row>
    <row r="1301" spans="1:17" ht="15">
      <c r="A1301" s="5" t="str">
        <f t="shared" si="61"/>
        <v/>
      </c>
      <c r="B1301" s="6"/>
      <c r="C1301" s="5" t="str">
        <f>IFERROR(VLOOKUP(B1301,Lists!$A$2:$B$25,2,FALSE),"")</f>
        <v/>
      </c>
      <c r="D1301" s="7"/>
      <c r="E1301" s="6"/>
      <c r="F1301" s="6" t="str">
        <f t="shared" si="62"/>
        <v/>
      </c>
      <c r="G1301" s="6"/>
      <c r="H1301" s="6"/>
      <c r="I1301" s="6"/>
      <c r="J1301" s="7"/>
      <c r="K1301" s="5" t="str" cm="1">
        <f t="array" ref="K1301">IF(OR(A1301="",B1301="",D1301="",E1301=""),"",A1301&amp;"_"&amp;SUBSTITUTE(B1301," ","-")&amp;"_"&amp;D1301&amp;"_"&amp;SUBSTITUTE(SUBSTITUTE(E1301," ",""),"€","Euro")&amp;"_"&amp;IF(F1301="","Unknown",F1301)&amp;IF(F1301="Commemorative",IF(G1301="","","_"&amp;SUBSTITUTE(SUBSTITUTE(SUBSTITUTE(G1301," ","-"),"/","-"),CHAR(39),"")),"")&amp;IF(I1301="Duplicate","_Dub"&amp;IF(SUMPRODUCT(($B$2:B1301=B1301)*($D$2:D1301=D1301)*($E$2:E1301=E1301)*($F$2:F1301=F1301)*($G$2:G1301=G1301)*($I$2:I1301="Duplicate"))&lt;=1,"",SUMPRODUCT(($B$2:B1301=B1301)*($D$2:D1301=D1301)*($E$2:E1301=E1301)*($F$2:F1301=F1301)*($G$2:G1301=G1301)*($I$2:I1301="Duplicate"))-1),"")&amp;".jpeg")</f>
        <v/>
      </c>
      <c r="L1301" s="6"/>
      <c r="M1301" s="5" t="str">
        <f>IFERROR(VLOOKUP(E1301,Specifications!$A$2:$D$9,2,FALSE),"")</f>
        <v/>
      </c>
      <c r="N1301" s="5" t="str">
        <f>IFERROR(VLOOKUP(E1301,Specifications!$A$2:$D$9,3,FALSE),"")</f>
        <v/>
      </c>
      <c r="O1301" s="5" t="str">
        <f>IFERROR(VLOOKUP(E1301,Specifications!$A$2:$D$9,4,FALSE),"")</f>
        <v/>
      </c>
      <c r="P1301" s="8" t="str">
        <f t="shared" si="63"/>
        <v/>
      </c>
      <c r="Q1301" s="9"/>
    </row>
    <row r="1302" spans="1:17" ht="15">
      <c r="A1302" s="5" t="str">
        <f t="shared" si="61"/>
        <v/>
      </c>
      <c r="B1302" s="6"/>
      <c r="C1302" s="5" t="str">
        <f>IFERROR(VLOOKUP(B1302,Lists!$A$2:$B$25,2,FALSE),"")</f>
        <v/>
      </c>
      <c r="D1302" s="7"/>
      <c r="E1302" s="6"/>
      <c r="F1302" s="6" t="str">
        <f t="shared" si="62"/>
        <v/>
      </c>
      <c r="G1302" s="6"/>
      <c r="H1302" s="6"/>
      <c r="I1302" s="6"/>
      <c r="J1302" s="7"/>
      <c r="K1302" s="5" t="str" cm="1">
        <f t="array" ref="K1302">IF(OR(A1302="",B1302="",D1302="",E1302=""),"",A1302&amp;"_"&amp;SUBSTITUTE(B1302," ","-")&amp;"_"&amp;D1302&amp;"_"&amp;SUBSTITUTE(SUBSTITUTE(E1302," ",""),"€","Euro")&amp;"_"&amp;IF(F1302="","Unknown",F1302)&amp;IF(F1302="Commemorative",IF(G1302="","","_"&amp;SUBSTITUTE(SUBSTITUTE(SUBSTITUTE(G1302," ","-"),"/","-"),CHAR(39),"")),"")&amp;IF(I1302="Duplicate","_Dub"&amp;IF(SUMPRODUCT(($B$2:B1302=B1302)*($D$2:D1302=D1302)*($E$2:E1302=E1302)*($F$2:F1302=F1302)*($G$2:G1302=G1302)*($I$2:I1302="Duplicate"))&lt;=1,"",SUMPRODUCT(($B$2:B1302=B1302)*($D$2:D1302=D1302)*($E$2:E1302=E1302)*($F$2:F1302=F1302)*($G$2:G1302=G1302)*($I$2:I1302="Duplicate"))-1),"")&amp;".jpeg")</f>
        <v/>
      </c>
      <c r="L1302" s="6"/>
      <c r="M1302" s="5" t="str">
        <f>IFERROR(VLOOKUP(E1302,Specifications!$A$2:$D$9,2,FALSE),"")</f>
        <v/>
      </c>
      <c r="N1302" s="5" t="str">
        <f>IFERROR(VLOOKUP(E1302,Specifications!$A$2:$D$9,3,FALSE),"")</f>
        <v/>
      </c>
      <c r="O1302" s="5" t="str">
        <f>IFERROR(VLOOKUP(E1302,Specifications!$A$2:$D$9,4,FALSE),"")</f>
        <v/>
      </c>
      <c r="P1302" s="8" t="str">
        <f t="shared" si="63"/>
        <v/>
      </c>
      <c r="Q1302" s="9"/>
    </row>
    <row r="1303" spans="1:17" ht="15">
      <c r="A1303" s="5" t="str">
        <f t="shared" si="61"/>
        <v/>
      </c>
      <c r="B1303" s="6"/>
      <c r="C1303" s="5" t="str">
        <f>IFERROR(VLOOKUP(B1303,Lists!$A$2:$B$25,2,FALSE),"")</f>
        <v/>
      </c>
      <c r="D1303" s="7"/>
      <c r="E1303" s="6"/>
      <c r="F1303" s="6" t="str">
        <f t="shared" si="62"/>
        <v/>
      </c>
      <c r="G1303" s="6"/>
      <c r="H1303" s="6"/>
      <c r="I1303" s="6"/>
      <c r="J1303" s="7"/>
      <c r="K1303" s="5" t="str" cm="1">
        <f t="array" ref="K1303">IF(OR(A1303="",B1303="",D1303="",E1303=""),"",A1303&amp;"_"&amp;SUBSTITUTE(B1303," ","-")&amp;"_"&amp;D1303&amp;"_"&amp;SUBSTITUTE(SUBSTITUTE(E1303," ",""),"€","Euro")&amp;"_"&amp;IF(F1303="","Unknown",F1303)&amp;IF(F1303="Commemorative",IF(G1303="","","_"&amp;SUBSTITUTE(SUBSTITUTE(SUBSTITUTE(G1303," ","-"),"/","-"),CHAR(39),"")),"")&amp;IF(I1303="Duplicate","_Dub"&amp;IF(SUMPRODUCT(($B$2:B1303=B1303)*($D$2:D1303=D1303)*($E$2:E1303=E1303)*($F$2:F1303=F1303)*($G$2:G1303=G1303)*($I$2:I1303="Duplicate"))&lt;=1,"",SUMPRODUCT(($B$2:B1303=B1303)*($D$2:D1303=D1303)*($E$2:E1303=E1303)*($F$2:F1303=F1303)*($G$2:G1303=G1303)*($I$2:I1303="Duplicate"))-1),"")&amp;".jpeg")</f>
        <v/>
      </c>
      <c r="L1303" s="6"/>
      <c r="M1303" s="5" t="str">
        <f>IFERROR(VLOOKUP(E1303,Specifications!$A$2:$D$9,2,FALSE),"")</f>
        <v/>
      </c>
      <c r="N1303" s="5" t="str">
        <f>IFERROR(VLOOKUP(E1303,Specifications!$A$2:$D$9,3,FALSE),"")</f>
        <v/>
      </c>
      <c r="O1303" s="5" t="str">
        <f>IFERROR(VLOOKUP(E1303,Specifications!$A$2:$D$9,4,FALSE),"")</f>
        <v/>
      </c>
      <c r="P1303" s="8" t="str">
        <f t="shared" si="63"/>
        <v/>
      </c>
      <c r="Q1303" s="9"/>
    </row>
    <row r="1304" spans="1:17" ht="15">
      <c r="A1304" s="5" t="str">
        <f t="shared" si="61"/>
        <v/>
      </c>
      <c r="B1304" s="6"/>
      <c r="C1304" s="5" t="str">
        <f>IFERROR(VLOOKUP(B1304,Lists!$A$2:$B$25,2,FALSE),"")</f>
        <v/>
      </c>
      <c r="D1304" s="7"/>
      <c r="E1304" s="6"/>
      <c r="F1304" s="6" t="str">
        <f t="shared" si="62"/>
        <v/>
      </c>
      <c r="G1304" s="6"/>
      <c r="H1304" s="6"/>
      <c r="I1304" s="6"/>
      <c r="J1304" s="7"/>
      <c r="K1304" s="5" t="str" cm="1">
        <f t="array" ref="K1304">IF(OR(A1304="",B1304="",D1304="",E1304=""),"",A1304&amp;"_"&amp;SUBSTITUTE(B1304," ","-")&amp;"_"&amp;D1304&amp;"_"&amp;SUBSTITUTE(SUBSTITUTE(E1304," ",""),"€","Euro")&amp;"_"&amp;IF(F1304="","Unknown",F1304)&amp;IF(F1304="Commemorative",IF(G1304="","","_"&amp;SUBSTITUTE(SUBSTITUTE(SUBSTITUTE(G1304," ","-"),"/","-"),CHAR(39),"")),"")&amp;IF(I1304="Duplicate","_Dub"&amp;IF(SUMPRODUCT(($B$2:B1304=B1304)*($D$2:D1304=D1304)*($E$2:E1304=E1304)*($F$2:F1304=F1304)*($G$2:G1304=G1304)*($I$2:I1304="Duplicate"))&lt;=1,"",SUMPRODUCT(($B$2:B1304=B1304)*($D$2:D1304=D1304)*($E$2:E1304=E1304)*($F$2:F1304=F1304)*($G$2:G1304=G1304)*($I$2:I1304="Duplicate"))-1),"")&amp;".jpeg")</f>
        <v/>
      </c>
      <c r="L1304" s="6"/>
      <c r="M1304" s="5" t="str">
        <f>IFERROR(VLOOKUP(E1304,Specifications!$A$2:$D$9,2,FALSE),"")</f>
        <v/>
      </c>
      <c r="N1304" s="5" t="str">
        <f>IFERROR(VLOOKUP(E1304,Specifications!$A$2:$D$9,3,FALSE),"")</f>
        <v/>
      </c>
      <c r="O1304" s="5" t="str">
        <f>IFERROR(VLOOKUP(E1304,Specifications!$A$2:$D$9,4,FALSE),"")</f>
        <v/>
      </c>
      <c r="P1304" s="8" t="str">
        <f t="shared" si="63"/>
        <v/>
      </c>
      <c r="Q1304" s="9"/>
    </row>
    <row r="1305" spans="1:17" ht="15">
      <c r="A1305" s="5" t="str">
        <f t="shared" si="61"/>
        <v/>
      </c>
      <c r="B1305" s="6"/>
      <c r="C1305" s="5" t="str">
        <f>IFERROR(VLOOKUP(B1305,Lists!$A$2:$B$25,2,FALSE),"")</f>
        <v/>
      </c>
      <c r="D1305" s="7"/>
      <c r="E1305" s="6"/>
      <c r="F1305" s="6" t="str">
        <f t="shared" si="62"/>
        <v/>
      </c>
      <c r="G1305" s="6"/>
      <c r="H1305" s="6"/>
      <c r="I1305" s="6"/>
      <c r="J1305" s="7"/>
      <c r="K1305" s="5" t="str" cm="1">
        <f t="array" ref="K1305">IF(OR(A1305="",B1305="",D1305="",E1305=""),"",A1305&amp;"_"&amp;SUBSTITUTE(B1305," ","-")&amp;"_"&amp;D1305&amp;"_"&amp;SUBSTITUTE(SUBSTITUTE(E1305," ",""),"€","Euro")&amp;"_"&amp;IF(F1305="","Unknown",F1305)&amp;IF(F1305="Commemorative",IF(G1305="","","_"&amp;SUBSTITUTE(SUBSTITUTE(SUBSTITUTE(G1305," ","-"),"/","-"),CHAR(39),"")),"")&amp;IF(I1305="Duplicate","_Dub"&amp;IF(SUMPRODUCT(($B$2:B1305=B1305)*($D$2:D1305=D1305)*($E$2:E1305=E1305)*($F$2:F1305=F1305)*($G$2:G1305=G1305)*($I$2:I1305="Duplicate"))&lt;=1,"",SUMPRODUCT(($B$2:B1305=B1305)*($D$2:D1305=D1305)*($E$2:E1305=E1305)*($F$2:F1305=F1305)*($G$2:G1305=G1305)*($I$2:I1305="Duplicate"))-1),"")&amp;".jpeg")</f>
        <v/>
      </c>
      <c r="L1305" s="6"/>
      <c r="M1305" s="5" t="str">
        <f>IFERROR(VLOOKUP(E1305,Specifications!$A$2:$D$9,2,FALSE),"")</f>
        <v/>
      </c>
      <c r="N1305" s="5" t="str">
        <f>IFERROR(VLOOKUP(E1305,Specifications!$A$2:$D$9,3,FALSE),"")</f>
        <v/>
      </c>
      <c r="O1305" s="5" t="str">
        <f>IFERROR(VLOOKUP(E1305,Specifications!$A$2:$D$9,4,FALSE),"")</f>
        <v/>
      </c>
      <c r="P1305" s="8" t="str">
        <f t="shared" si="63"/>
        <v/>
      </c>
      <c r="Q1305" s="9"/>
    </row>
    <row r="1306" spans="1:17" ht="15">
      <c r="A1306" s="5" t="str">
        <f t="shared" si="61"/>
        <v/>
      </c>
      <c r="B1306" s="6"/>
      <c r="C1306" s="5" t="str">
        <f>IFERROR(VLOOKUP(B1306,Lists!$A$2:$B$25,2,FALSE),"")</f>
        <v/>
      </c>
      <c r="D1306" s="7"/>
      <c r="E1306" s="6"/>
      <c r="F1306" s="6" t="str">
        <f t="shared" si="62"/>
        <v/>
      </c>
      <c r="G1306" s="6"/>
      <c r="H1306" s="6"/>
      <c r="I1306" s="6"/>
      <c r="J1306" s="7"/>
      <c r="K1306" s="5" t="str" cm="1">
        <f t="array" ref="K1306">IF(OR(A1306="",B1306="",D1306="",E1306=""),"",A1306&amp;"_"&amp;SUBSTITUTE(B1306," ","-")&amp;"_"&amp;D1306&amp;"_"&amp;SUBSTITUTE(SUBSTITUTE(E1306," ",""),"€","Euro")&amp;"_"&amp;IF(F1306="","Unknown",F1306)&amp;IF(F1306="Commemorative",IF(G1306="","","_"&amp;SUBSTITUTE(SUBSTITUTE(SUBSTITUTE(G1306," ","-"),"/","-"),CHAR(39),"")),"")&amp;IF(I1306="Duplicate","_Dub"&amp;IF(SUMPRODUCT(($B$2:B1306=B1306)*($D$2:D1306=D1306)*($E$2:E1306=E1306)*($F$2:F1306=F1306)*($G$2:G1306=G1306)*($I$2:I1306="Duplicate"))&lt;=1,"",SUMPRODUCT(($B$2:B1306=B1306)*($D$2:D1306=D1306)*($E$2:E1306=E1306)*($F$2:F1306=F1306)*($G$2:G1306=G1306)*($I$2:I1306="Duplicate"))-1),"")&amp;".jpeg")</f>
        <v/>
      </c>
      <c r="L1306" s="6"/>
      <c r="M1306" s="5" t="str">
        <f>IFERROR(VLOOKUP(E1306,Specifications!$A$2:$D$9,2,FALSE),"")</f>
        <v/>
      </c>
      <c r="N1306" s="5" t="str">
        <f>IFERROR(VLOOKUP(E1306,Specifications!$A$2:$D$9,3,FALSE),"")</f>
        <v/>
      </c>
      <c r="O1306" s="5" t="str">
        <f>IFERROR(VLOOKUP(E1306,Specifications!$A$2:$D$9,4,FALSE),"")</f>
        <v/>
      </c>
      <c r="P1306" s="8" t="str">
        <f t="shared" si="63"/>
        <v/>
      </c>
      <c r="Q1306" s="9"/>
    </row>
    <row r="1307" spans="1:17" ht="15">
      <c r="A1307" s="5" t="str">
        <f t="shared" si="61"/>
        <v/>
      </c>
      <c r="B1307" s="6"/>
      <c r="C1307" s="5" t="str">
        <f>IFERROR(VLOOKUP(B1307,Lists!$A$2:$B$25,2,FALSE),"")</f>
        <v/>
      </c>
      <c r="D1307" s="7"/>
      <c r="E1307" s="6"/>
      <c r="F1307" s="6" t="str">
        <f t="shared" si="62"/>
        <v/>
      </c>
      <c r="G1307" s="6"/>
      <c r="H1307" s="6"/>
      <c r="I1307" s="6"/>
      <c r="J1307" s="7"/>
      <c r="K1307" s="5" t="str" cm="1">
        <f t="array" ref="K1307">IF(OR(A1307="",B1307="",D1307="",E1307=""),"",A1307&amp;"_"&amp;SUBSTITUTE(B1307," ","-")&amp;"_"&amp;D1307&amp;"_"&amp;SUBSTITUTE(SUBSTITUTE(E1307," ",""),"€","Euro")&amp;"_"&amp;IF(F1307="","Unknown",F1307)&amp;IF(F1307="Commemorative",IF(G1307="","","_"&amp;SUBSTITUTE(SUBSTITUTE(SUBSTITUTE(G1307," ","-"),"/","-"),CHAR(39),"")),"")&amp;IF(I1307="Duplicate","_Dub"&amp;IF(SUMPRODUCT(($B$2:B1307=B1307)*($D$2:D1307=D1307)*($E$2:E1307=E1307)*($F$2:F1307=F1307)*($G$2:G1307=G1307)*($I$2:I1307="Duplicate"))&lt;=1,"",SUMPRODUCT(($B$2:B1307=B1307)*($D$2:D1307=D1307)*($E$2:E1307=E1307)*($F$2:F1307=F1307)*($G$2:G1307=G1307)*($I$2:I1307="Duplicate"))-1),"")&amp;".jpeg")</f>
        <v/>
      </c>
      <c r="L1307" s="6"/>
      <c r="M1307" s="5" t="str">
        <f>IFERROR(VLOOKUP(E1307,Specifications!$A$2:$D$9,2,FALSE),"")</f>
        <v/>
      </c>
      <c r="N1307" s="5" t="str">
        <f>IFERROR(VLOOKUP(E1307,Specifications!$A$2:$D$9,3,FALSE),"")</f>
        <v/>
      </c>
      <c r="O1307" s="5" t="str">
        <f>IFERROR(VLOOKUP(E1307,Specifications!$A$2:$D$9,4,FALSE),"")</f>
        <v/>
      </c>
      <c r="P1307" s="8" t="str">
        <f t="shared" si="63"/>
        <v/>
      </c>
      <c r="Q1307" s="9"/>
    </row>
    <row r="1308" spans="1:17" ht="15">
      <c r="A1308" s="5" t="str">
        <f t="shared" si="61"/>
        <v/>
      </c>
      <c r="B1308" s="6"/>
      <c r="C1308" s="5" t="str">
        <f>IFERROR(VLOOKUP(B1308,Lists!$A$2:$B$25,2,FALSE),"")</f>
        <v/>
      </c>
      <c r="D1308" s="7"/>
      <c r="E1308" s="6"/>
      <c r="F1308" s="6" t="str">
        <f t="shared" si="62"/>
        <v/>
      </c>
      <c r="G1308" s="6"/>
      <c r="H1308" s="6"/>
      <c r="I1308" s="6"/>
      <c r="J1308" s="7"/>
      <c r="K1308" s="5" t="str" cm="1">
        <f t="array" ref="K1308">IF(OR(A1308="",B1308="",D1308="",E1308=""),"",A1308&amp;"_"&amp;SUBSTITUTE(B1308," ","-")&amp;"_"&amp;D1308&amp;"_"&amp;SUBSTITUTE(SUBSTITUTE(E1308," ",""),"€","Euro")&amp;"_"&amp;IF(F1308="","Unknown",F1308)&amp;IF(F1308="Commemorative",IF(G1308="","","_"&amp;SUBSTITUTE(SUBSTITUTE(SUBSTITUTE(G1308," ","-"),"/","-"),CHAR(39),"")),"")&amp;IF(I1308="Duplicate","_Dub"&amp;IF(SUMPRODUCT(($B$2:B1308=B1308)*($D$2:D1308=D1308)*($E$2:E1308=E1308)*($F$2:F1308=F1308)*($G$2:G1308=G1308)*($I$2:I1308="Duplicate"))&lt;=1,"",SUMPRODUCT(($B$2:B1308=B1308)*($D$2:D1308=D1308)*($E$2:E1308=E1308)*($F$2:F1308=F1308)*($G$2:G1308=G1308)*($I$2:I1308="Duplicate"))-1),"")&amp;".jpeg")</f>
        <v/>
      </c>
      <c r="L1308" s="6"/>
      <c r="M1308" s="5" t="str">
        <f>IFERROR(VLOOKUP(E1308,Specifications!$A$2:$D$9,2,FALSE),"")</f>
        <v/>
      </c>
      <c r="N1308" s="5" t="str">
        <f>IFERROR(VLOOKUP(E1308,Specifications!$A$2:$D$9,3,FALSE),"")</f>
        <v/>
      </c>
      <c r="O1308" s="5" t="str">
        <f>IFERROR(VLOOKUP(E1308,Specifications!$A$2:$D$9,4,FALSE),"")</f>
        <v/>
      </c>
      <c r="P1308" s="8" t="str">
        <f t="shared" si="63"/>
        <v/>
      </c>
      <c r="Q1308" s="9"/>
    </row>
    <row r="1309" spans="1:17" ht="15">
      <c r="A1309" s="5" t="str">
        <f t="shared" si="61"/>
        <v/>
      </c>
      <c r="B1309" s="6"/>
      <c r="C1309" s="5" t="str">
        <f>IFERROR(VLOOKUP(B1309,Lists!$A$2:$B$25,2,FALSE),"")</f>
        <v/>
      </c>
      <c r="D1309" s="7"/>
      <c r="E1309" s="6"/>
      <c r="F1309" s="6" t="str">
        <f t="shared" si="62"/>
        <v/>
      </c>
      <c r="G1309" s="6"/>
      <c r="H1309" s="6"/>
      <c r="I1309" s="6"/>
      <c r="J1309" s="7"/>
      <c r="K1309" s="5" t="str" cm="1">
        <f t="array" ref="K1309">IF(OR(A1309="",B1309="",D1309="",E1309=""),"",A1309&amp;"_"&amp;SUBSTITUTE(B1309," ","-")&amp;"_"&amp;D1309&amp;"_"&amp;SUBSTITUTE(SUBSTITUTE(E1309," ",""),"€","Euro")&amp;"_"&amp;IF(F1309="","Unknown",F1309)&amp;IF(F1309="Commemorative",IF(G1309="","","_"&amp;SUBSTITUTE(SUBSTITUTE(SUBSTITUTE(G1309," ","-"),"/","-"),CHAR(39),"")),"")&amp;IF(I1309="Duplicate","_Dub"&amp;IF(SUMPRODUCT(($B$2:B1309=B1309)*($D$2:D1309=D1309)*($E$2:E1309=E1309)*($F$2:F1309=F1309)*($G$2:G1309=G1309)*($I$2:I1309="Duplicate"))&lt;=1,"",SUMPRODUCT(($B$2:B1309=B1309)*($D$2:D1309=D1309)*($E$2:E1309=E1309)*($F$2:F1309=F1309)*($G$2:G1309=G1309)*($I$2:I1309="Duplicate"))-1),"")&amp;".jpeg")</f>
        <v/>
      </c>
      <c r="L1309" s="6"/>
      <c r="M1309" s="5" t="str">
        <f>IFERROR(VLOOKUP(E1309,Specifications!$A$2:$D$9,2,FALSE),"")</f>
        <v/>
      </c>
      <c r="N1309" s="5" t="str">
        <f>IFERROR(VLOOKUP(E1309,Specifications!$A$2:$D$9,3,FALSE),"")</f>
        <v/>
      </c>
      <c r="O1309" s="5" t="str">
        <f>IFERROR(VLOOKUP(E1309,Specifications!$A$2:$D$9,4,FALSE),"")</f>
        <v/>
      </c>
      <c r="P1309" s="8" t="str">
        <f t="shared" si="63"/>
        <v/>
      </c>
      <c r="Q1309" s="9"/>
    </row>
    <row r="1310" spans="1:17" ht="15">
      <c r="A1310" s="5" t="str">
        <f t="shared" si="61"/>
        <v/>
      </c>
      <c r="B1310" s="6"/>
      <c r="C1310" s="5" t="str">
        <f>IFERROR(VLOOKUP(B1310,Lists!$A$2:$B$25,2,FALSE),"")</f>
        <v/>
      </c>
      <c r="D1310" s="7"/>
      <c r="E1310" s="6"/>
      <c r="F1310" s="6" t="str">
        <f t="shared" si="62"/>
        <v/>
      </c>
      <c r="G1310" s="6"/>
      <c r="H1310" s="6"/>
      <c r="I1310" s="6"/>
      <c r="J1310" s="7"/>
      <c r="K1310" s="5" t="str" cm="1">
        <f t="array" ref="K1310">IF(OR(A1310="",B1310="",D1310="",E1310=""),"",A1310&amp;"_"&amp;SUBSTITUTE(B1310," ","-")&amp;"_"&amp;D1310&amp;"_"&amp;SUBSTITUTE(SUBSTITUTE(E1310," ",""),"€","Euro")&amp;"_"&amp;IF(F1310="","Unknown",F1310)&amp;IF(F1310="Commemorative",IF(G1310="","","_"&amp;SUBSTITUTE(SUBSTITUTE(SUBSTITUTE(G1310," ","-"),"/","-"),CHAR(39),"")),"")&amp;IF(I1310="Duplicate","_Dub"&amp;IF(SUMPRODUCT(($B$2:B1310=B1310)*($D$2:D1310=D1310)*($E$2:E1310=E1310)*($F$2:F1310=F1310)*($G$2:G1310=G1310)*($I$2:I1310="Duplicate"))&lt;=1,"",SUMPRODUCT(($B$2:B1310=B1310)*($D$2:D1310=D1310)*($E$2:E1310=E1310)*($F$2:F1310=F1310)*($G$2:G1310=G1310)*($I$2:I1310="Duplicate"))-1),"")&amp;".jpeg")</f>
        <v/>
      </c>
      <c r="L1310" s="6"/>
      <c r="M1310" s="5" t="str">
        <f>IFERROR(VLOOKUP(E1310,Specifications!$A$2:$D$9,2,FALSE),"")</f>
        <v/>
      </c>
      <c r="N1310" s="5" t="str">
        <f>IFERROR(VLOOKUP(E1310,Specifications!$A$2:$D$9,3,FALSE),"")</f>
        <v/>
      </c>
      <c r="O1310" s="5" t="str">
        <f>IFERROR(VLOOKUP(E1310,Specifications!$A$2:$D$9,4,FALSE),"")</f>
        <v/>
      </c>
      <c r="P1310" s="8" t="str">
        <f t="shared" si="63"/>
        <v/>
      </c>
      <c r="Q1310" s="9"/>
    </row>
    <row r="1311" spans="1:17" ht="15">
      <c r="A1311" s="5" t="str">
        <f t="shared" si="61"/>
        <v/>
      </c>
      <c r="B1311" s="6"/>
      <c r="C1311" s="5" t="str">
        <f>IFERROR(VLOOKUP(B1311,Lists!$A$2:$B$25,2,FALSE),"")</f>
        <v/>
      </c>
      <c r="D1311" s="7"/>
      <c r="E1311" s="6"/>
      <c r="F1311" s="6" t="str">
        <f t="shared" si="62"/>
        <v/>
      </c>
      <c r="G1311" s="6"/>
      <c r="H1311" s="6"/>
      <c r="I1311" s="6"/>
      <c r="J1311" s="7"/>
      <c r="K1311" s="5" t="str" cm="1">
        <f t="array" ref="K1311">IF(OR(A1311="",B1311="",D1311="",E1311=""),"",A1311&amp;"_"&amp;SUBSTITUTE(B1311," ","-")&amp;"_"&amp;D1311&amp;"_"&amp;SUBSTITUTE(SUBSTITUTE(E1311," ",""),"€","Euro")&amp;"_"&amp;IF(F1311="","Unknown",F1311)&amp;IF(F1311="Commemorative",IF(G1311="","","_"&amp;SUBSTITUTE(SUBSTITUTE(SUBSTITUTE(G1311," ","-"),"/","-"),CHAR(39),"")),"")&amp;IF(I1311="Duplicate","_Dub"&amp;IF(SUMPRODUCT(($B$2:B1311=B1311)*($D$2:D1311=D1311)*($E$2:E1311=E1311)*($F$2:F1311=F1311)*($G$2:G1311=G1311)*($I$2:I1311="Duplicate"))&lt;=1,"",SUMPRODUCT(($B$2:B1311=B1311)*($D$2:D1311=D1311)*($E$2:E1311=E1311)*($F$2:F1311=F1311)*($G$2:G1311=G1311)*($I$2:I1311="Duplicate"))-1),"")&amp;".jpeg")</f>
        <v/>
      </c>
      <c r="L1311" s="6"/>
      <c r="M1311" s="5" t="str">
        <f>IFERROR(VLOOKUP(E1311,Specifications!$A$2:$D$9,2,FALSE),"")</f>
        <v/>
      </c>
      <c r="N1311" s="5" t="str">
        <f>IFERROR(VLOOKUP(E1311,Specifications!$A$2:$D$9,3,FALSE),"")</f>
        <v/>
      </c>
      <c r="O1311" s="5" t="str">
        <f>IFERROR(VLOOKUP(E1311,Specifications!$A$2:$D$9,4,FALSE),"")</f>
        <v/>
      </c>
      <c r="P1311" s="8" t="str">
        <f t="shared" si="63"/>
        <v/>
      </c>
      <c r="Q1311" s="9"/>
    </row>
    <row r="1312" spans="1:17" ht="15">
      <c r="A1312" s="5" t="str">
        <f t="shared" si="61"/>
        <v/>
      </c>
      <c r="B1312" s="6"/>
      <c r="C1312" s="5" t="str">
        <f>IFERROR(VLOOKUP(B1312,Lists!$A$2:$B$25,2,FALSE),"")</f>
        <v/>
      </c>
      <c r="D1312" s="7"/>
      <c r="E1312" s="6"/>
      <c r="F1312" s="6" t="str">
        <f t="shared" si="62"/>
        <v/>
      </c>
      <c r="G1312" s="6"/>
      <c r="H1312" s="6"/>
      <c r="I1312" s="6"/>
      <c r="J1312" s="7"/>
      <c r="K1312" s="5" t="str" cm="1">
        <f t="array" ref="K1312">IF(OR(A1312="",B1312="",D1312="",E1312=""),"",A1312&amp;"_"&amp;SUBSTITUTE(B1312," ","-")&amp;"_"&amp;D1312&amp;"_"&amp;SUBSTITUTE(SUBSTITUTE(E1312," ",""),"€","Euro")&amp;"_"&amp;IF(F1312="","Unknown",F1312)&amp;IF(F1312="Commemorative",IF(G1312="","","_"&amp;SUBSTITUTE(SUBSTITUTE(SUBSTITUTE(G1312," ","-"),"/","-"),CHAR(39),"")),"")&amp;IF(I1312="Duplicate","_Dub"&amp;IF(SUMPRODUCT(($B$2:B1312=B1312)*($D$2:D1312=D1312)*($E$2:E1312=E1312)*($F$2:F1312=F1312)*($G$2:G1312=G1312)*($I$2:I1312="Duplicate"))&lt;=1,"",SUMPRODUCT(($B$2:B1312=B1312)*($D$2:D1312=D1312)*($E$2:E1312=E1312)*($F$2:F1312=F1312)*($G$2:G1312=G1312)*($I$2:I1312="Duplicate"))-1),"")&amp;".jpeg")</f>
        <v/>
      </c>
      <c r="L1312" s="6"/>
      <c r="M1312" s="5" t="str">
        <f>IFERROR(VLOOKUP(E1312,Specifications!$A$2:$D$9,2,FALSE),"")</f>
        <v/>
      </c>
      <c r="N1312" s="5" t="str">
        <f>IFERROR(VLOOKUP(E1312,Specifications!$A$2:$D$9,3,FALSE),"")</f>
        <v/>
      </c>
      <c r="O1312" s="5" t="str">
        <f>IFERROR(VLOOKUP(E1312,Specifications!$A$2:$D$9,4,FALSE),"")</f>
        <v/>
      </c>
      <c r="P1312" s="8" t="str">
        <f t="shared" si="63"/>
        <v/>
      </c>
      <c r="Q1312" s="9"/>
    </row>
    <row r="1313" spans="1:17" ht="15">
      <c r="A1313" s="5" t="str">
        <f t="shared" si="61"/>
        <v/>
      </c>
      <c r="B1313" s="6"/>
      <c r="C1313" s="5" t="str">
        <f>IFERROR(VLOOKUP(B1313,Lists!$A$2:$B$25,2,FALSE),"")</f>
        <v/>
      </c>
      <c r="D1313" s="7"/>
      <c r="E1313" s="6"/>
      <c r="F1313" s="6" t="str">
        <f t="shared" si="62"/>
        <v/>
      </c>
      <c r="G1313" s="6"/>
      <c r="H1313" s="6"/>
      <c r="I1313" s="6"/>
      <c r="J1313" s="7"/>
      <c r="K1313" s="5" t="str" cm="1">
        <f t="array" ref="K1313">IF(OR(A1313="",B1313="",D1313="",E1313=""),"",A1313&amp;"_"&amp;SUBSTITUTE(B1313," ","-")&amp;"_"&amp;D1313&amp;"_"&amp;SUBSTITUTE(SUBSTITUTE(E1313," ",""),"€","Euro")&amp;"_"&amp;IF(F1313="","Unknown",F1313)&amp;IF(F1313="Commemorative",IF(G1313="","","_"&amp;SUBSTITUTE(SUBSTITUTE(SUBSTITUTE(G1313," ","-"),"/","-"),CHAR(39),"")),"")&amp;IF(I1313="Duplicate","_Dub"&amp;IF(SUMPRODUCT(($B$2:B1313=B1313)*($D$2:D1313=D1313)*($E$2:E1313=E1313)*($F$2:F1313=F1313)*($G$2:G1313=G1313)*($I$2:I1313="Duplicate"))&lt;=1,"",SUMPRODUCT(($B$2:B1313=B1313)*($D$2:D1313=D1313)*($E$2:E1313=E1313)*($F$2:F1313=F1313)*($G$2:G1313=G1313)*($I$2:I1313="Duplicate"))-1),"")&amp;".jpeg")</f>
        <v/>
      </c>
      <c r="L1313" s="6"/>
      <c r="M1313" s="5" t="str">
        <f>IFERROR(VLOOKUP(E1313,Specifications!$A$2:$D$9,2,FALSE),"")</f>
        <v/>
      </c>
      <c r="N1313" s="5" t="str">
        <f>IFERROR(VLOOKUP(E1313,Specifications!$A$2:$D$9,3,FALSE),"")</f>
        <v/>
      </c>
      <c r="O1313" s="5" t="str">
        <f>IFERROR(VLOOKUP(E1313,Specifications!$A$2:$D$9,4,FALSE),"")</f>
        <v/>
      </c>
      <c r="P1313" s="8" t="str">
        <f t="shared" si="63"/>
        <v/>
      </c>
      <c r="Q1313" s="9"/>
    </row>
    <row r="1314" spans="1:17" ht="15">
      <c r="A1314" s="5" t="str">
        <f t="shared" si="61"/>
        <v/>
      </c>
      <c r="B1314" s="6"/>
      <c r="C1314" s="5" t="str">
        <f>IFERROR(VLOOKUP(B1314,Lists!$A$2:$B$25,2,FALSE),"")</f>
        <v/>
      </c>
      <c r="D1314" s="7"/>
      <c r="E1314" s="6"/>
      <c r="F1314" s="6" t="str">
        <f t="shared" si="62"/>
        <v/>
      </c>
      <c r="G1314" s="6"/>
      <c r="H1314" s="6"/>
      <c r="I1314" s="6"/>
      <c r="J1314" s="7"/>
      <c r="K1314" s="5" t="str" cm="1">
        <f t="array" ref="K1314">IF(OR(A1314="",B1314="",D1314="",E1314=""),"",A1314&amp;"_"&amp;SUBSTITUTE(B1314," ","-")&amp;"_"&amp;D1314&amp;"_"&amp;SUBSTITUTE(SUBSTITUTE(E1314," ",""),"€","Euro")&amp;"_"&amp;IF(F1314="","Unknown",F1314)&amp;IF(F1314="Commemorative",IF(G1314="","","_"&amp;SUBSTITUTE(SUBSTITUTE(SUBSTITUTE(G1314," ","-"),"/","-"),CHAR(39),"")),"")&amp;IF(I1314="Duplicate","_Dub"&amp;IF(SUMPRODUCT(($B$2:B1314=B1314)*($D$2:D1314=D1314)*($E$2:E1314=E1314)*($F$2:F1314=F1314)*($G$2:G1314=G1314)*($I$2:I1314="Duplicate"))&lt;=1,"",SUMPRODUCT(($B$2:B1314=B1314)*($D$2:D1314=D1314)*($E$2:E1314=E1314)*($F$2:F1314=F1314)*($G$2:G1314=G1314)*($I$2:I1314="Duplicate"))-1),"")&amp;".jpeg")</f>
        <v/>
      </c>
      <c r="L1314" s="6"/>
      <c r="M1314" s="5" t="str">
        <f>IFERROR(VLOOKUP(E1314,Specifications!$A$2:$D$9,2,FALSE),"")</f>
        <v/>
      </c>
      <c r="N1314" s="5" t="str">
        <f>IFERROR(VLOOKUP(E1314,Specifications!$A$2:$D$9,3,FALSE),"")</f>
        <v/>
      </c>
      <c r="O1314" s="5" t="str">
        <f>IFERROR(VLOOKUP(E1314,Specifications!$A$2:$D$9,4,FALSE),"")</f>
        <v/>
      </c>
      <c r="P1314" s="8" t="str">
        <f t="shared" si="63"/>
        <v/>
      </c>
      <c r="Q1314" s="9"/>
    </row>
    <row r="1315" spans="1:17" ht="15">
      <c r="A1315" s="5" t="str">
        <f t="shared" si="61"/>
        <v/>
      </c>
      <c r="B1315" s="6"/>
      <c r="C1315" s="5" t="str">
        <f>IFERROR(VLOOKUP(B1315,Lists!$A$2:$B$25,2,FALSE),"")</f>
        <v/>
      </c>
      <c r="D1315" s="7"/>
      <c r="E1315" s="6"/>
      <c r="F1315" s="6" t="str">
        <f t="shared" si="62"/>
        <v/>
      </c>
      <c r="G1315" s="6"/>
      <c r="H1315" s="6"/>
      <c r="I1315" s="6"/>
      <c r="J1315" s="7"/>
      <c r="K1315" s="5" t="str" cm="1">
        <f t="array" ref="K1315">IF(OR(A1315="",B1315="",D1315="",E1315=""),"",A1315&amp;"_"&amp;SUBSTITUTE(B1315," ","-")&amp;"_"&amp;D1315&amp;"_"&amp;SUBSTITUTE(SUBSTITUTE(E1315," ",""),"€","Euro")&amp;"_"&amp;IF(F1315="","Unknown",F1315)&amp;IF(F1315="Commemorative",IF(G1315="","","_"&amp;SUBSTITUTE(SUBSTITUTE(SUBSTITUTE(G1315," ","-"),"/","-"),CHAR(39),"")),"")&amp;IF(I1315="Duplicate","_Dub"&amp;IF(SUMPRODUCT(($B$2:B1315=B1315)*($D$2:D1315=D1315)*($E$2:E1315=E1315)*($F$2:F1315=F1315)*($G$2:G1315=G1315)*($I$2:I1315="Duplicate"))&lt;=1,"",SUMPRODUCT(($B$2:B1315=B1315)*($D$2:D1315=D1315)*($E$2:E1315=E1315)*($F$2:F1315=F1315)*($G$2:G1315=G1315)*($I$2:I1315="Duplicate"))-1),"")&amp;".jpeg")</f>
        <v/>
      </c>
      <c r="L1315" s="6"/>
      <c r="M1315" s="5" t="str">
        <f>IFERROR(VLOOKUP(E1315,Specifications!$A$2:$D$9,2,FALSE),"")</f>
        <v/>
      </c>
      <c r="N1315" s="5" t="str">
        <f>IFERROR(VLOOKUP(E1315,Specifications!$A$2:$D$9,3,FALSE),"")</f>
        <v/>
      </c>
      <c r="O1315" s="5" t="str">
        <f>IFERROR(VLOOKUP(E1315,Specifications!$A$2:$D$9,4,FALSE),"")</f>
        <v/>
      </c>
      <c r="P1315" s="8" t="str">
        <f t="shared" si="63"/>
        <v/>
      </c>
      <c r="Q1315" s="9"/>
    </row>
    <row r="1316" spans="1:17" ht="15">
      <c r="A1316" s="5" t="str">
        <f t="shared" si="61"/>
        <v/>
      </c>
      <c r="B1316" s="6"/>
      <c r="C1316" s="5" t="str">
        <f>IFERROR(VLOOKUP(B1316,Lists!$A$2:$B$25,2,FALSE),"")</f>
        <v/>
      </c>
      <c r="D1316" s="7"/>
      <c r="E1316" s="6"/>
      <c r="F1316" s="6" t="str">
        <f t="shared" si="62"/>
        <v/>
      </c>
      <c r="G1316" s="6"/>
      <c r="H1316" s="6"/>
      <c r="I1316" s="6"/>
      <c r="J1316" s="7"/>
      <c r="K1316" s="5" t="str" cm="1">
        <f t="array" ref="K1316">IF(OR(A1316="",B1316="",D1316="",E1316=""),"",A1316&amp;"_"&amp;SUBSTITUTE(B1316," ","-")&amp;"_"&amp;D1316&amp;"_"&amp;SUBSTITUTE(SUBSTITUTE(E1316," ",""),"€","Euro")&amp;"_"&amp;IF(F1316="","Unknown",F1316)&amp;IF(F1316="Commemorative",IF(G1316="","","_"&amp;SUBSTITUTE(SUBSTITUTE(SUBSTITUTE(G1316," ","-"),"/","-"),CHAR(39),"")),"")&amp;IF(I1316="Duplicate","_Dub"&amp;IF(SUMPRODUCT(($B$2:B1316=B1316)*($D$2:D1316=D1316)*($E$2:E1316=E1316)*($F$2:F1316=F1316)*($G$2:G1316=G1316)*($I$2:I1316="Duplicate"))&lt;=1,"",SUMPRODUCT(($B$2:B1316=B1316)*($D$2:D1316=D1316)*($E$2:E1316=E1316)*($F$2:F1316=F1316)*($G$2:G1316=G1316)*($I$2:I1316="Duplicate"))-1),"")&amp;".jpeg")</f>
        <v/>
      </c>
      <c r="L1316" s="6"/>
      <c r="M1316" s="5" t="str">
        <f>IFERROR(VLOOKUP(E1316,Specifications!$A$2:$D$9,2,FALSE),"")</f>
        <v/>
      </c>
      <c r="N1316" s="5" t="str">
        <f>IFERROR(VLOOKUP(E1316,Specifications!$A$2:$D$9,3,FALSE),"")</f>
        <v/>
      </c>
      <c r="O1316" s="5" t="str">
        <f>IFERROR(VLOOKUP(E1316,Specifications!$A$2:$D$9,4,FALSE),"")</f>
        <v/>
      </c>
      <c r="P1316" s="8" t="str">
        <f t="shared" si="63"/>
        <v/>
      </c>
      <c r="Q1316" s="9"/>
    </row>
    <row r="1317" spans="1:17" ht="15">
      <c r="A1317" s="5" t="str">
        <f t="shared" si="61"/>
        <v/>
      </c>
      <c r="B1317" s="6"/>
      <c r="C1317" s="5" t="str">
        <f>IFERROR(VLOOKUP(B1317,Lists!$A$2:$B$25,2,FALSE),"")</f>
        <v/>
      </c>
      <c r="D1317" s="7"/>
      <c r="E1317" s="6"/>
      <c r="F1317" s="6" t="str">
        <f t="shared" si="62"/>
        <v/>
      </c>
      <c r="G1317" s="6"/>
      <c r="H1317" s="6"/>
      <c r="I1317" s="6"/>
      <c r="J1317" s="7"/>
      <c r="K1317" s="5" t="str" cm="1">
        <f t="array" ref="K1317">IF(OR(A1317="",B1317="",D1317="",E1317=""),"",A1317&amp;"_"&amp;SUBSTITUTE(B1317," ","-")&amp;"_"&amp;D1317&amp;"_"&amp;SUBSTITUTE(SUBSTITUTE(E1317," ",""),"€","Euro")&amp;"_"&amp;IF(F1317="","Unknown",F1317)&amp;IF(F1317="Commemorative",IF(G1317="","","_"&amp;SUBSTITUTE(SUBSTITUTE(SUBSTITUTE(G1317," ","-"),"/","-"),CHAR(39),"")),"")&amp;IF(I1317="Duplicate","_Dub"&amp;IF(SUMPRODUCT(($B$2:B1317=B1317)*($D$2:D1317=D1317)*($E$2:E1317=E1317)*($F$2:F1317=F1317)*($G$2:G1317=G1317)*($I$2:I1317="Duplicate"))&lt;=1,"",SUMPRODUCT(($B$2:B1317=B1317)*($D$2:D1317=D1317)*($E$2:E1317=E1317)*($F$2:F1317=F1317)*($G$2:G1317=G1317)*($I$2:I1317="Duplicate"))-1),"")&amp;".jpeg")</f>
        <v/>
      </c>
      <c r="L1317" s="6"/>
      <c r="M1317" s="5" t="str">
        <f>IFERROR(VLOOKUP(E1317,Specifications!$A$2:$D$9,2,FALSE),"")</f>
        <v/>
      </c>
      <c r="N1317" s="5" t="str">
        <f>IFERROR(VLOOKUP(E1317,Specifications!$A$2:$D$9,3,FALSE),"")</f>
        <v/>
      </c>
      <c r="O1317" s="5" t="str">
        <f>IFERROR(VLOOKUP(E1317,Specifications!$A$2:$D$9,4,FALSE),"")</f>
        <v/>
      </c>
      <c r="P1317" s="8" t="str">
        <f t="shared" si="63"/>
        <v/>
      </c>
      <c r="Q1317" s="9"/>
    </row>
    <row r="1318" spans="1:17" ht="15">
      <c r="A1318" s="5" t="str">
        <f t="shared" si="61"/>
        <v/>
      </c>
      <c r="B1318" s="6"/>
      <c r="C1318" s="5" t="str">
        <f>IFERROR(VLOOKUP(B1318,Lists!$A$2:$B$25,2,FALSE),"")</f>
        <v/>
      </c>
      <c r="D1318" s="7"/>
      <c r="E1318" s="6"/>
      <c r="F1318" s="6" t="str">
        <f t="shared" si="62"/>
        <v/>
      </c>
      <c r="G1318" s="6"/>
      <c r="H1318" s="6"/>
      <c r="I1318" s="6"/>
      <c r="J1318" s="7"/>
      <c r="K1318" s="5" t="str" cm="1">
        <f t="array" ref="K1318">IF(OR(A1318="",B1318="",D1318="",E1318=""),"",A1318&amp;"_"&amp;SUBSTITUTE(B1318," ","-")&amp;"_"&amp;D1318&amp;"_"&amp;SUBSTITUTE(SUBSTITUTE(E1318," ",""),"€","Euro")&amp;"_"&amp;IF(F1318="","Unknown",F1318)&amp;IF(F1318="Commemorative",IF(G1318="","","_"&amp;SUBSTITUTE(SUBSTITUTE(SUBSTITUTE(G1318," ","-"),"/","-"),CHAR(39),"")),"")&amp;IF(I1318="Duplicate","_Dub"&amp;IF(SUMPRODUCT(($B$2:B1318=B1318)*($D$2:D1318=D1318)*($E$2:E1318=E1318)*($F$2:F1318=F1318)*($G$2:G1318=G1318)*($I$2:I1318="Duplicate"))&lt;=1,"",SUMPRODUCT(($B$2:B1318=B1318)*($D$2:D1318=D1318)*($E$2:E1318=E1318)*($F$2:F1318=F1318)*($G$2:G1318=G1318)*($I$2:I1318="Duplicate"))-1),"")&amp;".jpeg")</f>
        <v/>
      </c>
      <c r="L1318" s="6"/>
      <c r="M1318" s="5" t="str">
        <f>IFERROR(VLOOKUP(E1318,Specifications!$A$2:$D$9,2,FALSE),"")</f>
        <v/>
      </c>
      <c r="N1318" s="5" t="str">
        <f>IFERROR(VLOOKUP(E1318,Specifications!$A$2:$D$9,3,FALSE),"")</f>
        <v/>
      </c>
      <c r="O1318" s="5" t="str">
        <f>IFERROR(VLOOKUP(E1318,Specifications!$A$2:$D$9,4,FALSE),"")</f>
        <v/>
      </c>
      <c r="P1318" s="8" t="str">
        <f t="shared" si="63"/>
        <v/>
      </c>
      <c r="Q1318" s="9"/>
    </row>
    <row r="1319" spans="1:17" ht="15">
      <c r="A1319" s="5" t="str">
        <f t="shared" si="61"/>
        <v/>
      </c>
      <c r="B1319" s="6"/>
      <c r="C1319" s="5" t="str">
        <f>IFERROR(VLOOKUP(B1319,Lists!$A$2:$B$25,2,FALSE),"")</f>
        <v/>
      </c>
      <c r="D1319" s="7"/>
      <c r="E1319" s="6"/>
      <c r="F1319" s="6" t="str">
        <f t="shared" si="62"/>
        <v/>
      </c>
      <c r="G1319" s="6"/>
      <c r="H1319" s="6"/>
      <c r="I1319" s="6"/>
      <c r="J1319" s="7"/>
      <c r="K1319" s="5" t="str" cm="1">
        <f t="array" ref="K1319">IF(OR(A1319="",B1319="",D1319="",E1319=""),"",A1319&amp;"_"&amp;SUBSTITUTE(B1319," ","-")&amp;"_"&amp;D1319&amp;"_"&amp;SUBSTITUTE(SUBSTITUTE(E1319," ",""),"€","Euro")&amp;"_"&amp;IF(F1319="","Unknown",F1319)&amp;IF(F1319="Commemorative",IF(G1319="","","_"&amp;SUBSTITUTE(SUBSTITUTE(SUBSTITUTE(G1319," ","-"),"/","-"),CHAR(39),"")),"")&amp;IF(I1319="Duplicate","_Dub"&amp;IF(SUMPRODUCT(($B$2:B1319=B1319)*($D$2:D1319=D1319)*($E$2:E1319=E1319)*($F$2:F1319=F1319)*($G$2:G1319=G1319)*($I$2:I1319="Duplicate"))&lt;=1,"",SUMPRODUCT(($B$2:B1319=B1319)*($D$2:D1319=D1319)*($E$2:E1319=E1319)*($F$2:F1319=F1319)*($G$2:G1319=G1319)*($I$2:I1319="Duplicate"))-1),"")&amp;".jpeg")</f>
        <v/>
      </c>
      <c r="L1319" s="6"/>
      <c r="M1319" s="5" t="str">
        <f>IFERROR(VLOOKUP(E1319,Specifications!$A$2:$D$9,2,FALSE),"")</f>
        <v/>
      </c>
      <c r="N1319" s="5" t="str">
        <f>IFERROR(VLOOKUP(E1319,Specifications!$A$2:$D$9,3,FALSE),"")</f>
        <v/>
      </c>
      <c r="O1319" s="5" t="str">
        <f>IFERROR(VLOOKUP(E1319,Specifications!$A$2:$D$9,4,FALSE),"")</f>
        <v/>
      </c>
      <c r="P1319" s="8" t="str">
        <f t="shared" si="63"/>
        <v/>
      </c>
      <c r="Q1319" s="9"/>
    </row>
    <row r="1320" spans="1:17" ht="15">
      <c r="A1320" s="5" t="str">
        <f t="shared" si="61"/>
        <v/>
      </c>
      <c r="B1320" s="6"/>
      <c r="C1320" s="5" t="str">
        <f>IFERROR(VLOOKUP(B1320,Lists!$A$2:$B$25,2,FALSE),"")</f>
        <v/>
      </c>
      <c r="D1320" s="7"/>
      <c r="E1320" s="6"/>
      <c r="F1320" s="6" t="str">
        <f t="shared" si="62"/>
        <v/>
      </c>
      <c r="G1320" s="6"/>
      <c r="H1320" s="6"/>
      <c r="I1320" s="6"/>
      <c r="J1320" s="7"/>
      <c r="K1320" s="5" t="str" cm="1">
        <f t="array" ref="K1320">IF(OR(A1320="",B1320="",D1320="",E1320=""),"",A1320&amp;"_"&amp;SUBSTITUTE(B1320," ","-")&amp;"_"&amp;D1320&amp;"_"&amp;SUBSTITUTE(SUBSTITUTE(E1320," ",""),"€","Euro")&amp;"_"&amp;IF(F1320="","Unknown",F1320)&amp;IF(F1320="Commemorative",IF(G1320="","","_"&amp;SUBSTITUTE(SUBSTITUTE(SUBSTITUTE(G1320," ","-"),"/","-"),CHAR(39),"")),"")&amp;IF(I1320="Duplicate","_Dub"&amp;IF(SUMPRODUCT(($B$2:B1320=B1320)*($D$2:D1320=D1320)*($E$2:E1320=E1320)*($F$2:F1320=F1320)*($G$2:G1320=G1320)*($I$2:I1320="Duplicate"))&lt;=1,"",SUMPRODUCT(($B$2:B1320=B1320)*($D$2:D1320=D1320)*($E$2:E1320=E1320)*($F$2:F1320=F1320)*($G$2:G1320=G1320)*($I$2:I1320="Duplicate"))-1),"")&amp;".jpeg")</f>
        <v/>
      </c>
      <c r="L1320" s="6"/>
      <c r="M1320" s="5" t="str">
        <f>IFERROR(VLOOKUP(E1320,Specifications!$A$2:$D$9,2,FALSE),"")</f>
        <v/>
      </c>
      <c r="N1320" s="5" t="str">
        <f>IFERROR(VLOOKUP(E1320,Specifications!$A$2:$D$9,3,FALSE),"")</f>
        <v/>
      </c>
      <c r="O1320" s="5" t="str">
        <f>IFERROR(VLOOKUP(E1320,Specifications!$A$2:$D$9,4,FALSE),"")</f>
        <v/>
      </c>
      <c r="P1320" s="8" t="str">
        <f t="shared" si="63"/>
        <v/>
      </c>
      <c r="Q1320" s="9"/>
    </row>
    <row r="1321" spans="1:17" ht="15">
      <c r="A1321" s="5" t="str">
        <f t="shared" si="61"/>
        <v/>
      </c>
      <c r="B1321" s="6"/>
      <c r="C1321" s="5" t="str">
        <f>IFERROR(VLOOKUP(B1321,Lists!$A$2:$B$25,2,FALSE),"")</f>
        <v/>
      </c>
      <c r="D1321" s="7"/>
      <c r="E1321" s="6"/>
      <c r="F1321" s="6" t="str">
        <f t="shared" si="62"/>
        <v/>
      </c>
      <c r="G1321" s="6"/>
      <c r="H1321" s="6"/>
      <c r="I1321" s="6"/>
      <c r="J1321" s="7"/>
      <c r="K1321" s="5" t="str" cm="1">
        <f t="array" ref="K1321">IF(OR(A1321="",B1321="",D1321="",E1321=""),"",A1321&amp;"_"&amp;SUBSTITUTE(B1321," ","-")&amp;"_"&amp;D1321&amp;"_"&amp;SUBSTITUTE(SUBSTITUTE(E1321," ",""),"€","Euro")&amp;"_"&amp;IF(F1321="","Unknown",F1321)&amp;IF(F1321="Commemorative",IF(G1321="","","_"&amp;SUBSTITUTE(SUBSTITUTE(SUBSTITUTE(G1321," ","-"),"/","-"),CHAR(39),"")),"")&amp;IF(I1321="Duplicate","_Dub"&amp;IF(SUMPRODUCT(($B$2:B1321=B1321)*($D$2:D1321=D1321)*($E$2:E1321=E1321)*($F$2:F1321=F1321)*($G$2:G1321=G1321)*($I$2:I1321="Duplicate"))&lt;=1,"",SUMPRODUCT(($B$2:B1321=B1321)*($D$2:D1321=D1321)*($E$2:E1321=E1321)*($F$2:F1321=F1321)*($G$2:G1321=G1321)*($I$2:I1321="Duplicate"))-1),"")&amp;".jpeg")</f>
        <v/>
      </c>
      <c r="L1321" s="6"/>
      <c r="M1321" s="5" t="str">
        <f>IFERROR(VLOOKUP(E1321,Specifications!$A$2:$D$9,2,FALSE),"")</f>
        <v/>
      </c>
      <c r="N1321" s="5" t="str">
        <f>IFERROR(VLOOKUP(E1321,Specifications!$A$2:$D$9,3,FALSE),"")</f>
        <v/>
      </c>
      <c r="O1321" s="5" t="str">
        <f>IFERROR(VLOOKUP(E1321,Specifications!$A$2:$D$9,4,FALSE),"")</f>
        <v/>
      </c>
      <c r="P1321" s="8" t="str">
        <f t="shared" si="63"/>
        <v/>
      </c>
      <c r="Q1321" s="9"/>
    </row>
    <row r="1322" spans="1:17" ht="15">
      <c r="A1322" s="5" t="str">
        <f t="shared" si="61"/>
        <v/>
      </c>
      <c r="B1322" s="6"/>
      <c r="C1322" s="5" t="str">
        <f>IFERROR(VLOOKUP(B1322,Lists!$A$2:$B$25,2,FALSE),"")</f>
        <v/>
      </c>
      <c r="D1322" s="7"/>
      <c r="E1322" s="6"/>
      <c r="F1322" s="6" t="str">
        <f t="shared" si="62"/>
        <v/>
      </c>
      <c r="G1322" s="6"/>
      <c r="H1322" s="6"/>
      <c r="I1322" s="6"/>
      <c r="J1322" s="7"/>
      <c r="K1322" s="5" t="str" cm="1">
        <f t="array" ref="K1322">IF(OR(A1322="",B1322="",D1322="",E1322=""),"",A1322&amp;"_"&amp;SUBSTITUTE(B1322," ","-")&amp;"_"&amp;D1322&amp;"_"&amp;SUBSTITUTE(SUBSTITUTE(E1322," ",""),"€","Euro")&amp;"_"&amp;IF(F1322="","Unknown",F1322)&amp;IF(F1322="Commemorative",IF(G1322="","","_"&amp;SUBSTITUTE(SUBSTITUTE(SUBSTITUTE(G1322," ","-"),"/","-"),CHAR(39),"")),"")&amp;IF(I1322="Duplicate","_Dub"&amp;IF(SUMPRODUCT(($B$2:B1322=B1322)*($D$2:D1322=D1322)*($E$2:E1322=E1322)*($F$2:F1322=F1322)*($G$2:G1322=G1322)*($I$2:I1322="Duplicate"))&lt;=1,"",SUMPRODUCT(($B$2:B1322=B1322)*($D$2:D1322=D1322)*($E$2:E1322=E1322)*($F$2:F1322=F1322)*($G$2:G1322=G1322)*($I$2:I1322="Duplicate"))-1),"")&amp;".jpeg")</f>
        <v/>
      </c>
      <c r="L1322" s="6"/>
      <c r="M1322" s="5" t="str">
        <f>IFERROR(VLOOKUP(E1322,Specifications!$A$2:$D$9,2,FALSE),"")</f>
        <v/>
      </c>
      <c r="N1322" s="5" t="str">
        <f>IFERROR(VLOOKUP(E1322,Specifications!$A$2:$D$9,3,FALSE),"")</f>
        <v/>
      </c>
      <c r="O1322" s="5" t="str">
        <f>IFERROR(VLOOKUP(E1322,Specifications!$A$2:$D$9,4,FALSE),"")</f>
        <v/>
      </c>
      <c r="P1322" s="8" t="str">
        <f t="shared" si="63"/>
        <v/>
      </c>
      <c r="Q1322" s="9"/>
    </row>
    <row r="1323" spans="1:17" ht="15">
      <c r="A1323" s="5" t="str">
        <f t="shared" si="61"/>
        <v/>
      </c>
      <c r="B1323" s="6"/>
      <c r="C1323" s="5" t="str">
        <f>IFERROR(VLOOKUP(B1323,Lists!$A$2:$B$25,2,FALSE),"")</f>
        <v/>
      </c>
      <c r="D1323" s="7"/>
      <c r="E1323" s="6"/>
      <c r="F1323" s="6" t="str">
        <f t="shared" si="62"/>
        <v/>
      </c>
      <c r="G1323" s="6"/>
      <c r="H1323" s="6"/>
      <c r="I1323" s="6"/>
      <c r="J1323" s="7"/>
      <c r="K1323" s="5" t="str" cm="1">
        <f t="array" ref="K1323">IF(OR(A1323="",B1323="",D1323="",E1323=""),"",A1323&amp;"_"&amp;SUBSTITUTE(B1323," ","-")&amp;"_"&amp;D1323&amp;"_"&amp;SUBSTITUTE(SUBSTITUTE(E1323," ",""),"€","Euro")&amp;"_"&amp;IF(F1323="","Unknown",F1323)&amp;IF(F1323="Commemorative",IF(G1323="","","_"&amp;SUBSTITUTE(SUBSTITUTE(SUBSTITUTE(G1323," ","-"),"/","-"),CHAR(39),"")),"")&amp;IF(I1323="Duplicate","_Dub"&amp;IF(SUMPRODUCT(($B$2:B1323=B1323)*($D$2:D1323=D1323)*($E$2:E1323=E1323)*($F$2:F1323=F1323)*($G$2:G1323=G1323)*($I$2:I1323="Duplicate"))&lt;=1,"",SUMPRODUCT(($B$2:B1323=B1323)*($D$2:D1323=D1323)*($E$2:E1323=E1323)*($F$2:F1323=F1323)*($G$2:G1323=G1323)*($I$2:I1323="Duplicate"))-1),"")&amp;".jpeg")</f>
        <v/>
      </c>
      <c r="L1323" s="6"/>
      <c r="M1323" s="5" t="str">
        <f>IFERROR(VLOOKUP(E1323,Specifications!$A$2:$D$9,2,FALSE),"")</f>
        <v/>
      </c>
      <c r="N1323" s="5" t="str">
        <f>IFERROR(VLOOKUP(E1323,Specifications!$A$2:$D$9,3,FALSE),"")</f>
        <v/>
      </c>
      <c r="O1323" s="5" t="str">
        <f>IFERROR(VLOOKUP(E1323,Specifications!$A$2:$D$9,4,FALSE),"")</f>
        <v/>
      </c>
      <c r="P1323" s="8" t="str">
        <f t="shared" si="63"/>
        <v/>
      </c>
      <c r="Q1323" s="9"/>
    </row>
    <row r="1324" spans="1:17" ht="15">
      <c r="A1324" s="5" t="str">
        <f t="shared" si="61"/>
        <v/>
      </c>
      <c r="B1324" s="6"/>
      <c r="C1324" s="5" t="str">
        <f>IFERROR(VLOOKUP(B1324,Lists!$A$2:$B$25,2,FALSE),"")</f>
        <v/>
      </c>
      <c r="D1324" s="7"/>
      <c r="E1324" s="6"/>
      <c r="F1324" s="6" t="str">
        <f t="shared" si="62"/>
        <v/>
      </c>
      <c r="G1324" s="6"/>
      <c r="H1324" s="6"/>
      <c r="I1324" s="6"/>
      <c r="J1324" s="7"/>
      <c r="K1324" s="5" t="str" cm="1">
        <f t="array" ref="K1324">IF(OR(A1324="",B1324="",D1324="",E1324=""),"",A1324&amp;"_"&amp;SUBSTITUTE(B1324," ","-")&amp;"_"&amp;D1324&amp;"_"&amp;SUBSTITUTE(SUBSTITUTE(E1324," ",""),"€","Euro")&amp;"_"&amp;IF(F1324="","Unknown",F1324)&amp;IF(F1324="Commemorative",IF(G1324="","","_"&amp;SUBSTITUTE(SUBSTITUTE(SUBSTITUTE(G1324," ","-"),"/","-"),CHAR(39),"")),"")&amp;IF(I1324="Duplicate","_Dub"&amp;IF(SUMPRODUCT(($B$2:B1324=B1324)*($D$2:D1324=D1324)*($E$2:E1324=E1324)*($F$2:F1324=F1324)*($G$2:G1324=G1324)*($I$2:I1324="Duplicate"))&lt;=1,"",SUMPRODUCT(($B$2:B1324=B1324)*($D$2:D1324=D1324)*($E$2:E1324=E1324)*($F$2:F1324=F1324)*($G$2:G1324=G1324)*($I$2:I1324="Duplicate"))-1),"")&amp;".jpeg")</f>
        <v/>
      </c>
      <c r="L1324" s="6"/>
      <c r="M1324" s="5" t="str">
        <f>IFERROR(VLOOKUP(E1324,Specifications!$A$2:$D$9,2,FALSE),"")</f>
        <v/>
      </c>
      <c r="N1324" s="5" t="str">
        <f>IFERROR(VLOOKUP(E1324,Specifications!$A$2:$D$9,3,FALSE),"")</f>
        <v/>
      </c>
      <c r="O1324" s="5" t="str">
        <f>IFERROR(VLOOKUP(E1324,Specifications!$A$2:$D$9,4,FALSE),"")</f>
        <v/>
      </c>
      <c r="P1324" s="8" t="str">
        <f t="shared" si="63"/>
        <v/>
      </c>
      <c r="Q1324" s="9"/>
    </row>
    <row r="1325" spans="1:17" ht="15">
      <c r="A1325" s="5" t="str">
        <f t="shared" si="61"/>
        <v/>
      </c>
      <c r="B1325" s="6"/>
      <c r="C1325" s="5" t="str">
        <f>IFERROR(VLOOKUP(B1325,Lists!$A$2:$B$25,2,FALSE),"")</f>
        <v/>
      </c>
      <c r="D1325" s="7"/>
      <c r="E1325" s="6"/>
      <c r="F1325" s="6" t="str">
        <f t="shared" si="62"/>
        <v/>
      </c>
      <c r="G1325" s="6"/>
      <c r="H1325" s="6"/>
      <c r="I1325" s="6"/>
      <c r="J1325" s="7"/>
      <c r="K1325" s="5" t="str" cm="1">
        <f t="array" ref="K1325">IF(OR(A1325="",B1325="",D1325="",E1325=""),"",A1325&amp;"_"&amp;SUBSTITUTE(B1325," ","-")&amp;"_"&amp;D1325&amp;"_"&amp;SUBSTITUTE(SUBSTITUTE(E1325," ",""),"€","Euro")&amp;"_"&amp;IF(F1325="","Unknown",F1325)&amp;IF(F1325="Commemorative",IF(G1325="","","_"&amp;SUBSTITUTE(SUBSTITUTE(SUBSTITUTE(G1325," ","-"),"/","-"),CHAR(39),"")),"")&amp;IF(I1325="Duplicate","_Dub"&amp;IF(SUMPRODUCT(($B$2:B1325=B1325)*($D$2:D1325=D1325)*($E$2:E1325=E1325)*($F$2:F1325=F1325)*($G$2:G1325=G1325)*($I$2:I1325="Duplicate"))&lt;=1,"",SUMPRODUCT(($B$2:B1325=B1325)*($D$2:D1325=D1325)*($E$2:E1325=E1325)*($F$2:F1325=F1325)*($G$2:G1325=G1325)*($I$2:I1325="Duplicate"))-1),"")&amp;".jpeg")</f>
        <v/>
      </c>
      <c r="L1325" s="6"/>
      <c r="M1325" s="5" t="str">
        <f>IFERROR(VLOOKUP(E1325,Specifications!$A$2:$D$9,2,FALSE),"")</f>
        <v/>
      </c>
      <c r="N1325" s="5" t="str">
        <f>IFERROR(VLOOKUP(E1325,Specifications!$A$2:$D$9,3,FALSE),"")</f>
        <v/>
      </c>
      <c r="O1325" s="5" t="str">
        <f>IFERROR(VLOOKUP(E1325,Specifications!$A$2:$D$9,4,FALSE),"")</f>
        <v/>
      </c>
      <c r="P1325" s="8" t="str">
        <f t="shared" si="63"/>
        <v/>
      </c>
      <c r="Q1325" s="9"/>
    </row>
    <row r="1326" spans="1:17" ht="15">
      <c r="A1326" s="5" t="str">
        <f t="shared" si="61"/>
        <v/>
      </c>
      <c r="B1326" s="6"/>
      <c r="C1326" s="5" t="str">
        <f>IFERROR(VLOOKUP(B1326,Lists!$A$2:$B$25,2,FALSE),"")</f>
        <v/>
      </c>
      <c r="D1326" s="7"/>
      <c r="E1326" s="6"/>
      <c r="F1326" s="6" t="str">
        <f t="shared" si="62"/>
        <v/>
      </c>
      <c r="G1326" s="6"/>
      <c r="H1326" s="6"/>
      <c r="I1326" s="6"/>
      <c r="J1326" s="7"/>
      <c r="K1326" s="5" t="str" cm="1">
        <f t="array" ref="K1326">IF(OR(A1326="",B1326="",D1326="",E1326=""),"",A1326&amp;"_"&amp;SUBSTITUTE(B1326," ","-")&amp;"_"&amp;D1326&amp;"_"&amp;SUBSTITUTE(SUBSTITUTE(E1326," ",""),"€","Euro")&amp;"_"&amp;IF(F1326="","Unknown",F1326)&amp;IF(F1326="Commemorative",IF(G1326="","","_"&amp;SUBSTITUTE(SUBSTITUTE(SUBSTITUTE(G1326," ","-"),"/","-"),CHAR(39),"")),"")&amp;IF(I1326="Duplicate","_Dub"&amp;IF(SUMPRODUCT(($B$2:B1326=B1326)*($D$2:D1326=D1326)*($E$2:E1326=E1326)*($F$2:F1326=F1326)*($G$2:G1326=G1326)*($I$2:I1326="Duplicate"))&lt;=1,"",SUMPRODUCT(($B$2:B1326=B1326)*($D$2:D1326=D1326)*($E$2:E1326=E1326)*($F$2:F1326=F1326)*($G$2:G1326=G1326)*($I$2:I1326="Duplicate"))-1),"")&amp;".jpeg")</f>
        <v/>
      </c>
      <c r="L1326" s="6"/>
      <c r="M1326" s="5" t="str">
        <f>IFERROR(VLOOKUP(E1326,Specifications!$A$2:$D$9,2,FALSE),"")</f>
        <v/>
      </c>
      <c r="N1326" s="5" t="str">
        <f>IFERROR(VLOOKUP(E1326,Specifications!$A$2:$D$9,3,FALSE),"")</f>
        <v/>
      </c>
      <c r="O1326" s="5" t="str">
        <f>IFERROR(VLOOKUP(E1326,Specifications!$A$2:$D$9,4,FALSE),"")</f>
        <v/>
      </c>
      <c r="P1326" s="8" t="str">
        <f t="shared" si="63"/>
        <v/>
      </c>
      <c r="Q1326" s="9"/>
    </row>
    <row r="1327" spans="1:17" ht="15">
      <c r="A1327" s="5" t="str">
        <f t="shared" si="61"/>
        <v/>
      </c>
      <c r="B1327" s="6"/>
      <c r="C1327" s="5" t="str">
        <f>IFERROR(VLOOKUP(B1327,Lists!$A$2:$B$25,2,FALSE),"")</f>
        <v/>
      </c>
      <c r="D1327" s="7"/>
      <c r="E1327" s="6"/>
      <c r="F1327" s="6" t="str">
        <f t="shared" si="62"/>
        <v/>
      </c>
      <c r="G1327" s="6"/>
      <c r="H1327" s="6"/>
      <c r="I1327" s="6"/>
      <c r="J1327" s="7"/>
      <c r="K1327" s="5" t="str" cm="1">
        <f t="array" ref="K1327">IF(OR(A1327="",B1327="",D1327="",E1327=""),"",A1327&amp;"_"&amp;SUBSTITUTE(B1327," ","-")&amp;"_"&amp;D1327&amp;"_"&amp;SUBSTITUTE(SUBSTITUTE(E1327," ",""),"€","Euro")&amp;"_"&amp;IF(F1327="","Unknown",F1327)&amp;IF(F1327="Commemorative",IF(G1327="","","_"&amp;SUBSTITUTE(SUBSTITUTE(SUBSTITUTE(G1327," ","-"),"/","-"),CHAR(39),"")),"")&amp;IF(I1327="Duplicate","_Dub"&amp;IF(SUMPRODUCT(($B$2:B1327=B1327)*($D$2:D1327=D1327)*($E$2:E1327=E1327)*($F$2:F1327=F1327)*($G$2:G1327=G1327)*($I$2:I1327="Duplicate"))&lt;=1,"",SUMPRODUCT(($B$2:B1327=B1327)*($D$2:D1327=D1327)*($E$2:E1327=E1327)*($F$2:F1327=F1327)*($G$2:G1327=G1327)*($I$2:I1327="Duplicate"))-1),"")&amp;".jpeg")</f>
        <v/>
      </c>
      <c r="L1327" s="6"/>
      <c r="M1327" s="5" t="str">
        <f>IFERROR(VLOOKUP(E1327,Specifications!$A$2:$D$9,2,FALSE),"")</f>
        <v/>
      </c>
      <c r="N1327" s="5" t="str">
        <f>IFERROR(VLOOKUP(E1327,Specifications!$A$2:$D$9,3,FALSE),"")</f>
        <v/>
      </c>
      <c r="O1327" s="5" t="str">
        <f>IFERROR(VLOOKUP(E1327,Specifications!$A$2:$D$9,4,FALSE),"")</f>
        <v/>
      </c>
      <c r="P1327" s="8" t="str">
        <f t="shared" si="63"/>
        <v/>
      </c>
      <c r="Q1327" s="9"/>
    </row>
    <row r="1328" spans="1:17" ht="15">
      <c r="A1328" s="5" t="str">
        <f t="shared" si="61"/>
        <v/>
      </c>
      <c r="B1328" s="6"/>
      <c r="C1328" s="5" t="str">
        <f>IFERROR(VLOOKUP(B1328,Lists!$A$2:$B$25,2,FALSE),"")</f>
        <v/>
      </c>
      <c r="D1328" s="7"/>
      <c r="E1328" s="6"/>
      <c r="F1328" s="6" t="str">
        <f t="shared" si="62"/>
        <v/>
      </c>
      <c r="G1328" s="6"/>
      <c r="H1328" s="6"/>
      <c r="I1328" s="6"/>
      <c r="J1328" s="7"/>
      <c r="K1328" s="5" t="str" cm="1">
        <f t="array" ref="K1328">IF(OR(A1328="",B1328="",D1328="",E1328=""),"",A1328&amp;"_"&amp;SUBSTITUTE(B1328," ","-")&amp;"_"&amp;D1328&amp;"_"&amp;SUBSTITUTE(SUBSTITUTE(E1328," ",""),"€","Euro")&amp;"_"&amp;IF(F1328="","Unknown",F1328)&amp;IF(F1328="Commemorative",IF(G1328="","","_"&amp;SUBSTITUTE(SUBSTITUTE(SUBSTITUTE(G1328," ","-"),"/","-"),CHAR(39),"")),"")&amp;IF(I1328="Duplicate","_Dub"&amp;IF(SUMPRODUCT(($B$2:B1328=B1328)*($D$2:D1328=D1328)*($E$2:E1328=E1328)*($F$2:F1328=F1328)*($G$2:G1328=G1328)*($I$2:I1328="Duplicate"))&lt;=1,"",SUMPRODUCT(($B$2:B1328=B1328)*($D$2:D1328=D1328)*($E$2:E1328=E1328)*($F$2:F1328=F1328)*($G$2:G1328=G1328)*($I$2:I1328="Duplicate"))-1),"")&amp;".jpeg")</f>
        <v/>
      </c>
      <c r="L1328" s="6"/>
      <c r="M1328" s="5" t="str">
        <f>IFERROR(VLOOKUP(E1328,Specifications!$A$2:$D$9,2,FALSE),"")</f>
        <v/>
      </c>
      <c r="N1328" s="5" t="str">
        <f>IFERROR(VLOOKUP(E1328,Specifications!$A$2:$D$9,3,FALSE),"")</f>
        <v/>
      </c>
      <c r="O1328" s="5" t="str">
        <f>IFERROR(VLOOKUP(E1328,Specifications!$A$2:$D$9,4,FALSE),"")</f>
        <v/>
      </c>
      <c r="P1328" s="8" t="str">
        <f t="shared" si="63"/>
        <v/>
      </c>
      <c r="Q1328" s="9"/>
    </row>
    <row r="1329" spans="1:17" ht="15">
      <c r="A1329" s="5" t="str">
        <f t="shared" si="61"/>
        <v/>
      </c>
      <c r="B1329" s="6"/>
      <c r="C1329" s="5" t="str">
        <f>IFERROR(VLOOKUP(B1329,Lists!$A$2:$B$25,2,FALSE),"")</f>
        <v/>
      </c>
      <c r="D1329" s="7"/>
      <c r="E1329" s="6"/>
      <c r="F1329" s="6" t="str">
        <f t="shared" si="62"/>
        <v/>
      </c>
      <c r="G1329" s="6"/>
      <c r="H1329" s="6"/>
      <c r="I1329" s="6"/>
      <c r="J1329" s="7"/>
      <c r="K1329" s="5" t="str" cm="1">
        <f t="array" ref="K1329">IF(OR(A1329="",B1329="",D1329="",E1329=""),"",A1329&amp;"_"&amp;SUBSTITUTE(B1329," ","-")&amp;"_"&amp;D1329&amp;"_"&amp;SUBSTITUTE(SUBSTITUTE(E1329," ",""),"€","Euro")&amp;"_"&amp;IF(F1329="","Unknown",F1329)&amp;IF(F1329="Commemorative",IF(G1329="","","_"&amp;SUBSTITUTE(SUBSTITUTE(SUBSTITUTE(G1329," ","-"),"/","-"),CHAR(39),"")),"")&amp;IF(I1329="Duplicate","_Dub"&amp;IF(SUMPRODUCT(($B$2:B1329=B1329)*($D$2:D1329=D1329)*($E$2:E1329=E1329)*($F$2:F1329=F1329)*($G$2:G1329=G1329)*($I$2:I1329="Duplicate"))&lt;=1,"",SUMPRODUCT(($B$2:B1329=B1329)*($D$2:D1329=D1329)*($E$2:E1329=E1329)*($F$2:F1329=F1329)*($G$2:G1329=G1329)*($I$2:I1329="Duplicate"))-1),"")&amp;".jpeg")</f>
        <v/>
      </c>
      <c r="L1329" s="6"/>
      <c r="M1329" s="5" t="str">
        <f>IFERROR(VLOOKUP(E1329,Specifications!$A$2:$D$9,2,FALSE),"")</f>
        <v/>
      </c>
      <c r="N1329" s="5" t="str">
        <f>IFERROR(VLOOKUP(E1329,Specifications!$A$2:$D$9,3,FALSE),"")</f>
        <v/>
      </c>
      <c r="O1329" s="5" t="str">
        <f>IFERROR(VLOOKUP(E1329,Specifications!$A$2:$D$9,4,FALSE),"")</f>
        <v/>
      </c>
      <c r="P1329" s="8" t="str">
        <f t="shared" si="63"/>
        <v/>
      </c>
      <c r="Q1329" s="9"/>
    </row>
    <row r="1330" spans="1:17" ht="15">
      <c r="A1330" s="5" t="str">
        <f t="shared" si="61"/>
        <v/>
      </c>
      <c r="B1330" s="6"/>
      <c r="C1330" s="5" t="str">
        <f>IFERROR(VLOOKUP(B1330,Lists!$A$2:$B$25,2,FALSE),"")</f>
        <v/>
      </c>
      <c r="D1330" s="7"/>
      <c r="E1330" s="6"/>
      <c r="F1330" s="6" t="str">
        <f t="shared" si="62"/>
        <v/>
      </c>
      <c r="G1330" s="6"/>
      <c r="H1330" s="6"/>
      <c r="I1330" s="6"/>
      <c r="J1330" s="7"/>
      <c r="K1330" s="5" t="str" cm="1">
        <f t="array" ref="K1330">IF(OR(A1330="",B1330="",D1330="",E1330=""),"",A1330&amp;"_"&amp;SUBSTITUTE(B1330," ","-")&amp;"_"&amp;D1330&amp;"_"&amp;SUBSTITUTE(SUBSTITUTE(E1330," ",""),"€","Euro")&amp;"_"&amp;IF(F1330="","Unknown",F1330)&amp;IF(F1330="Commemorative",IF(G1330="","","_"&amp;SUBSTITUTE(SUBSTITUTE(SUBSTITUTE(G1330," ","-"),"/","-"),CHAR(39),"")),"")&amp;IF(I1330="Duplicate","_Dub"&amp;IF(SUMPRODUCT(($B$2:B1330=B1330)*($D$2:D1330=D1330)*($E$2:E1330=E1330)*($F$2:F1330=F1330)*($G$2:G1330=G1330)*($I$2:I1330="Duplicate"))&lt;=1,"",SUMPRODUCT(($B$2:B1330=B1330)*($D$2:D1330=D1330)*($E$2:E1330=E1330)*($F$2:F1330=F1330)*($G$2:G1330=G1330)*($I$2:I1330="Duplicate"))-1),"")&amp;".jpeg")</f>
        <v/>
      </c>
      <c r="L1330" s="6"/>
      <c r="M1330" s="5" t="str">
        <f>IFERROR(VLOOKUP(E1330,Specifications!$A$2:$D$9,2,FALSE),"")</f>
        <v/>
      </c>
      <c r="N1330" s="5" t="str">
        <f>IFERROR(VLOOKUP(E1330,Specifications!$A$2:$D$9,3,FALSE),"")</f>
        <v/>
      </c>
      <c r="O1330" s="5" t="str">
        <f>IFERROR(VLOOKUP(E1330,Specifications!$A$2:$D$9,4,FALSE),"")</f>
        <v/>
      </c>
      <c r="P1330" s="8" t="str">
        <f t="shared" si="63"/>
        <v/>
      </c>
      <c r="Q1330" s="9"/>
    </row>
    <row r="1331" spans="1:17" ht="15">
      <c r="A1331" s="5" t="str">
        <f t="shared" si="61"/>
        <v/>
      </c>
      <c r="B1331" s="6"/>
      <c r="C1331" s="5" t="str">
        <f>IFERROR(VLOOKUP(B1331,Lists!$A$2:$B$25,2,FALSE),"")</f>
        <v/>
      </c>
      <c r="D1331" s="7"/>
      <c r="E1331" s="6"/>
      <c r="F1331" s="6" t="str">
        <f t="shared" si="62"/>
        <v/>
      </c>
      <c r="G1331" s="6"/>
      <c r="H1331" s="6"/>
      <c r="I1331" s="6"/>
      <c r="J1331" s="7"/>
      <c r="K1331" s="5" t="str" cm="1">
        <f t="array" ref="K1331">IF(OR(A1331="",B1331="",D1331="",E1331=""),"",A1331&amp;"_"&amp;SUBSTITUTE(B1331," ","-")&amp;"_"&amp;D1331&amp;"_"&amp;SUBSTITUTE(SUBSTITUTE(E1331," ",""),"€","Euro")&amp;"_"&amp;IF(F1331="","Unknown",F1331)&amp;IF(F1331="Commemorative",IF(G1331="","","_"&amp;SUBSTITUTE(SUBSTITUTE(SUBSTITUTE(G1331," ","-"),"/","-"),CHAR(39),"")),"")&amp;IF(I1331="Duplicate","_Dub"&amp;IF(SUMPRODUCT(($B$2:B1331=B1331)*($D$2:D1331=D1331)*($E$2:E1331=E1331)*($F$2:F1331=F1331)*($G$2:G1331=G1331)*($I$2:I1331="Duplicate"))&lt;=1,"",SUMPRODUCT(($B$2:B1331=B1331)*($D$2:D1331=D1331)*($E$2:E1331=E1331)*($F$2:F1331=F1331)*($G$2:G1331=G1331)*($I$2:I1331="Duplicate"))-1),"")&amp;".jpeg")</f>
        <v/>
      </c>
      <c r="L1331" s="6"/>
      <c r="M1331" s="5" t="str">
        <f>IFERROR(VLOOKUP(E1331,Specifications!$A$2:$D$9,2,FALSE),"")</f>
        <v/>
      </c>
      <c r="N1331" s="5" t="str">
        <f>IFERROR(VLOOKUP(E1331,Specifications!$A$2:$D$9,3,FALSE),"")</f>
        <v/>
      </c>
      <c r="O1331" s="5" t="str">
        <f>IFERROR(VLOOKUP(E1331,Specifications!$A$2:$D$9,4,FALSE),"")</f>
        <v/>
      </c>
      <c r="P1331" s="8" t="str">
        <f t="shared" si="63"/>
        <v/>
      </c>
      <c r="Q1331" s="9"/>
    </row>
    <row r="1332" spans="1:17" ht="15">
      <c r="A1332" s="5" t="str">
        <f t="shared" si="61"/>
        <v/>
      </c>
      <c r="B1332" s="6"/>
      <c r="C1332" s="5" t="str">
        <f>IFERROR(VLOOKUP(B1332,Lists!$A$2:$B$25,2,FALSE),"")</f>
        <v/>
      </c>
      <c r="D1332" s="7"/>
      <c r="E1332" s="6"/>
      <c r="F1332" s="6" t="str">
        <f t="shared" si="62"/>
        <v/>
      </c>
      <c r="G1332" s="6"/>
      <c r="H1332" s="6"/>
      <c r="I1332" s="6"/>
      <c r="J1332" s="7"/>
      <c r="K1332" s="5" t="str" cm="1">
        <f t="array" ref="K1332">IF(OR(A1332="",B1332="",D1332="",E1332=""),"",A1332&amp;"_"&amp;SUBSTITUTE(B1332," ","-")&amp;"_"&amp;D1332&amp;"_"&amp;SUBSTITUTE(SUBSTITUTE(E1332," ",""),"€","Euro")&amp;"_"&amp;IF(F1332="","Unknown",F1332)&amp;IF(F1332="Commemorative",IF(G1332="","","_"&amp;SUBSTITUTE(SUBSTITUTE(SUBSTITUTE(G1332," ","-"),"/","-"),CHAR(39),"")),"")&amp;IF(I1332="Duplicate","_Dub"&amp;IF(SUMPRODUCT(($B$2:B1332=B1332)*($D$2:D1332=D1332)*($E$2:E1332=E1332)*($F$2:F1332=F1332)*($G$2:G1332=G1332)*($I$2:I1332="Duplicate"))&lt;=1,"",SUMPRODUCT(($B$2:B1332=B1332)*($D$2:D1332=D1332)*($E$2:E1332=E1332)*($F$2:F1332=F1332)*($G$2:G1332=G1332)*($I$2:I1332="Duplicate"))-1),"")&amp;".jpeg")</f>
        <v/>
      </c>
      <c r="L1332" s="6"/>
      <c r="M1332" s="5" t="str">
        <f>IFERROR(VLOOKUP(E1332,Specifications!$A$2:$D$9,2,FALSE),"")</f>
        <v/>
      </c>
      <c r="N1332" s="5" t="str">
        <f>IFERROR(VLOOKUP(E1332,Specifications!$A$2:$D$9,3,FALSE),"")</f>
        <v/>
      </c>
      <c r="O1332" s="5" t="str">
        <f>IFERROR(VLOOKUP(E1332,Specifications!$A$2:$D$9,4,FALSE),"")</f>
        <v/>
      </c>
      <c r="P1332" s="8" t="str">
        <f t="shared" si="63"/>
        <v/>
      </c>
      <c r="Q1332" s="9"/>
    </row>
    <row r="1333" spans="1:17" ht="15">
      <c r="A1333" s="5" t="str">
        <f t="shared" si="61"/>
        <v/>
      </c>
      <c r="B1333" s="6"/>
      <c r="C1333" s="5" t="str">
        <f>IFERROR(VLOOKUP(B1333,Lists!$A$2:$B$25,2,FALSE),"")</f>
        <v/>
      </c>
      <c r="D1333" s="7"/>
      <c r="E1333" s="6"/>
      <c r="F1333" s="6" t="str">
        <f t="shared" si="62"/>
        <v/>
      </c>
      <c r="G1333" s="6"/>
      <c r="H1333" s="6"/>
      <c r="I1333" s="6"/>
      <c r="J1333" s="7"/>
      <c r="K1333" s="5" t="str" cm="1">
        <f t="array" ref="K1333">IF(OR(A1333="",B1333="",D1333="",E1333=""),"",A1333&amp;"_"&amp;SUBSTITUTE(B1333," ","-")&amp;"_"&amp;D1333&amp;"_"&amp;SUBSTITUTE(SUBSTITUTE(E1333," ",""),"€","Euro")&amp;"_"&amp;IF(F1333="","Unknown",F1333)&amp;IF(F1333="Commemorative",IF(G1333="","","_"&amp;SUBSTITUTE(SUBSTITUTE(SUBSTITUTE(G1333," ","-"),"/","-"),CHAR(39),"")),"")&amp;IF(I1333="Duplicate","_Dub"&amp;IF(SUMPRODUCT(($B$2:B1333=B1333)*($D$2:D1333=D1333)*($E$2:E1333=E1333)*($F$2:F1333=F1333)*($G$2:G1333=G1333)*($I$2:I1333="Duplicate"))&lt;=1,"",SUMPRODUCT(($B$2:B1333=B1333)*($D$2:D1333=D1333)*($E$2:E1333=E1333)*($F$2:F1333=F1333)*($G$2:G1333=G1333)*($I$2:I1333="Duplicate"))-1),"")&amp;".jpeg")</f>
        <v/>
      </c>
      <c r="L1333" s="6"/>
      <c r="M1333" s="5" t="str">
        <f>IFERROR(VLOOKUP(E1333,Specifications!$A$2:$D$9,2,FALSE),"")</f>
        <v/>
      </c>
      <c r="N1333" s="5" t="str">
        <f>IFERROR(VLOOKUP(E1333,Specifications!$A$2:$D$9,3,FALSE),"")</f>
        <v/>
      </c>
      <c r="O1333" s="5" t="str">
        <f>IFERROR(VLOOKUP(E1333,Specifications!$A$2:$D$9,4,FALSE),"")</f>
        <v/>
      </c>
      <c r="P1333" s="8" t="str">
        <f t="shared" si="63"/>
        <v/>
      </c>
      <c r="Q1333" s="9"/>
    </row>
    <row r="1334" spans="1:17" ht="15">
      <c r="A1334" s="5" t="str">
        <f t="shared" si="61"/>
        <v/>
      </c>
      <c r="B1334" s="6"/>
      <c r="C1334" s="5" t="str">
        <f>IFERROR(VLOOKUP(B1334,Lists!$A$2:$B$25,2,FALSE),"")</f>
        <v/>
      </c>
      <c r="D1334" s="7"/>
      <c r="E1334" s="6"/>
      <c r="F1334" s="6" t="str">
        <f t="shared" si="62"/>
        <v/>
      </c>
      <c r="G1334" s="6"/>
      <c r="H1334" s="6"/>
      <c r="I1334" s="6"/>
      <c r="J1334" s="7"/>
      <c r="K1334" s="5" t="str" cm="1">
        <f t="array" ref="K1334">IF(OR(A1334="",B1334="",D1334="",E1334=""),"",A1334&amp;"_"&amp;SUBSTITUTE(B1334," ","-")&amp;"_"&amp;D1334&amp;"_"&amp;SUBSTITUTE(SUBSTITUTE(E1334," ",""),"€","Euro")&amp;"_"&amp;IF(F1334="","Unknown",F1334)&amp;IF(F1334="Commemorative",IF(G1334="","","_"&amp;SUBSTITUTE(SUBSTITUTE(SUBSTITUTE(G1334," ","-"),"/","-"),CHAR(39),"")),"")&amp;IF(I1334="Duplicate","_Dub"&amp;IF(SUMPRODUCT(($B$2:B1334=B1334)*($D$2:D1334=D1334)*($E$2:E1334=E1334)*($F$2:F1334=F1334)*($G$2:G1334=G1334)*($I$2:I1334="Duplicate"))&lt;=1,"",SUMPRODUCT(($B$2:B1334=B1334)*($D$2:D1334=D1334)*($E$2:E1334=E1334)*($F$2:F1334=F1334)*($G$2:G1334=G1334)*($I$2:I1334="Duplicate"))-1),"")&amp;".jpeg")</f>
        <v/>
      </c>
      <c r="L1334" s="6"/>
      <c r="M1334" s="5" t="str">
        <f>IFERROR(VLOOKUP(E1334,Specifications!$A$2:$D$9,2,FALSE),"")</f>
        <v/>
      </c>
      <c r="N1334" s="5" t="str">
        <f>IFERROR(VLOOKUP(E1334,Specifications!$A$2:$D$9,3,FALSE),"")</f>
        <v/>
      </c>
      <c r="O1334" s="5" t="str">
        <f>IFERROR(VLOOKUP(E1334,Specifications!$A$2:$D$9,4,FALSE),"")</f>
        <v/>
      </c>
      <c r="P1334" s="8" t="str">
        <f t="shared" si="63"/>
        <v/>
      </c>
      <c r="Q1334" s="9"/>
    </row>
    <row r="1335" spans="1:17" ht="15">
      <c r="A1335" s="5" t="str">
        <f t="shared" si="61"/>
        <v/>
      </c>
      <c r="B1335" s="6"/>
      <c r="C1335" s="5" t="str">
        <f>IFERROR(VLOOKUP(B1335,Lists!$A$2:$B$25,2,FALSE),"")</f>
        <v/>
      </c>
      <c r="D1335" s="7"/>
      <c r="E1335" s="6"/>
      <c r="F1335" s="6" t="str">
        <f t="shared" si="62"/>
        <v/>
      </c>
      <c r="G1335" s="6"/>
      <c r="H1335" s="6"/>
      <c r="I1335" s="6"/>
      <c r="J1335" s="7"/>
      <c r="K1335" s="5" t="str" cm="1">
        <f t="array" ref="K1335">IF(OR(A1335="",B1335="",D1335="",E1335=""),"",A1335&amp;"_"&amp;SUBSTITUTE(B1335," ","-")&amp;"_"&amp;D1335&amp;"_"&amp;SUBSTITUTE(SUBSTITUTE(E1335," ",""),"€","Euro")&amp;"_"&amp;IF(F1335="","Unknown",F1335)&amp;IF(F1335="Commemorative",IF(G1335="","","_"&amp;SUBSTITUTE(SUBSTITUTE(SUBSTITUTE(G1335," ","-"),"/","-"),CHAR(39),"")),"")&amp;IF(I1335="Duplicate","_Dub"&amp;IF(SUMPRODUCT(($B$2:B1335=B1335)*($D$2:D1335=D1335)*($E$2:E1335=E1335)*($F$2:F1335=F1335)*($G$2:G1335=G1335)*($I$2:I1335="Duplicate"))&lt;=1,"",SUMPRODUCT(($B$2:B1335=B1335)*($D$2:D1335=D1335)*($E$2:E1335=E1335)*($F$2:F1335=F1335)*($G$2:G1335=G1335)*($I$2:I1335="Duplicate"))-1),"")&amp;".jpeg")</f>
        <v/>
      </c>
      <c r="L1335" s="6"/>
      <c r="M1335" s="5" t="str">
        <f>IFERROR(VLOOKUP(E1335,Specifications!$A$2:$D$9,2,FALSE),"")</f>
        <v/>
      </c>
      <c r="N1335" s="5" t="str">
        <f>IFERROR(VLOOKUP(E1335,Specifications!$A$2:$D$9,3,FALSE),"")</f>
        <v/>
      </c>
      <c r="O1335" s="5" t="str">
        <f>IFERROR(VLOOKUP(E1335,Specifications!$A$2:$D$9,4,FALSE),"")</f>
        <v/>
      </c>
      <c r="P1335" s="8" t="str">
        <f t="shared" si="63"/>
        <v/>
      </c>
      <c r="Q1335" s="9"/>
    </row>
    <row r="1336" spans="1:17" ht="15">
      <c r="A1336" s="5" t="str">
        <f t="shared" si="61"/>
        <v/>
      </c>
      <c r="B1336" s="6"/>
      <c r="C1336" s="5" t="str">
        <f>IFERROR(VLOOKUP(B1336,Lists!$A$2:$B$25,2,FALSE),"")</f>
        <v/>
      </c>
      <c r="D1336" s="7"/>
      <c r="E1336" s="6"/>
      <c r="F1336" s="6" t="str">
        <f t="shared" si="62"/>
        <v/>
      </c>
      <c r="G1336" s="6"/>
      <c r="H1336" s="6"/>
      <c r="I1336" s="6"/>
      <c r="J1336" s="7"/>
      <c r="K1336" s="5" t="str" cm="1">
        <f t="array" ref="K1336">IF(OR(A1336="",B1336="",D1336="",E1336=""),"",A1336&amp;"_"&amp;SUBSTITUTE(B1336," ","-")&amp;"_"&amp;D1336&amp;"_"&amp;SUBSTITUTE(SUBSTITUTE(E1336," ",""),"€","Euro")&amp;"_"&amp;IF(F1336="","Unknown",F1336)&amp;IF(F1336="Commemorative",IF(G1336="","","_"&amp;SUBSTITUTE(SUBSTITUTE(SUBSTITUTE(G1336," ","-"),"/","-"),CHAR(39),"")),"")&amp;IF(I1336="Duplicate","_Dub"&amp;IF(SUMPRODUCT(($B$2:B1336=B1336)*($D$2:D1336=D1336)*($E$2:E1336=E1336)*($F$2:F1336=F1336)*($G$2:G1336=G1336)*($I$2:I1336="Duplicate"))&lt;=1,"",SUMPRODUCT(($B$2:B1336=B1336)*($D$2:D1336=D1336)*($E$2:E1336=E1336)*($F$2:F1336=F1336)*($G$2:G1336=G1336)*($I$2:I1336="Duplicate"))-1),"")&amp;".jpeg")</f>
        <v/>
      </c>
      <c r="L1336" s="6"/>
      <c r="M1336" s="5" t="str">
        <f>IFERROR(VLOOKUP(E1336,Specifications!$A$2:$D$9,2,FALSE),"")</f>
        <v/>
      </c>
      <c r="N1336" s="5" t="str">
        <f>IFERROR(VLOOKUP(E1336,Specifications!$A$2:$D$9,3,FALSE),"")</f>
        <v/>
      </c>
      <c r="O1336" s="5" t="str">
        <f>IFERROR(VLOOKUP(E1336,Specifications!$A$2:$D$9,4,FALSE),"")</f>
        <v/>
      </c>
      <c r="P1336" s="8" t="str">
        <f t="shared" si="63"/>
        <v/>
      </c>
      <c r="Q1336" s="9"/>
    </row>
    <row r="1337" spans="1:17" ht="15">
      <c r="A1337" s="5" t="str">
        <f t="shared" si="61"/>
        <v/>
      </c>
      <c r="B1337" s="6"/>
      <c r="C1337" s="5" t="str">
        <f>IFERROR(VLOOKUP(B1337,Lists!$A$2:$B$25,2,FALSE),"")</f>
        <v/>
      </c>
      <c r="D1337" s="7"/>
      <c r="E1337" s="6"/>
      <c r="F1337" s="6" t="str">
        <f t="shared" si="62"/>
        <v/>
      </c>
      <c r="G1337" s="6"/>
      <c r="H1337" s="6"/>
      <c r="I1337" s="6"/>
      <c r="J1337" s="7"/>
      <c r="K1337" s="5" t="str" cm="1">
        <f t="array" ref="K1337">IF(OR(A1337="",B1337="",D1337="",E1337=""),"",A1337&amp;"_"&amp;SUBSTITUTE(B1337," ","-")&amp;"_"&amp;D1337&amp;"_"&amp;SUBSTITUTE(SUBSTITUTE(E1337," ",""),"€","Euro")&amp;"_"&amp;IF(F1337="","Unknown",F1337)&amp;IF(F1337="Commemorative",IF(G1337="","","_"&amp;SUBSTITUTE(SUBSTITUTE(SUBSTITUTE(G1337," ","-"),"/","-"),CHAR(39),"")),"")&amp;IF(I1337="Duplicate","_Dub"&amp;IF(SUMPRODUCT(($B$2:B1337=B1337)*($D$2:D1337=D1337)*($E$2:E1337=E1337)*($F$2:F1337=F1337)*($G$2:G1337=G1337)*($I$2:I1337="Duplicate"))&lt;=1,"",SUMPRODUCT(($B$2:B1337=B1337)*($D$2:D1337=D1337)*($E$2:E1337=E1337)*($F$2:F1337=F1337)*($G$2:G1337=G1337)*($I$2:I1337="Duplicate"))-1),"")&amp;".jpeg")</f>
        <v/>
      </c>
      <c r="L1337" s="6"/>
      <c r="M1337" s="5" t="str">
        <f>IFERROR(VLOOKUP(E1337,Specifications!$A$2:$D$9,2,FALSE),"")</f>
        <v/>
      </c>
      <c r="N1337" s="5" t="str">
        <f>IFERROR(VLOOKUP(E1337,Specifications!$A$2:$D$9,3,FALSE),"")</f>
        <v/>
      </c>
      <c r="O1337" s="5" t="str">
        <f>IFERROR(VLOOKUP(E1337,Specifications!$A$2:$D$9,4,FALSE),"")</f>
        <v/>
      </c>
      <c r="P1337" s="8" t="str">
        <f t="shared" si="63"/>
        <v/>
      </c>
      <c r="Q1337" s="9"/>
    </row>
    <row r="1338" spans="1:17" ht="15">
      <c r="A1338" s="5" t="str">
        <f t="shared" si="61"/>
        <v/>
      </c>
      <c r="B1338" s="6"/>
      <c r="C1338" s="5" t="str">
        <f>IFERROR(VLOOKUP(B1338,Lists!$A$2:$B$25,2,FALSE),"")</f>
        <v/>
      </c>
      <c r="D1338" s="7"/>
      <c r="E1338" s="6"/>
      <c r="F1338" s="6" t="str">
        <f t="shared" si="62"/>
        <v/>
      </c>
      <c r="G1338" s="6"/>
      <c r="H1338" s="6"/>
      <c r="I1338" s="6"/>
      <c r="J1338" s="7"/>
      <c r="K1338" s="5" t="str" cm="1">
        <f t="array" ref="K1338">IF(OR(A1338="",B1338="",D1338="",E1338=""),"",A1338&amp;"_"&amp;SUBSTITUTE(B1338," ","-")&amp;"_"&amp;D1338&amp;"_"&amp;SUBSTITUTE(SUBSTITUTE(E1338," ",""),"€","Euro")&amp;"_"&amp;IF(F1338="","Unknown",F1338)&amp;IF(F1338="Commemorative",IF(G1338="","","_"&amp;SUBSTITUTE(SUBSTITUTE(SUBSTITUTE(G1338," ","-"),"/","-"),CHAR(39),"")),"")&amp;IF(I1338="Duplicate","_Dub"&amp;IF(SUMPRODUCT(($B$2:B1338=B1338)*($D$2:D1338=D1338)*($E$2:E1338=E1338)*($F$2:F1338=F1338)*($G$2:G1338=G1338)*($I$2:I1338="Duplicate"))&lt;=1,"",SUMPRODUCT(($B$2:B1338=B1338)*($D$2:D1338=D1338)*($E$2:E1338=E1338)*($F$2:F1338=F1338)*($G$2:G1338=G1338)*($I$2:I1338="Duplicate"))-1),"")&amp;".jpeg")</f>
        <v/>
      </c>
      <c r="L1338" s="6"/>
      <c r="M1338" s="5" t="str">
        <f>IFERROR(VLOOKUP(E1338,Specifications!$A$2:$D$9,2,FALSE),"")</f>
        <v/>
      </c>
      <c r="N1338" s="5" t="str">
        <f>IFERROR(VLOOKUP(E1338,Specifications!$A$2:$D$9,3,FALSE),"")</f>
        <v/>
      </c>
      <c r="O1338" s="5" t="str">
        <f>IFERROR(VLOOKUP(E1338,Specifications!$A$2:$D$9,4,FALSE),"")</f>
        <v/>
      </c>
      <c r="P1338" s="8" t="str">
        <f t="shared" si="63"/>
        <v/>
      </c>
      <c r="Q1338" s="9"/>
    </row>
    <row r="1339" spans="1:17" ht="15">
      <c r="A1339" s="5" t="str">
        <f t="shared" si="61"/>
        <v/>
      </c>
      <c r="B1339" s="6"/>
      <c r="C1339" s="5" t="str">
        <f>IFERROR(VLOOKUP(B1339,Lists!$A$2:$B$25,2,FALSE),"")</f>
        <v/>
      </c>
      <c r="D1339" s="7"/>
      <c r="E1339" s="6"/>
      <c r="F1339" s="6" t="str">
        <f t="shared" si="62"/>
        <v/>
      </c>
      <c r="G1339" s="6"/>
      <c r="H1339" s="6"/>
      <c r="I1339" s="6"/>
      <c r="J1339" s="7"/>
      <c r="K1339" s="5" t="str" cm="1">
        <f t="array" ref="K1339">IF(OR(A1339="",B1339="",D1339="",E1339=""),"",A1339&amp;"_"&amp;SUBSTITUTE(B1339," ","-")&amp;"_"&amp;D1339&amp;"_"&amp;SUBSTITUTE(SUBSTITUTE(E1339," ",""),"€","Euro")&amp;"_"&amp;IF(F1339="","Unknown",F1339)&amp;IF(F1339="Commemorative",IF(G1339="","","_"&amp;SUBSTITUTE(SUBSTITUTE(SUBSTITUTE(G1339," ","-"),"/","-"),CHAR(39),"")),"")&amp;IF(I1339="Duplicate","_Dub"&amp;IF(SUMPRODUCT(($B$2:B1339=B1339)*($D$2:D1339=D1339)*($E$2:E1339=E1339)*($F$2:F1339=F1339)*($G$2:G1339=G1339)*($I$2:I1339="Duplicate"))&lt;=1,"",SUMPRODUCT(($B$2:B1339=B1339)*($D$2:D1339=D1339)*($E$2:E1339=E1339)*($F$2:F1339=F1339)*($G$2:G1339=G1339)*($I$2:I1339="Duplicate"))-1),"")&amp;".jpeg")</f>
        <v/>
      </c>
      <c r="L1339" s="6"/>
      <c r="M1339" s="5" t="str">
        <f>IFERROR(VLOOKUP(E1339,Specifications!$A$2:$D$9,2,FALSE),"")</f>
        <v/>
      </c>
      <c r="N1339" s="5" t="str">
        <f>IFERROR(VLOOKUP(E1339,Specifications!$A$2:$D$9,3,FALSE),"")</f>
        <v/>
      </c>
      <c r="O1339" s="5" t="str">
        <f>IFERROR(VLOOKUP(E1339,Specifications!$A$2:$D$9,4,FALSE),"")</f>
        <v/>
      </c>
      <c r="P1339" s="8" t="str">
        <f t="shared" si="63"/>
        <v/>
      </c>
      <c r="Q1339" s="9"/>
    </row>
    <row r="1340" spans="1:17" ht="15">
      <c r="A1340" s="5" t="str">
        <f t="shared" si="61"/>
        <v/>
      </c>
      <c r="B1340" s="6"/>
      <c r="C1340" s="5" t="str">
        <f>IFERROR(VLOOKUP(B1340,Lists!$A$2:$B$25,2,FALSE),"")</f>
        <v/>
      </c>
      <c r="D1340" s="7"/>
      <c r="E1340" s="6"/>
      <c r="F1340" s="6" t="str">
        <f t="shared" si="62"/>
        <v/>
      </c>
      <c r="G1340" s="6"/>
      <c r="H1340" s="6"/>
      <c r="I1340" s="6"/>
      <c r="J1340" s="7"/>
      <c r="K1340" s="5" t="str" cm="1">
        <f t="array" ref="K1340">IF(OR(A1340="",B1340="",D1340="",E1340=""),"",A1340&amp;"_"&amp;SUBSTITUTE(B1340," ","-")&amp;"_"&amp;D1340&amp;"_"&amp;SUBSTITUTE(SUBSTITUTE(E1340," ",""),"€","Euro")&amp;"_"&amp;IF(F1340="","Unknown",F1340)&amp;IF(F1340="Commemorative",IF(G1340="","","_"&amp;SUBSTITUTE(SUBSTITUTE(SUBSTITUTE(G1340," ","-"),"/","-"),CHAR(39),"")),"")&amp;IF(I1340="Duplicate","_Dub"&amp;IF(SUMPRODUCT(($B$2:B1340=B1340)*($D$2:D1340=D1340)*($E$2:E1340=E1340)*($F$2:F1340=F1340)*($G$2:G1340=G1340)*($I$2:I1340="Duplicate"))&lt;=1,"",SUMPRODUCT(($B$2:B1340=B1340)*($D$2:D1340=D1340)*($E$2:E1340=E1340)*($F$2:F1340=F1340)*($G$2:G1340=G1340)*($I$2:I1340="Duplicate"))-1),"")&amp;".jpeg")</f>
        <v/>
      </c>
      <c r="L1340" s="6"/>
      <c r="M1340" s="5" t="str">
        <f>IFERROR(VLOOKUP(E1340,Specifications!$A$2:$D$9,2,FALSE),"")</f>
        <v/>
      </c>
      <c r="N1340" s="5" t="str">
        <f>IFERROR(VLOOKUP(E1340,Specifications!$A$2:$D$9,3,FALSE),"")</f>
        <v/>
      </c>
      <c r="O1340" s="5" t="str">
        <f>IFERROR(VLOOKUP(E1340,Specifications!$A$2:$D$9,4,FALSE),"")</f>
        <v/>
      </c>
      <c r="P1340" s="8" t="str">
        <f t="shared" si="63"/>
        <v/>
      </c>
      <c r="Q1340" s="9"/>
    </row>
    <row r="1341" spans="1:17" ht="15">
      <c r="A1341" s="5" t="str">
        <f t="shared" si="61"/>
        <v/>
      </c>
      <c r="B1341" s="6"/>
      <c r="C1341" s="5" t="str">
        <f>IFERROR(VLOOKUP(B1341,Lists!$A$2:$B$25,2,FALSE),"")</f>
        <v/>
      </c>
      <c r="D1341" s="7"/>
      <c r="E1341" s="6"/>
      <c r="F1341" s="6" t="str">
        <f t="shared" si="62"/>
        <v/>
      </c>
      <c r="G1341" s="6"/>
      <c r="H1341" s="6"/>
      <c r="I1341" s="6"/>
      <c r="J1341" s="7"/>
      <c r="K1341" s="5" t="str" cm="1">
        <f t="array" ref="K1341">IF(OR(A1341="",B1341="",D1341="",E1341=""),"",A1341&amp;"_"&amp;SUBSTITUTE(B1341," ","-")&amp;"_"&amp;D1341&amp;"_"&amp;SUBSTITUTE(SUBSTITUTE(E1341," ",""),"€","Euro")&amp;"_"&amp;IF(F1341="","Unknown",F1341)&amp;IF(F1341="Commemorative",IF(G1341="","","_"&amp;SUBSTITUTE(SUBSTITUTE(SUBSTITUTE(G1341," ","-"),"/","-"),CHAR(39),"")),"")&amp;IF(I1341="Duplicate","_Dub"&amp;IF(SUMPRODUCT(($B$2:B1341=B1341)*($D$2:D1341=D1341)*($E$2:E1341=E1341)*($F$2:F1341=F1341)*($G$2:G1341=G1341)*($I$2:I1341="Duplicate"))&lt;=1,"",SUMPRODUCT(($B$2:B1341=B1341)*($D$2:D1341=D1341)*($E$2:E1341=E1341)*($F$2:F1341=F1341)*($G$2:G1341=G1341)*($I$2:I1341="Duplicate"))-1),"")&amp;".jpeg")</f>
        <v/>
      </c>
      <c r="L1341" s="6"/>
      <c r="M1341" s="5" t="str">
        <f>IFERROR(VLOOKUP(E1341,Specifications!$A$2:$D$9,2,FALSE),"")</f>
        <v/>
      </c>
      <c r="N1341" s="5" t="str">
        <f>IFERROR(VLOOKUP(E1341,Specifications!$A$2:$D$9,3,FALSE),"")</f>
        <v/>
      </c>
      <c r="O1341" s="5" t="str">
        <f>IFERROR(VLOOKUP(E1341,Specifications!$A$2:$D$9,4,FALSE),"")</f>
        <v/>
      </c>
      <c r="P1341" s="8" t="str">
        <f t="shared" si="63"/>
        <v/>
      </c>
      <c r="Q1341" s="9"/>
    </row>
    <row r="1342" spans="1:17" ht="15">
      <c r="A1342" s="5" t="str">
        <f t="shared" si="61"/>
        <v/>
      </c>
      <c r="B1342" s="6"/>
      <c r="C1342" s="5" t="str">
        <f>IFERROR(VLOOKUP(B1342,Lists!$A$2:$B$25,2,FALSE),"")</f>
        <v/>
      </c>
      <c r="D1342" s="7"/>
      <c r="E1342" s="6"/>
      <c r="F1342" s="6" t="str">
        <f t="shared" si="62"/>
        <v/>
      </c>
      <c r="G1342" s="6"/>
      <c r="H1342" s="6"/>
      <c r="I1342" s="6"/>
      <c r="J1342" s="7"/>
      <c r="K1342" s="5" t="str" cm="1">
        <f t="array" ref="K1342">IF(OR(A1342="",B1342="",D1342="",E1342=""),"",A1342&amp;"_"&amp;SUBSTITUTE(B1342," ","-")&amp;"_"&amp;D1342&amp;"_"&amp;SUBSTITUTE(SUBSTITUTE(E1342," ",""),"€","Euro")&amp;"_"&amp;IF(F1342="","Unknown",F1342)&amp;IF(F1342="Commemorative",IF(G1342="","","_"&amp;SUBSTITUTE(SUBSTITUTE(SUBSTITUTE(G1342," ","-"),"/","-"),CHAR(39),"")),"")&amp;IF(I1342="Duplicate","_Dub"&amp;IF(SUMPRODUCT(($B$2:B1342=B1342)*($D$2:D1342=D1342)*($E$2:E1342=E1342)*($F$2:F1342=F1342)*($G$2:G1342=G1342)*($I$2:I1342="Duplicate"))&lt;=1,"",SUMPRODUCT(($B$2:B1342=B1342)*($D$2:D1342=D1342)*($E$2:E1342=E1342)*($F$2:F1342=F1342)*($G$2:G1342=G1342)*($I$2:I1342="Duplicate"))-1),"")&amp;".jpeg")</f>
        <v/>
      </c>
      <c r="L1342" s="6"/>
      <c r="M1342" s="5" t="str">
        <f>IFERROR(VLOOKUP(E1342,Specifications!$A$2:$D$9,2,FALSE),"")</f>
        <v/>
      </c>
      <c r="N1342" s="5" t="str">
        <f>IFERROR(VLOOKUP(E1342,Specifications!$A$2:$D$9,3,FALSE),"")</f>
        <v/>
      </c>
      <c r="O1342" s="5" t="str">
        <f>IFERROR(VLOOKUP(E1342,Specifications!$A$2:$D$9,4,FALSE),"")</f>
        <v/>
      </c>
      <c r="P1342" s="8" t="str">
        <f t="shared" si="63"/>
        <v/>
      </c>
      <c r="Q1342" s="9"/>
    </row>
    <row r="1343" spans="1:17" ht="15">
      <c r="A1343" s="5" t="str">
        <f t="shared" si="61"/>
        <v/>
      </c>
      <c r="B1343" s="6"/>
      <c r="C1343" s="5" t="str">
        <f>IFERROR(VLOOKUP(B1343,Lists!$A$2:$B$25,2,FALSE),"")</f>
        <v/>
      </c>
      <c r="D1343" s="7"/>
      <c r="E1343" s="6"/>
      <c r="F1343" s="6" t="str">
        <f t="shared" si="62"/>
        <v/>
      </c>
      <c r="G1343" s="6"/>
      <c r="H1343" s="6"/>
      <c r="I1343" s="6"/>
      <c r="J1343" s="7"/>
      <c r="K1343" s="5" t="str" cm="1">
        <f t="array" ref="K1343">IF(OR(A1343="",B1343="",D1343="",E1343=""),"",A1343&amp;"_"&amp;SUBSTITUTE(B1343," ","-")&amp;"_"&amp;D1343&amp;"_"&amp;SUBSTITUTE(SUBSTITUTE(E1343," ",""),"€","Euro")&amp;"_"&amp;IF(F1343="","Unknown",F1343)&amp;IF(F1343="Commemorative",IF(G1343="","","_"&amp;SUBSTITUTE(SUBSTITUTE(SUBSTITUTE(G1343," ","-"),"/","-"),CHAR(39),"")),"")&amp;IF(I1343="Duplicate","_Dub"&amp;IF(SUMPRODUCT(($B$2:B1343=B1343)*($D$2:D1343=D1343)*($E$2:E1343=E1343)*($F$2:F1343=F1343)*($G$2:G1343=G1343)*($I$2:I1343="Duplicate"))&lt;=1,"",SUMPRODUCT(($B$2:B1343=B1343)*($D$2:D1343=D1343)*($E$2:E1343=E1343)*($F$2:F1343=F1343)*($G$2:G1343=G1343)*($I$2:I1343="Duplicate"))-1),"")&amp;".jpeg")</f>
        <v/>
      </c>
      <c r="L1343" s="6"/>
      <c r="M1343" s="5" t="str">
        <f>IFERROR(VLOOKUP(E1343,Specifications!$A$2:$D$9,2,FALSE),"")</f>
        <v/>
      </c>
      <c r="N1343" s="5" t="str">
        <f>IFERROR(VLOOKUP(E1343,Specifications!$A$2:$D$9,3,FALSE),"")</f>
        <v/>
      </c>
      <c r="O1343" s="5" t="str">
        <f>IFERROR(VLOOKUP(E1343,Specifications!$A$2:$D$9,4,FALSE),"")</f>
        <v/>
      </c>
      <c r="P1343" s="8" t="str">
        <f t="shared" si="63"/>
        <v/>
      </c>
      <c r="Q1343" s="9"/>
    </row>
    <row r="1344" spans="1:17" ht="15">
      <c r="A1344" s="5" t="str">
        <f t="shared" si="61"/>
        <v/>
      </c>
      <c r="B1344" s="6"/>
      <c r="C1344" s="5" t="str">
        <f>IFERROR(VLOOKUP(B1344,Lists!$A$2:$B$25,2,FALSE),"")</f>
        <v/>
      </c>
      <c r="D1344" s="7"/>
      <c r="E1344" s="6"/>
      <c r="F1344" s="6" t="str">
        <f t="shared" si="62"/>
        <v/>
      </c>
      <c r="G1344" s="6"/>
      <c r="H1344" s="6"/>
      <c r="I1344" s="6"/>
      <c r="J1344" s="7"/>
      <c r="K1344" s="5" t="str" cm="1">
        <f t="array" ref="K1344">IF(OR(A1344="",B1344="",D1344="",E1344=""),"",A1344&amp;"_"&amp;SUBSTITUTE(B1344," ","-")&amp;"_"&amp;D1344&amp;"_"&amp;SUBSTITUTE(SUBSTITUTE(E1344," ",""),"€","Euro")&amp;"_"&amp;IF(F1344="","Unknown",F1344)&amp;IF(F1344="Commemorative",IF(G1344="","","_"&amp;SUBSTITUTE(SUBSTITUTE(SUBSTITUTE(G1344," ","-"),"/","-"),CHAR(39),"")),"")&amp;IF(I1344="Duplicate","_Dub"&amp;IF(SUMPRODUCT(($B$2:B1344=B1344)*($D$2:D1344=D1344)*($E$2:E1344=E1344)*($F$2:F1344=F1344)*($G$2:G1344=G1344)*($I$2:I1344="Duplicate"))&lt;=1,"",SUMPRODUCT(($B$2:B1344=B1344)*($D$2:D1344=D1344)*($E$2:E1344=E1344)*($F$2:F1344=F1344)*($G$2:G1344=G1344)*($I$2:I1344="Duplicate"))-1),"")&amp;".jpeg")</f>
        <v/>
      </c>
      <c r="L1344" s="6"/>
      <c r="M1344" s="5" t="str">
        <f>IFERROR(VLOOKUP(E1344,Specifications!$A$2:$D$9,2,FALSE),"")</f>
        <v/>
      </c>
      <c r="N1344" s="5" t="str">
        <f>IFERROR(VLOOKUP(E1344,Specifications!$A$2:$D$9,3,FALSE),"")</f>
        <v/>
      </c>
      <c r="O1344" s="5" t="str">
        <f>IFERROR(VLOOKUP(E1344,Specifications!$A$2:$D$9,4,FALSE),"")</f>
        <v/>
      </c>
      <c r="P1344" s="8" t="str">
        <f t="shared" si="63"/>
        <v/>
      </c>
      <c r="Q1344" s="9"/>
    </row>
    <row r="1345" spans="1:17" ht="15">
      <c r="A1345" s="5" t="str">
        <f t="shared" si="61"/>
        <v/>
      </c>
      <c r="B1345" s="6"/>
      <c r="C1345" s="5" t="str">
        <f>IFERROR(VLOOKUP(B1345,Lists!$A$2:$B$25,2,FALSE),"")</f>
        <v/>
      </c>
      <c r="D1345" s="7"/>
      <c r="E1345" s="6"/>
      <c r="F1345" s="6" t="str">
        <f t="shared" si="62"/>
        <v/>
      </c>
      <c r="G1345" s="6"/>
      <c r="H1345" s="6"/>
      <c r="I1345" s="6"/>
      <c r="J1345" s="7"/>
      <c r="K1345" s="5" t="str" cm="1">
        <f t="array" ref="K1345">IF(OR(A1345="",B1345="",D1345="",E1345=""),"",A1345&amp;"_"&amp;SUBSTITUTE(B1345," ","-")&amp;"_"&amp;D1345&amp;"_"&amp;SUBSTITUTE(SUBSTITUTE(E1345," ",""),"€","Euro")&amp;"_"&amp;IF(F1345="","Unknown",F1345)&amp;IF(F1345="Commemorative",IF(G1345="","","_"&amp;SUBSTITUTE(SUBSTITUTE(SUBSTITUTE(G1345," ","-"),"/","-"),CHAR(39),"")),"")&amp;IF(I1345="Duplicate","_Dub"&amp;IF(SUMPRODUCT(($B$2:B1345=B1345)*($D$2:D1345=D1345)*($E$2:E1345=E1345)*($F$2:F1345=F1345)*($G$2:G1345=G1345)*($I$2:I1345="Duplicate"))&lt;=1,"",SUMPRODUCT(($B$2:B1345=B1345)*($D$2:D1345=D1345)*($E$2:E1345=E1345)*($F$2:F1345=F1345)*($G$2:G1345=G1345)*($I$2:I1345="Duplicate"))-1),"")&amp;".jpeg")</f>
        <v/>
      </c>
      <c r="L1345" s="6"/>
      <c r="M1345" s="5" t="str">
        <f>IFERROR(VLOOKUP(E1345,Specifications!$A$2:$D$9,2,FALSE),"")</f>
        <v/>
      </c>
      <c r="N1345" s="5" t="str">
        <f>IFERROR(VLOOKUP(E1345,Specifications!$A$2:$D$9,3,FALSE),"")</f>
        <v/>
      </c>
      <c r="O1345" s="5" t="str">
        <f>IFERROR(VLOOKUP(E1345,Specifications!$A$2:$D$9,4,FALSE),"")</f>
        <v/>
      </c>
      <c r="P1345" s="8" t="str">
        <f t="shared" si="63"/>
        <v/>
      </c>
      <c r="Q1345" s="9"/>
    </row>
    <row r="1346" spans="1:17" ht="15">
      <c r="A1346" s="5" t="str">
        <f t="shared" ref="A1346:A1409" si="64">IF(B1346="","",TEXT(ROW()-1,"000"))</f>
        <v/>
      </c>
      <c r="B1346" s="6"/>
      <c r="C1346" s="5" t="str">
        <f>IFERROR(VLOOKUP(B1346,Lists!$A$2:$B$25,2,FALSE),"")</f>
        <v/>
      </c>
      <c r="D1346" s="7"/>
      <c r="E1346" s="6"/>
      <c r="F1346" s="6" t="str">
        <f t="shared" ref="F1346:F1409" si="65">IF(E1346="","",IF(E1346="2 €","", "Regular"))</f>
        <v/>
      </c>
      <c r="G1346" s="6"/>
      <c r="H1346" s="6"/>
      <c r="I1346" s="6"/>
      <c r="J1346" s="7"/>
      <c r="K1346" s="5" t="str" cm="1">
        <f t="array" ref="K1346">IF(OR(A1346="",B1346="",D1346="",E1346=""),"",A1346&amp;"_"&amp;SUBSTITUTE(B1346," ","-")&amp;"_"&amp;D1346&amp;"_"&amp;SUBSTITUTE(SUBSTITUTE(E1346," ",""),"€","Euro")&amp;"_"&amp;IF(F1346="","Unknown",F1346)&amp;IF(F1346="Commemorative",IF(G1346="","","_"&amp;SUBSTITUTE(SUBSTITUTE(SUBSTITUTE(G1346," ","-"),"/","-"),CHAR(39),"")),"")&amp;IF(I1346="Duplicate","_Dub"&amp;IF(SUMPRODUCT(($B$2:B1346=B1346)*($D$2:D1346=D1346)*($E$2:E1346=E1346)*($F$2:F1346=F1346)*($G$2:G1346=G1346)*($I$2:I1346="Duplicate"))&lt;=1,"",SUMPRODUCT(($B$2:B1346=B1346)*($D$2:D1346=D1346)*($E$2:E1346=E1346)*($F$2:F1346=F1346)*($G$2:G1346=G1346)*($I$2:I1346="Duplicate"))-1),"")&amp;".jpeg")</f>
        <v/>
      </c>
      <c r="L1346" s="6"/>
      <c r="M1346" s="5" t="str">
        <f>IFERROR(VLOOKUP(E1346,Specifications!$A$2:$D$9,2,FALSE),"")</f>
        <v/>
      </c>
      <c r="N1346" s="5" t="str">
        <f>IFERROR(VLOOKUP(E1346,Specifications!$A$2:$D$9,3,FALSE),"")</f>
        <v/>
      </c>
      <c r="O1346" s="5" t="str">
        <f>IFERROR(VLOOKUP(E1346,Specifications!$A$2:$D$9,4,FALSE),"")</f>
        <v/>
      </c>
      <c r="P1346" s="8" t="str">
        <f t="shared" ref="P1346:P1409" si="66">IF(OR(B1346="",E1346="",F1346=""),"",IF(F1346="Regular","Regular "&amp;E1346&amp;" circulation coin of "&amp;B1346&amp;".",IF(F1346="Commemorative",IF(G1346="","",E1346&amp;" commemorative coin of "&amp;B1346&amp;" – "&amp;G1346&amp;"."),"")))</f>
        <v/>
      </c>
      <c r="Q1346" s="9"/>
    </row>
    <row r="1347" spans="1:17" ht="15">
      <c r="A1347" s="5" t="str">
        <f t="shared" si="64"/>
        <v/>
      </c>
      <c r="B1347" s="6"/>
      <c r="C1347" s="5" t="str">
        <f>IFERROR(VLOOKUP(B1347,Lists!$A$2:$B$25,2,FALSE),"")</f>
        <v/>
      </c>
      <c r="D1347" s="7"/>
      <c r="E1347" s="6"/>
      <c r="F1347" s="6" t="str">
        <f t="shared" si="65"/>
        <v/>
      </c>
      <c r="G1347" s="6"/>
      <c r="H1347" s="6"/>
      <c r="I1347" s="6"/>
      <c r="J1347" s="7"/>
      <c r="K1347" s="5" t="str" cm="1">
        <f t="array" ref="K1347">IF(OR(A1347="",B1347="",D1347="",E1347=""),"",A1347&amp;"_"&amp;SUBSTITUTE(B1347," ","-")&amp;"_"&amp;D1347&amp;"_"&amp;SUBSTITUTE(SUBSTITUTE(E1347," ",""),"€","Euro")&amp;"_"&amp;IF(F1347="","Unknown",F1347)&amp;IF(F1347="Commemorative",IF(G1347="","","_"&amp;SUBSTITUTE(SUBSTITUTE(SUBSTITUTE(G1347," ","-"),"/","-"),CHAR(39),"")),"")&amp;IF(I1347="Duplicate","_Dub"&amp;IF(SUMPRODUCT(($B$2:B1347=B1347)*($D$2:D1347=D1347)*($E$2:E1347=E1347)*($F$2:F1347=F1347)*($G$2:G1347=G1347)*($I$2:I1347="Duplicate"))&lt;=1,"",SUMPRODUCT(($B$2:B1347=B1347)*($D$2:D1347=D1347)*($E$2:E1347=E1347)*($F$2:F1347=F1347)*($G$2:G1347=G1347)*($I$2:I1347="Duplicate"))-1),"")&amp;".jpeg")</f>
        <v/>
      </c>
      <c r="L1347" s="6"/>
      <c r="M1347" s="5" t="str">
        <f>IFERROR(VLOOKUP(E1347,Specifications!$A$2:$D$9,2,FALSE),"")</f>
        <v/>
      </c>
      <c r="N1347" s="5" t="str">
        <f>IFERROR(VLOOKUP(E1347,Specifications!$A$2:$D$9,3,FALSE),"")</f>
        <v/>
      </c>
      <c r="O1347" s="5" t="str">
        <f>IFERROR(VLOOKUP(E1347,Specifications!$A$2:$D$9,4,FALSE),"")</f>
        <v/>
      </c>
      <c r="P1347" s="8" t="str">
        <f t="shared" si="66"/>
        <v/>
      </c>
      <c r="Q1347" s="9"/>
    </row>
    <row r="1348" spans="1:17" ht="15">
      <c r="A1348" s="5" t="str">
        <f t="shared" si="64"/>
        <v/>
      </c>
      <c r="B1348" s="6"/>
      <c r="C1348" s="5" t="str">
        <f>IFERROR(VLOOKUP(B1348,Lists!$A$2:$B$25,2,FALSE),"")</f>
        <v/>
      </c>
      <c r="D1348" s="7"/>
      <c r="E1348" s="6"/>
      <c r="F1348" s="6" t="str">
        <f t="shared" si="65"/>
        <v/>
      </c>
      <c r="G1348" s="6"/>
      <c r="H1348" s="6"/>
      <c r="I1348" s="6"/>
      <c r="J1348" s="7"/>
      <c r="K1348" s="5" t="str" cm="1">
        <f t="array" ref="K1348">IF(OR(A1348="",B1348="",D1348="",E1348=""),"",A1348&amp;"_"&amp;SUBSTITUTE(B1348," ","-")&amp;"_"&amp;D1348&amp;"_"&amp;SUBSTITUTE(SUBSTITUTE(E1348," ",""),"€","Euro")&amp;"_"&amp;IF(F1348="","Unknown",F1348)&amp;IF(F1348="Commemorative",IF(G1348="","","_"&amp;SUBSTITUTE(SUBSTITUTE(SUBSTITUTE(G1348," ","-"),"/","-"),CHAR(39),"")),"")&amp;IF(I1348="Duplicate","_Dub"&amp;IF(SUMPRODUCT(($B$2:B1348=B1348)*($D$2:D1348=D1348)*($E$2:E1348=E1348)*($F$2:F1348=F1348)*($G$2:G1348=G1348)*($I$2:I1348="Duplicate"))&lt;=1,"",SUMPRODUCT(($B$2:B1348=B1348)*($D$2:D1348=D1348)*($E$2:E1348=E1348)*($F$2:F1348=F1348)*($G$2:G1348=G1348)*($I$2:I1348="Duplicate"))-1),"")&amp;".jpeg")</f>
        <v/>
      </c>
      <c r="L1348" s="6"/>
      <c r="M1348" s="5" t="str">
        <f>IFERROR(VLOOKUP(E1348,Specifications!$A$2:$D$9,2,FALSE),"")</f>
        <v/>
      </c>
      <c r="N1348" s="5" t="str">
        <f>IFERROR(VLOOKUP(E1348,Specifications!$A$2:$D$9,3,FALSE),"")</f>
        <v/>
      </c>
      <c r="O1348" s="5" t="str">
        <f>IFERROR(VLOOKUP(E1348,Specifications!$A$2:$D$9,4,FALSE),"")</f>
        <v/>
      </c>
      <c r="P1348" s="8" t="str">
        <f t="shared" si="66"/>
        <v/>
      </c>
      <c r="Q1348" s="9"/>
    </row>
    <row r="1349" spans="1:17" ht="15">
      <c r="A1349" s="5" t="str">
        <f t="shared" si="64"/>
        <v/>
      </c>
      <c r="B1349" s="6"/>
      <c r="C1349" s="5" t="str">
        <f>IFERROR(VLOOKUP(B1349,Lists!$A$2:$B$25,2,FALSE),"")</f>
        <v/>
      </c>
      <c r="D1349" s="7"/>
      <c r="E1349" s="6"/>
      <c r="F1349" s="6" t="str">
        <f t="shared" si="65"/>
        <v/>
      </c>
      <c r="G1349" s="6"/>
      <c r="H1349" s="6"/>
      <c r="I1349" s="6"/>
      <c r="J1349" s="7"/>
      <c r="K1349" s="5" t="str" cm="1">
        <f t="array" ref="K1349">IF(OR(A1349="",B1349="",D1349="",E1349=""),"",A1349&amp;"_"&amp;SUBSTITUTE(B1349," ","-")&amp;"_"&amp;D1349&amp;"_"&amp;SUBSTITUTE(SUBSTITUTE(E1349," ",""),"€","Euro")&amp;"_"&amp;IF(F1349="","Unknown",F1349)&amp;IF(F1349="Commemorative",IF(G1349="","","_"&amp;SUBSTITUTE(SUBSTITUTE(SUBSTITUTE(G1349," ","-"),"/","-"),CHAR(39),"")),"")&amp;IF(I1349="Duplicate","_Dub"&amp;IF(SUMPRODUCT(($B$2:B1349=B1349)*($D$2:D1349=D1349)*($E$2:E1349=E1349)*($F$2:F1349=F1349)*($G$2:G1349=G1349)*($I$2:I1349="Duplicate"))&lt;=1,"",SUMPRODUCT(($B$2:B1349=B1349)*($D$2:D1349=D1349)*($E$2:E1349=E1349)*($F$2:F1349=F1349)*($G$2:G1349=G1349)*($I$2:I1349="Duplicate"))-1),"")&amp;".jpeg")</f>
        <v/>
      </c>
      <c r="L1349" s="6"/>
      <c r="M1349" s="5" t="str">
        <f>IFERROR(VLOOKUP(E1349,Specifications!$A$2:$D$9,2,FALSE),"")</f>
        <v/>
      </c>
      <c r="N1349" s="5" t="str">
        <f>IFERROR(VLOOKUP(E1349,Specifications!$A$2:$D$9,3,FALSE),"")</f>
        <v/>
      </c>
      <c r="O1349" s="5" t="str">
        <f>IFERROR(VLOOKUP(E1349,Specifications!$A$2:$D$9,4,FALSE),"")</f>
        <v/>
      </c>
      <c r="P1349" s="8" t="str">
        <f t="shared" si="66"/>
        <v/>
      </c>
      <c r="Q1349" s="9"/>
    </row>
    <row r="1350" spans="1:17" ht="15">
      <c r="A1350" s="5" t="str">
        <f t="shared" si="64"/>
        <v/>
      </c>
      <c r="B1350" s="6"/>
      <c r="C1350" s="5" t="str">
        <f>IFERROR(VLOOKUP(B1350,Lists!$A$2:$B$25,2,FALSE),"")</f>
        <v/>
      </c>
      <c r="D1350" s="7"/>
      <c r="E1350" s="6"/>
      <c r="F1350" s="6" t="str">
        <f t="shared" si="65"/>
        <v/>
      </c>
      <c r="G1350" s="6"/>
      <c r="H1350" s="6"/>
      <c r="I1350" s="6"/>
      <c r="J1350" s="7"/>
      <c r="K1350" s="5" t="str" cm="1">
        <f t="array" ref="K1350">IF(OR(A1350="",B1350="",D1350="",E1350=""),"",A1350&amp;"_"&amp;SUBSTITUTE(B1350," ","-")&amp;"_"&amp;D1350&amp;"_"&amp;SUBSTITUTE(SUBSTITUTE(E1350," ",""),"€","Euro")&amp;"_"&amp;IF(F1350="","Unknown",F1350)&amp;IF(F1350="Commemorative",IF(G1350="","","_"&amp;SUBSTITUTE(SUBSTITUTE(SUBSTITUTE(G1350," ","-"),"/","-"),CHAR(39),"")),"")&amp;IF(I1350="Duplicate","_Dub"&amp;IF(SUMPRODUCT(($B$2:B1350=B1350)*($D$2:D1350=D1350)*($E$2:E1350=E1350)*($F$2:F1350=F1350)*($G$2:G1350=G1350)*($I$2:I1350="Duplicate"))&lt;=1,"",SUMPRODUCT(($B$2:B1350=B1350)*($D$2:D1350=D1350)*($E$2:E1350=E1350)*($F$2:F1350=F1350)*($G$2:G1350=G1350)*($I$2:I1350="Duplicate"))-1),"")&amp;".jpeg")</f>
        <v/>
      </c>
      <c r="L1350" s="6"/>
      <c r="M1350" s="5" t="str">
        <f>IFERROR(VLOOKUP(E1350,Specifications!$A$2:$D$9,2,FALSE),"")</f>
        <v/>
      </c>
      <c r="N1350" s="5" t="str">
        <f>IFERROR(VLOOKUP(E1350,Specifications!$A$2:$D$9,3,FALSE),"")</f>
        <v/>
      </c>
      <c r="O1350" s="5" t="str">
        <f>IFERROR(VLOOKUP(E1350,Specifications!$A$2:$D$9,4,FALSE),"")</f>
        <v/>
      </c>
      <c r="P1350" s="8" t="str">
        <f t="shared" si="66"/>
        <v/>
      </c>
      <c r="Q1350" s="9"/>
    </row>
    <row r="1351" spans="1:17" ht="15">
      <c r="A1351" s="5" t="str">
        <f t="shared" si="64"/>
        <v/>
      </c>
      <c r="B1351" s="6"/>
      <c r="C1351" s="5" t="str">
        <f>IFERROR(VLOOKUP(B1351,Lists!$A$2:$B$25,2,FALSE),"")</f>
        <v/>
      </c>
      <c r="D1351" s="7"/>
      <c r="E1351" s="6"/>
      <c r="F1351" s="6" t="str">
        <f t="shared" si="65"/>
        <v/>
      </c>
      <c r="G1351" s="6"/>
      <c r="H1351" s="6"/>
      <c r="I1351" s="6"/>
      <c r="J1351" s="7"/>
      <c r="K1351" s="5" t="str" cm="1">
        <f t="array" ref="K1351">IF(OR(A1351="",B1351="",D1351="",E1351=""),"",A1351&amp;"_"&amp;SUBSTITUTE(B1351," ","-")&amp;"_"&amp;D1351&amp;"_"&amp;SUBSTITUTE(SUBSTITUTE(E1351," ",""),"€","Euro")&amp;"_"&amp;IF(F1351="","Unknown",F1351)&amp;IF(F1351="Commemorative",IF(G1351="","","_"&amp;SUBSTITUTE(SUBSTITUTE(SUBSTITUTE(G1351," ","-"),"/","-"),CHAR(39),"")),"")&amp;IF(I1351="Duplicate","_Dub"&amp;IF(SUMPRODUCT(($B$2:B1351=B1351)*($D$2:D1351=D1351)*($E$2:E1351=E1351)*($F$2:F1351=F1351)*($G$2:G1351=G1351)*($I$2:I1351="Duplicate"))&lt;=1,"",SUMPRODUCT(($B$2:B1351=B1351)*($D$2:D1351=D1351)*($E$2:E1351=E1351)*($F$2:F1351=F1351)*($G$2:G1351=G1351)*($I$2:I1351="Duplicate"))-1),"")&amp;".jpeg")</f>
        <v/>
      </c>
      <c r="L1351" s="6"/>
      <c r="M1351" s="5" t="str">
        <f>IFERROR(VLOOKUP(E1351,Specifications!$A$2:$D$9,2,FALSE),"")</f>
        <v/>
      </c>
      <c r="N1351" s="5" t="str">
        <f>IFERROR(VLOOKUP(E1351,Specifications!$A$2:$D$9,3,FALSE),"")</f>
        <v/>
      </c>
      <c r="O1351" s="5" t="str">
        <f>IFERROR(VLOOKUP(E1351,Specifications!$A$2:$D$9,4,FALSE),"")</f>
        <v/>
      </c>
      <c r="P1351" s="8" t="str">
        <f t="shared" si="66"/>
        <v/>
      </c>
      <c r="Q1351" s="9"/>
    </row>
    <row r="1352" spans="1:17" ht="15">
      <c r="A1352" s="5" t="str">
        <f t="shared" si="64"/>
        <v/>
      </c>
      <c r="B1352" s="6"/>
      <c r="C1352" s="5" t="str">
        <f>IFERROR(VLOOKUP(B1352,Lists!$A$2:$B$25,2,FALSE),"")</f>
        <v/>
      </c>
      <c r="D1352" s="7"/>
      <c r="E1352" s="6"/>
      <c r="F1352" s="6" t="str">
        <f t="shared" si="65"/>
        <v/>
      </c>
      <c r="G1352" s="6"/>
      <c r="H1352" s="6"/>
      <c r="I1352" s="6"/>
      <c r="J1352" s="7"/>
      <c r="K1352" s="5" t="str" cm="1">
        <f t="array" ref="K1352">IF(OR(A1352="",B1352="",D1352="",E1352=""),"",A1352&amp;"_"&amp;SUBSTITUTE(B1352," ","-")&amp;"_"&amp;D1352&amp;"_"&amp;SUBSTITUTE(SUBSTITUTE(E1352," ",""),"€","Euro")&amp;"_"&amp;IF(F1352="","Unknown",F1352)&amp;IF(F1352="Commemorative",IF(G1352="","","_"&amp;SUBSTITUTE(SUBSTITUTE(SUBSTITUTE(G1352," ","-"),"/","-"),CHAR(39),"")),"")&amp;IF(I1352="Duplicate","_Dub"&amp;IF(SUMPRODUCT(($B$2:B1352=B1352)*($D$2:D1352=D1352)*($E$2:E1352=E1352)*($F$2:F1352=F1352)*($G$2:G1352=G1352)*($I$2:I1352="Duplicate"))&lt;=1,"",SUMPRODUCT(($B$2:B1352=B1352)*($D$2:D1352=D1352)*($E$2:E1352=E1352)*($F$2:F1352=F1352)*($G$2:G1352=G1352)*($I$2:I1352="Duplicate"))-1),"")&amp;".jpeg")</f>
        <v/>
      </c>
      <c r="L1352" s="6"/>
      <c r="M1352" s="5" t="str">
        <f>IFERROR(VLOOKUP(E1352,Specifications!$A$2:$D$9,2,FALSE),"")</f>
        <v/>
      </c>
      <c r="N1352" s="5" t="str">
        <f>IFERROR(VLOOKUP(E1352,Specifications!$A$2:$D$9,3,FALSE),"")</f>
        <v/>
      </c>
      <c r="O1352" s="5" t="str">
        <f>IFERROR(VLOOKUP(E1352,Specifications!$A$2:$D$9,4,FALSE),"")</f>
        <v/>
      </c>
      <c r="P1352" s="8" t="str">
        <f t="shared" si="66"/>
        <v/>
      </c>
      <c r="Q1352" s="9"/>
    </row>
    <row r="1353" spans="1:17" ht="15">
      <c r="A1353" s="5" t="str">
        <f t="shared" si="64"/>
        <v/>
      </c>
      <c r="B1353" s="6"/>
      <c r="C1353" s="5" t="str">
        <f>IFERROR(VLOOKUP(B1353,Lists!$A$2:$B$25,2,FALSE),"")</f>
        <v/>
      </c>
      <c r="D1353" s="7"/>
      <c r="E1353" s="6"/>
      <c r="F1353" s="6" t="str">
        <f t="shared" si="65"/>
        <v/>
      </c>
      <c r="G1353" s="6"/>
      <c r="H1353" s="6"/>
      <c r="I1353" s="6"/>
      <c r="J1353" s="7"/>
      <c r="K1353" s="5" t="str" cm="1">
        <f t="array" ref="K1353">IF(OR(A1353="",B1353="",D1353="",E1353=""),"",A1353&amp;"_"&amp;SUBSTITUTE(B1353," ","-")&amp;"_"&amp;D1353&amp;"_"&amp;SUBSTITUTE(SUBSTITUTE(E1353," ",""),"€","Euro")&amp;"_"&amp;IF(F1353="","Unknown",F1353)&amp;IF(F1353="Commemorative",IF(G1353="","","_"&amp;SUBSTITUTE(SUBSTITUTE(SUBSTITUTE(G1353," ","-"),"/","-"),CHAR(39),"")),"")&amp;IF(I1353="Duplicate","_Dub"&amp;IF(SUMPRODUCT(($B$2:B1353=B1353)*($D$2:D1353=D1353)*($E$2:E1353=E1353)*($F$2:F1353=F1353)*($G$2:G1353=G1353)*($I$2:I1353="Duplicate"))&lt;=1,"",SUMPRODUCT(($B$2:B1353=B1353)*($D$2:D1353=D1353)*($E$2:E1353=E1353)*($F$2:F1353=F1353)*($G$2:G1353=G1353)*($I$2:I1353="Duplicate"))-1),"")&amp;".jpeg")</f>
        <v/>
      </c>
      <c r="L1353" s="6"/>
      <c r="M1353" s="5" t="str">
        <f>IFERROR(VLOOKUP(E1353,Specifications!$A$2:$D$9,2,FALSE),"")</f>
        <v/>
      </c>
      <c r="N1353" s="5" t="str">
        <f>IFERROR(VLOOKUP(E1353,Specifications!$A$2:$D$9,3,FALSE),"")</f>
        <v/>
      </c>
      <c r="O1353" s="5" t="str">
        <f>IFERROR(VLOOKUP(E1353,Specifications!$A$2:$D$9,4,FALSE),"")</f>
        <v/>
      </c>
      <c r="P1353" s="8" t="str">
        <f t="shared" si="66"/>
        <v/>
      </c>
      <c r="Q1353" s="9"/>
    </row>
    <row r="1354" spans="1:17" ht="15">
      <c r="A1354" s="5" t="str">
        <f t="shared" si="64"/>
        <v/>
      </c>
      <c r="B1354" s="6"/>
      <c r="C1354" s="5" t="str">
        <f>IFERROR(VLOOKUP(B1354,Lists!$A$2:$B$25,2,FALSE),"")</f>
        <v/>
      </c>
      <c r="D1354" s="7"/>
      <c r="E1354" s="6"/>
      <c r="F1354" s="6" t="str">
        <f t="shared" si="65"/>
        <v/>
      </c>
      <c r="G1354" s="6"/>
      <c r="H1354" s="6"/>
      <c r="I1354" s="6"/>
      <c r="J1354" s="7"/>
      <c r="K1354" s="5" t="str" cm="1">
        <f t="array" ref="K1354">IF(OR(A1354="",B1354="",D1354="",E1354=""),"",A1354&amp;"_"&amp;SUBSTITUTE(B1354," ","-")&amp;"_"&amp;D1354&amp;"_"&amp;SUBSTITUTE(SUBSTITUTE(E1354," ",""),"€","Euro")&amp;"_"&amp;IF(F1354="","Unknown",F1354)&amp;IF(F1354="Commemorative",IF(G1354="","","_"&amp;SUBSTITUTE(SUBSTITUTE(SUBSTITUTE(G1354," ","-"),"/","-"),CHAR(39),"")),"")&amp;IF(I1354="Duplicate","_Dub"&amp;IF(SUMPRODUCT(($B$2:B1354=B1354)*($D$2:D1354=D1354)*($E$2:E1354=E1354)*($F$2:F1354=F1354)*($G$2:G1354=G1354)*($I$2:I1354="Duplicate"))&lt;=1,"",SUMPRODUCT(($B$2:B1354=B1354)*($D$2:D1354=D1354)*($E$2:E1354=E1354)*($F$2:F1354=F1354)*($G$2:G1354=G1354)*($I$2:I1354="Duplicate"))-1),"")&amp;".jpeg")</f>
        <v/>
      </c>
      <c r="L1354" s="6"/>
      <c r="M1354" s="5" t="str">
        <f>IFERROR(VLOOKUP(E1354,Specifications!$A$2:$D$9,2,FALSE),"")</f>
        <v/>
      </c>
      <c r="N1354" s="5" t="str">
        <f>IFERROR(VLOOKUP(E1354,Specifications!$A$2:$D$9,3,FALSE),"")</f>
        <v/>
      </c>
      <c r="O1354" s="5" t="str">
        <f>IFERROR(VLOOKUP(E1354,Specifications!$A$2:$D$9,4,FALSE),"")</f>
        <v/>
      </c>
      <c r="P1354" s="8" t="str">
        <f t="shared" si="66"/>
        <v/>
      </c>
      <c r="Q1354" s="9"/>
    </row>
    <row r="1355" spans="1:17" ht="15">
      <c r="A1355" s="5" t="str">
        <f t="shared" si="64"/>
        <v/>
      </c>
      <c r="B1355" s="6"/>
      <c r="C1355" s="5" t="str">
        <f>IFERROR(VLOOKUP(B1355,Lists!$A$2:$B$25,2,FALSE),"")</f>
        <v/>
      </c>
      <c r="D1355" s="7"/>
      <c r="E1355" s="6"/>
      <c r="F1355" s="6" t="str">
        <f t="shared" si="65"/>
        <v/>
      </c>
      <c r="G1355" s="6"/>
      <c r="H1355" s="6"/>
      <c r="I1355" s="6"/>
      <c r="J1355" s="7"/>
      <c r="K1355" s="5" t="str" cm="1">
        <f t="array" ref="K1355">IF(OR(A1355="",B1355="",D1355="",E1355=""),"",A1355&amp;"_"&amp;SUBSTITUTE(B1355," ","-")&amp;"_"&amp;D1355&amp;"_"&amp;SUBSTITUTE(SUBSTITUTE(E1355," ",""),"€","Euro")&amp;"_"&amp;IF(F1355="","Unknown",F1355)&amp;IF(F1355="Commemorative",IF(G1355="","","_"&amp;SUBSTITUTE(SUBSTITUTE(SUBSTITUTE(G1355," ","-"),"/","-"),CHAR(39),"")),"")&amp;IF(I1355="Duplicate","_Dub"&amp;IF(SUMPRODUCT(($B$2:B1355=B1355)*($D$2:D1355=D1355)*($E$2:E1355=E1355)*($F$2:F1355=F1355)*($G$2:G1355=G1355)*($I$2:I1355="Duplicate"))&lt;=1,"",SUMPRODUCT(($B$2:B1355=B1355)*($D$2:D1355=D1355)*($E$2:E1355=E1355)*($F$2:F1355=F1355)*($G$2:G1355=G1355)*($I$2:I1355="Duplicate"))-1),"")&amp;".jpeg")</f>
        <v/>
      </c>
      <c r="L1355" s="6"/>
      <c r="M1355" s="5" t="str">
        <f>IFERROR(VLOOKUP(E1355,Specifications!$A$2:$D$9,2,FALSE),"")</f>
        <v/>
      </c>
      <c r="N1355" s="5" t="str">
        <f>IFERROR(VLOOKUP(E1355,Specifications!$A$2:$D$9,3,FALSE),"")</f>
        <v/>
      </c>
      <c r="O1355" s="5" t="str">
        <f>IFERROR(VLOOKUP(E1355,Specifications!$A$2:$D$9,4,FALSE),"")</f>
        <v/>
      </c>
      <c r="P1355" s="8" t="str">
        <f t="shared" si="66"/>
        <v/>
      </c>
      <c r="Q1355" s="9"/>
    </row>
    <row r="1356" spans="1:17" ht="15">
      <c r="A1356" s="5" t="str">
        <f t="shared" si="64"/>
        <v/>
      </c>
      <c r="B1356" s="6"/>
      <c r="C1356" s="5" t="str">
        <f>IFERROR(VLOOKUP(B1356,Lists!$A$2:$B$25,2,FALSE),"")</f>
        <v/>
      </c>
      <c r="D1356" s="7"/>
      <c r="E1356" s="6"/>
      <c r="F1356" s="6" t="str">
        <f t="shared" si="65"/>
        <v/>
      </c>
      <c r="G1356" s="6"/>
      <c r="H1356" s="6"/>
      <c r="I1356" s="6"/>
      <c r="J1356" s="7"/>
      <c r="K1356" s="5" t="str" cm="1">
        <f t="array" ref="K1356">IF(OR(A1356="",B1356="",D1356="",E1356=""),"",A1356&amp;"_"&amp;SUBSTITUTE(B1356," ","-")&amp;"_"&amp;D1356&amp;"_"&amp;SUBSTITUTE(SUBSTITUTE(E1356," ",""),"€","Euro")&amp;"_"&amp;IF(F1356="","Unknown",F1356)&amp;IF(F1356="Commemorative",IF(G1356="","","_"&amp;SUBSTITUTE(SUBSTITUTE(SUBSTITUTE(G1356," ","-"),"/","-"),CHAR(39),"")),"")&amp;IF(I1356="Duplicate","_Dub"&amp;IF(SUMPRODUCT(($B$2:B1356=B1356)*($D$2:D1356=D1356)*($E$2:E1356=E1356)*($F$2:F1356=F1356)*($G$2:G1356=G1356)*($I$2:I1356="Duplicate"))&lt;=1,"",SUMPRODUCT(($B$2:B1356=B1356)*($D$2:D1356=D1356)*($E$2:E1356=E1356)*($F$2:F1356=F1356)*($G$2:G1356=G1356)*($I$2:I1356="Duplicate"))-1),"")&amp;".jpeg")</f>
        <v/>
      </c>
      <c r="L1356" s="6"/>
      <c r="M1356" s="5" t="str">
        <f>IFERROR(VLOOKUP(E1356,Specifications!$A$2:$D$9,2,FALSE),"")</f>
        <v/>
      </c>
      <c r="N1356" s="5" t="str">
        <f>IFERROR(VLOOKUP(E1356,Specifications!$A$2:$D$9,3,FALSE),"")</f>
        <v/>
      </c>
      <c r="O1356" s="5" t="str">
        <f>IFERROR(VLOOKUP(E1356,Specifications!$A$2:$D$9,4,FALSE),"")</f>
        <v/>
      </c>
      <c r="P1356" s="8" t="str">
        <f t="shared" si="66"/>
        <v/>
      </c>
      <c r="Q1356" s="9"/>
    </row>
    <row r="1357" spans="1:17" ht="15">
      <c r="A1357" s="5" t="str">
        <f t="shared" si="64"/>
        <v/>
      </c>
      <c r="B1357" s="6"/>
      <c r="C1357" s="5" t="str">
        <f>IFERROR(VLOOKUP(B1357,Lists!$A$2:$B$25,2,FALSE),"")</f>
        <v/>
      </c>
      <c r="D1357" s="7"/>
      <c r="E1357" s="6"/>
      <c r="F1357" s="6" t="str">
        <f t="shared" si="65"/>
        <v/>
      </c>
      <c r="G1357" s="6"/>
      <c r="H1357" s="6"/>
      <c r="I1357" s="6"/>
      <c r="J1357" s="7"/>
      <c r="K1357" s="5" t="str" cm="1">
        <f t="array" ref="K1357">IF(OR(A1357="",B1357="",D1357="",E1357=""),"",A1357&amp;"_"&amp;SUBSTITUTE(B1357," ","-")&amp;"_"&amp;D1357&amp;"_"&amp;SUBSTITUTE(SUBSTITUTE(E1357," ",""),"€","Euro")&amp;"_"&amp;IF(F1357="","Unknown",F1357)&amp;IF(F1357="Commemorative",IF(G1357="","","_"&amp;SUBSTITUTE(SUBSTITUTE(SUBSTITUTE(G1357," ","-"),"/","-"),CHAR(39),"")),"")&amp;IF(I1357="Duplicate","_Dub"&amp;IF(SUMPRODUCT(($B$2:B1357=B1357)*($D$2:D1357=D1357)*($E$2:E1357=E1357)*($F$2:F1357=F1357)*($G$2:G1357=G1357)*($I$2:I1357="Duplicate"))&lt;=1,"",SUMPRODUCT(($B$2:B1357=B1357)*($D$2:D1357=D1357)*($E$2:E1357=E1357)*($F$2:F1357=F1357)*($G$2:G1357=G1357)*($I$2:I1357="Duplicate"))-1),"")&amp;".jpeg")</f>
        <v/>
      </c>
      <c r="L1357" s="6"/>
      <c r="M1357" s="5" t="str">
        <f>IFERROR(VLOOKUP(E1357,Specifications!$A$2:$D$9,2,FALSE),"")</f>
        <v/>
      </c>
      <c r="N1357" s="5" t="str">
        <f>IFERROR(VLOOKUP(E1357,Specifications!$A$2:$D$9,3,FALSE),"")</f>
        <v/>
      </c>
      <c r="O1357" s="5" t="str">
        <f>IFERROR(VLOOKUP(E1357,Specifications!$A$2:$D$9,4,FALSE),"")</f>
        <v/>
      </c>
      <c r="P1357" s="8" t="str">
        <f t="shared" si="66"/>
        <v/>
      </c>
      <c r="Q1357" s="9"/>
    </row>
    <row r="1358" spans="1:17" ht="15">
      <c r="A1358" s="5" t="str">
        <f t="shared" si="64"/>
        <v/>
      </c>
      <c r="B1358" s="6"/>
      <c r="C1358" s="5" t="str">
        <f>IFERROR(VLOOKUP(B1358,Lists!$A$2:$B$25,2,FALSE),"")</f>
        <v/>
      </c>
      <c r="D1358" s="7"/>
      <c r="E1358" s="6"/>
      <c r="F1358" s="6" t="str">
        <f t="shared" si="65"/>
        <v/>
      </c>
      <c r="G1358" s="6"/>
      <c r="H1358" s="6"/>
      <c r="I1358" s="6"/>
      <c r="J1358" s="7"/>
      <c r="K1358" s="5" t="str" cm="1">
        <f t="array" ref="K1358">IF(OR(A1358="",B1358="",D1358="",E1358=""),"",A1358&amp;"_"&amp;SUBSTITUTE(B1358," ","-")&amp;"_"&amp;D1358&amp;"_"&amp;SUBSTITUTE(SUBSTITUTE(E1358," ",""),"€","Euro")&amp;"_"&amp;IF(F1358="","Unknown",F1358)&amp;IF(F1358="Commemorative",IF(G1358="","","_"&amp;SUBSTITUTE(SUBSTITUTE(SUBSTITUTE(G1358," ","-"),"/","-"),CHAR(39),"")),"")&amp;IF(I1358="Duplicate","_Dub"&amp;IF(SUMPRODUCT(($B$2:B1358=B1358)*($D$2:D1358=D1358)*($E$2:E1358=E1358)*($F$2:F1358=F1358)*($G$2:G1358=G1358)*($I$2:I1358="Duplicate"))&lt;=1,"",SUMPRODUCT(($B$2:B1358=B1358)*($D$2:D1358=D1358)*($E$2:E1358=E1358)*($F$2:F1358=F1358)*($G$2:G1358=G1358)*($I$2:I1358="Duplicate"))-1),"")&amp;".jpeg")</f>
        <v/>
      </c>
      <c r="L1358" s="6"/>
      <c r="M1358" s="5" t="str">
        <f>IFERROR(VLOOKUP(E1358,Specifications!$A$2:$D$9,2,FALSE),"")</f>
        <v/>
      </c>
      <c r="N1358" s="5" t="str">
        <f>IFERROR(VLOOKUP(E1358,Specifications!$A$2:$D$9,3,FALSE),"")</f>
        <v/>
      </c>
      <c r="O1358" s="5" t="str">
        <f>IFERROR(VLOOKUP(E1358,Specifications!$A$2:$D$9,4,FALSE),"")</f>
        <v/>
      </c>
      <c r="P1358" s="8" t="str">
        <f t="shared" si="66"/>
        <v/>
      </c>
      <c r="Q1358" s="9"/>
    </row>
    <row r="1359" spans="1:17" ht="15">
      <c r="A1359" s="5" t="str">
        <f t="shared" si="64"/>
        <v/>
      </c>
      <c r="B1359" s="6"/>
      <c r="C1359" s="5" t="str">
        <f>IFERROR(VLOOKUP(B1359,Lists!$A$2:$B$25,2,FALSE),"")</f>
        <v/>
      </c>
      <c r="D1359" s="7"/>
      <c r="E1359" s="6"/>
      <c r="F1359" s="6" t="str">
        <f t="shared" si="65"/>
        <v/>
      </c>
      <c r="G1359" s="6"/>
      <c r="H1359" s="6"/>
      <c r="I1359" s="6"/>
      <c r="J1359" s="7"/>
      <c r="K1359" s="5" t="str" cm="1">
        <f t="array" ref="K1359">IF(OR(A1359="",B1359="",D1359="",E1359=""),"",A1359&amp;"_"&amp;SUBSTITUTE(B1359," ","-")&amp;"_"&amp;D1359&amp;"_"&amp;SUBSTITUTE(SUBSTITUTE(E1359," ",""),"€","Euro")&amp;"_"&amp;IF(F1359="","Unknown",F1359)&amp;IF(F1359="Commemorative",IF(G1359="","","_"&amp;SUBSTITUTE(SUBSTITUTE(SUBSTITUTE(G1359," ","-"),"/","-"),CHAR(39),"")),"")&amp;IF(I1359="Duplicate","_Dub"&amp;IF(SUMPRODUCT(($B$2:B1359=B1359)*($D$2:D1359=D1359)*($E$2:E1359=E1359)*($F$2:F1359=F1359)*($G$2:G1359=G1359)*($I$2:I1359="Duplicate"))&lt;=1,"",SUMPRODUCT(($B$2:B1359=B1359)*($D$2:D1359=D1359)*($E$2:E1359=E1359)*($F$2:F1359=F1359)*($G$2:G1359=G1359)*($I$2:I1359="Duplicate"))-1),"")&amp;".jpeg")</f>
        <v/>
      </c>
      <c r="L1359" s="6"/>
      <c r="M1359" s="5" t="str">
        <f>IFERROR(VLOOKUP(E1359,Specifications!$A$2:$D$9,2,FALSE),"")</f>
        <v/>
      </c>
      <c r="N1359" s="5" t="str">
        <f>IFERROR(VLOOKUP(E1359,Specifications!$A$2:$D$9,3,FALSE),"")</f>
        <v/>
      </c>
      <c r="O1359" s="5" t="str">
        <f>IFERROR(VLOOKUP(E1359,Specifications!$A$2:$D$9,4,FALSE),"")</f>
        <v/>
      </c>
      <c r="P1359" s="8" t="str">
        <f t="shared" si="66"/>
        <v/>
      </c>
      <c r="Q1359" s="9"/>
    </row>
    <row r="1360" spans="1:17" ht="15">
      <c r="A1360" s="5" t="str">
        <f t="shared" si="64"/>
        <v/>
      </c>
      <c r="B1360" s="6"/>
      <c r="C1360" s="5" t="str">
        <f>IFERROR(VLOOKUP(B1360,Lists!$A$2:$B$25,2,FALSE),"")</f>
        <v/>
      </c>
      <c r="D1360" s="7"/>
      <c r="E1360" s="6"/>
      <c r="F1360" s="6" t="str">
        <f t="shared" si="65"/>
        <v/>
      </c>
      <c r="G1360" s="6"/>
      <c r="H1360" s="6"/>
      <c r="I1360" s="6"/>
      <c r="J1360" s="7"/>
      <c r="K1360" s="5" t="str" cm="1">
        <f t="array" ref="K1360">IF(OR(A1360="",B1360="",D1360="",E1360=""),"",A1360&amp;"_"&amp;SUBSTITUTE(B1360," ","-")&amp;"_"&amp;D1360&amp;"_"&amp;SUBSTITUTE(SUBSTITUTE(E1360," ",""),"€","Euro")&amp;"_"&amp;IF(F1360="","Unknown",F1360)&amp;IF(F1360="Commemorative",IF(G1360="","","_"&amp;SUBSTITUTE(SUBSTITUTE(SUBSTITUTE(G1360," ","-"),"/","-"),CHAR(39),"")),"")&amp;IF(I1360="Duplicate","_Dub"&amp;IF(SUMPRODUCT(($B$2:B1360=B1360)*($D$2:D1360=D1360)*($E$2:E1360=E1360)*($F$2:F1360=F1360)*($G$2:G1360=G1360)*($I$2:I1360="Duplicate"))&lt;=1,"",SUMPRODUCT(($B$2:B1360=B1360)*($D$2:D1360=D1360)*($E$2:E1360=E1360)*($F$2:F1360=F1360)*($G$2:G1360=G1360)*($I$2:I1360="Duplicate"))-1),"")&amp;".jpeg")</f>
        <v/>
      </c>
      <c r="L1360" s="6"/>
      <c r="M1360" s="5" t="str">
        <f>IFERROR(VLOOKUP(E1360,Specifications!$A$2:$D$9,2,FALSE),"")</f>
        <v/>
      </c>
      <c r="N1360" s="5" t="str">
        <f>IFERROR(VLOOKUP(E1360,Specifications!$A$2:$D$9,3,FALSE),"")</f>
        <v/>
      </c>
      <c r="O1360" s="5" t="str">
        <f>IFERROR(VLOOKUP(E1360,Specifications!$A$2:$D$9,4,FALSE),"")</f>
        <v/>
      </c>
      <c r="P1360" s="8" t="str">
        <f t="shared" si="66"/>
        <v/>
      </c>
      <c r="Q1360" s="9"/>
    </row>
    <row r="1361" spans="1:17" ht="15">
      <c r="A1361" s="5" t="str">
        <f t="shared" si="64"/>
        <v/>
      </c>
      <c r="B1361" s="6"/>
      <c r="C1361" s="5" t="str">
        <f>IFERROR(VLOOKUP(B1361,Lists!$A$2:$B$25,2,FALSE),"")</f>
        <v/>
      </c>
      <c r="D1361" s="7"/>
      <c r="E1361" s="6"/>
      <c r="F1361" s="6" t="str">
        <f t="shared" si="65"/>
        <v/>
      </c>
      <c r="G1361" s="6"/>
      <c r="H1361" s="6"/>
      <c r="I1361" s="6"/>
      <c r="J1361" s="7"/>
      <c r="K1361" s="5" t="str" cm="1">
        <f t="array" ref="K1361">IF(OR(A1361="",B1361="",D1361="",E1361=""),"",A1361&amp;"_"&amp;SUBSTITUTE(B1361," ","-")&amp;"_"&amp;D1361&amp;"_"&amp;SUBSTITUTE(SUBSTITUTE(E1361," ",""),"€","Euro")&amp;"_"&amp;IF(F1361="","Unknown",F1361)&amp;IF(F1361="Commemorative",IF(G1361="","","_"&amp;SUBSTITUTE(SUBSTITUTE(SUBSTITUTE(G1361," ","-"),"/","-"),CHAR(39),"")),"")&amp;IF(I1361="Duplicate","_Dub"&amp;IF(SUMPRODUCT(($B$2:B1361=B1361)*($D$2:D1361=D1361)*($E$2:E1361=E1361)*($F$2:F1361=F1361)*($G$2:G1361=G1361)*($I$2:I1361="Duplicate"))&lt;=1,"",SUMPRODUCT(($B$2:B1361=B1361)*($D$2:D1361=D1361)*($E$2:E1361=E1361)*($F$2:F1361=F1361)*($G$2:G1361=G1361)*($I$2:I1361="Duplicate"))-1),"")&amp;".jpeg")</f>
        <v/>
      </c>
      <c r="L1361" s="6"/>
      <c r="M1361" s="5" t="str">
        <f>IFERROR(VLOOKUP(E1361,Specifications!$A$2:$D$9,2,FALSE),"")</f>
        <v/>
      </c>
      <c r="N1361" s="5" t="str">
        <f>IFERROR(VLOOKUP(E1361,Specifications!$A$2:$D$9,3,FALSE),"")</f>
        <v/>
      </c>
      <c r="O1361" s="5" t="str">
        <f>IFERROR(VLOOKUP(E1361,Specifications!$A$2:$D$9,4,FALSE),"")</f>
        <v/>
      </c>
      <c r="P1361" s="8" t="str">
        <f t="shared" si="66"/>
        <v/>
      </c>
      <c r="Q1361" s="9"/>
    </row>
    <row r="1362" spans="1:17" ht="15">
      <c r="A1362" s="5" t="str">
        <f t="shared" si="64"/>
        <v/>
      </c>
      <c r="B1362" s="6"/>
      <c r="C1362" s="5" t="str">
        <f>IFERROR(VLOOKUP(B1362,Lists!$A$2:$B$25,2,FALSE),"")</f>
        <v/>
      </c>
      <c r="D1362" s="7"/>
      <c r="E1362" s="6"/>
      <c r="F1362" s="6" t="str">
        <f t="shared" si="65"/>
        <v/>
      </c>
      <c r="G1362" s="6"/>
      <c r="H1362" s="6"/>
      <c r="I1362" s="6"/>
      <c r="J1362" s="7"/>
      <c r="K1362" s="5" t="str" cm="1">
        <f t="array" ref="K1362">IF(OR(A1362="",B1362="",D1362="",E1362=""),"",A1362&amp;"_"&amp;SUBSTITUTE(B1362," ","-")&amp;"_"&amp;D1362&amp;"_"&amp;SUBSTITUTE(SUBSTITUTE(E1362," ",""),"€","Euro")&amp;"_"&amp;IF(F1362="","Unknown",F1362)&amp;IF(F1362="Commemorative",IF(G1362="","","_"&amp;SUBSTITUTE(SUBSTITUTE(SUBSTITUTE(G1362," ","-"),"/","-"),CHAR(39),"")),"")&amp;IF(I1362="Duplicate","_Dub"&amp;IF(SUMPRODUCT(($B$2:B1362=B1362)*($D$2:D1362=D1362)*($E$2:E1362=E1362)*($F$2:F1362=F1362)*($G$2:G1362=G1362)*($I$2:I1362="Duplicate"))&lt;=1,"",SUMPRODUCT(($B$2:B1362=B1362)*($D$2:D1362=D1362)*($E$2:E1362=E1362)*($F$2:F1362=F1362)*($G$2:G1362=G1362)*($I$2:I1362="Duplicate"))-1),"")&amp;".jpeg")</f>
        <v/>
      </c>
      <c r="L1362" s="6"/>
      <c r="M1362" s="5" t="str">
        <f>IFERROR(VLOOKUP(E1362,Specifications!$A$2:$D$9,2,FALSE),"")</f>
        <v/>
      </c>
      <c r="N1362" s="5" t="str">
        <f>IFERROR(VLOOKUP(E1362,Specifications!$A$2:$D$9,3,FALSE),"")</f>
        <v/>
      </c>
      <c r="O1362" s="5" t="str">
        <f>IFERROR(VLOOKUP(E1362,Specifications!$A$2:$D$9,4,FALSE),"")</f>
        <v/>
      </c>
      <c r="P1362" s="8" t="str">
        <f t="shared" si="66"/>
        <v/>
      </c>
      <c r="Q1362" s="9"/>
    </row>
    <row r="1363" spans="1:17" ht="15">
      <c r="A1363" s="5" t="str">
        <f t="shared" si="64"/>
        <v/>
      </c>
      <c r="B1363" s="6"/>
      <c r="C1363" s="5" t="str">
        <f>IFERROR(VLOOKUP(B1363,Lists!$A$2:$B$25,2,FALSE),"")</f>
        <v/>
      </c>
      <c r="D1363" s="7"/>
      <c r="E1363" s="6"/>
      <c r="F1363" s="6" t="str">
        <f t="shared" si="65"/>
        <v/>
      </c>
      <c r="G1363" s="6"/>
      <c r="H1363" s="6"/>
      <c r="I1363" s="6"/>
      <c r="J1363" s="7"/>
      <c r="K1363" s="5" t="str" cm="1">
        <f t="array" ref="K1363">IF(OR(A1363="",B1363="",D1363="",E1363=""),"",A1363&amp;"_"&amp;SUBSTITUTE(B1363," ","-")&amp;"_"&amp;D1363&amp;"_"&amp;SUBSTITUTE(SUBSTITUTE(E1363," ",""),"€","Euro")&amp;"_"&amp;IF(F1363="","Unknown",F1363)&amp;IF(F1363="Commemorative",IF(G1363="","","_"&amp;SUBSTITUTE(SUBSTITUTE(SUBSTITUTE(G1363," ","-"),"/","-"),CHAR(39),"")),"")&amp;IF(I1363="Duplicate","_Dub"&amp;IF(SUMPRODUCT(($B$2:B1363=B1363)*($D$2:D1363=D1363)*($E$2:E1363=E1363)*($F$2:F1363=F1363)*($G$2:G1363=G1363)*($I$2:I1363="Duplicate"))&lt;=1,"",SUMPRODUCT(($B$2:B1363=B1363)*($D$2:D1363=D1363)*($E$2:E1363=E1363)*($F$2:F1363=F1363)*($G$2:G1363=G1363)*($I$2:I1363="Duplicate"))-1),"")&amp;".jpeg")</f>
        <v/>
      </c>
      <c r="L1363" s="6"/>
      <c r="M1363" s="5" t="str">
        <f>IFERROR(VLOOKUP(E1363,Specifications!$A$2:$D$9,2,FALSE),"")</f>
        <v/>
      </c>
      <c r="N1363" s="5" t="str">
        <f>IFERROR(VLOOKUP(E1363,Specifications!$A$2:$D$9,3,FALSE),"")</f>
        <v/>
      </c>
      <c r="O1363" s="5" t="str">
        <f>IFERROR(VLOOKUP(E1363,Specifications!$A$2:$D$9,4,FALSE),"")</f>
        <v/>
      </c>
      <c r="P1363" s="8" t="str">
        <f t="shared" si="66"/>
        <v/>
      </c>
      <c r="Q1363" s="9"/>
    </row>
    <row r="1364" spans="1:17" ht="15">
      <c r="A1364" s="5" t="str">
        <f t="shared" si="64"/>
        <v/>
      </c>
      <c r="B1364" s="6"/>
      <c r="C1364" s="5" t="str">
        <f>IFERROR(VLOOKUP(B1364,Lists!$A$2:$B$25,2,FALSE),"")</f>
        <v/>
      </c>
      <c r="D1364" s="7"/>
      <c r="E1364" s="6"/>
      <c r="F1364" s="6" t="str">
        <f t="shared" si="65"/>
        <v/>
      </c>
      <c r="G1364" s="6"/>
      <c r="H1364" s="6"/>
      <c r="I1364" s="6"/>
      <c r="J1364" s="7"/>
      <c r="K1364" s="5" t="str" cm="1">
        <f t="array" ref="K1364">IF(OR(A1364="",B1364="",D1364="",E1364=""),"",A1364&amp;"_"&amp;SUBSTITUTE(B1364," ","-")&amp;"_"&amp;D1364&amp;"_"&amp;SUBSTITUTE(SUBSTITUTE(E1364," ",""),"€","Euro")&amp;"_"&amp;IF(F1364="","Unknown",F1364)&amp;IF(F1364="Commemorative",IF(G1364="","","_"&amp;SUBSTITUTE(SUBSTITUTE(SUBSTITUTE(G1364," ","-"),"/","-"),CHAR(39),"")),"")&amp;IF(I1364="Duplicate","_Dub"&amp;IF(SUMPRODUCT(($B$2:B1364=B1364)*($D$2:D1364=D1364)*($E$2:E1364=E1364)*($F$2:F1364=F1364)*($G$2:G1364=G1364)*($I$2:I1364="Duplicate"))&lt;=1,"",SUMPRODUCT(($B$2:B1364=B1364)*($D$2:D1364=D1364)*($E$2:E1364=E1364)*($F$2:F1364=F1364)*($G$2:G1364=G1364)*($I$2:I1364="Duplicate"))-1),"")&amp;".jpeg")</f>
        <v/>
      </c>
      <c r="L1364" s="6"/>
      <c r="M1364" s="5" t="str">
        <f>IFERROR(VLOOKUP(E1364,Specifications!$A$2:$D$9,2,FALSE),"")</f>
        <v/>
      </c>
      <c r="N1364" s="5" t="str">
        <f>IFERROR(VLOOKUP(E1364,Specifications!$A$2:$D$9,3,FALSE),"")</f>
        <v/>
      </c>
      <c r="O1364" s="5" t="str">
        <f>IFERROR(VLOOKUP(E1364,Specifications!$A$2:$D$9,4,FALSE),"")</f>
        <v/>
      </c>
      <c r="P1364" s="8" t="str">
        <f t="shared" si="66"/>
        <v/>
      </c>
      <c r="Q1364" s="9"/>
    </row>
    <row r="1365" spans="1:17" ht="15">
      <c r="A1365" s="5" t="str">
        <f t="shared" si="64"/>
        <v/>
      </c>
      <c r="B1365" s="6"/>
      <c r="C1365" s="5" t="str">
        <f>IFERROR(VLOOKUP(B1365,Lists!$A$2:$B$25,2,FALSE),"")</f>
        <v/>
      </c>
      <c r="D1365" s="7"/>
      <c r="E1365" s="6"/>
      <c r="F1365" s="6" t="str">
        <f t="shared" si="65"/>
        <v/>
      </c>
      <c r="G1365" s="6"/>
      <c r="H1365" s="6"/>
      <c r="I1365" s="6"/>
      <c r="J1365" s="7"/>
      <c r="K1365" s="5" t="str" cm="1">
        <f t="array" ref="K1365">IF(OR(A1365="",B1365="",D1365="",E1365=""),"",A1365&amp;"_"&amp;SUBSTITUTE(B1365," ","-")&amp;"_"&amp;D1365&amp;"_"&amp;SUBSTITUTE(SUBSTITUTE(E1365," ",""),"€","Euro")&amp;"_"&amp;IF(F1365="","Unknown",F1365)&amp;IF(F1365="Commemorative",IF(G1365="","","_"&amp;SUBSTITUTE(SUBSTITUTE(SUBSTITUTE(G1365," ","-"),"/","-"),CHAR(39),"")),"")&amp;IF(I1365="Duplicate","_Dub"&amp;IF(SUMPRODUCT(($B$2:B1365=B1365)*($D$2:D1365=D1365)*($E$2:E1365=E1365)*($F$2:F1365=F1365)*($G$2:G1365=G1365)*($I$2:I1365="Duplicate"))&lt;=1,"",SUMPRODUCT(($B$2:B1365=B1365)*($D$2:D1365=D1365)*($E$2:E1365=E1365)*($F$2:F1365=F1365)*($G$2:G1365=G1365)*($I$2:I1365="Duplicate"))-1),"")&amp;".jpeg")</f>
        <v/>
      </c>
      <c r="L1365" s="6"/>
      <c r="M1365" s="5" t="str">
        <f>IFERROR(VLOOKUP(E1365,Specifications!$A$2:$D$9,2,FALSE),"")</f>
        <v/>
      </c>
      <c r="N1365" s="5" t="str">
        <f>IFERROR(VLOOKUP(E1365,Specifications!$A$2:$D$9,3,FALSE),"")</f>
        <v/>
      </c>
      <c r="O1365" s="5" t="str">
        <f>IFERROR(VLOOKUP(E1365,Specifications!$A$2:$D$9,4,FALSE),"")</f>
        <v/>
      </c>
      <c r="P1365" s="8" t="str">
        <f t="shared" si="66"/>
        <v/>
      </c>
      <c r="Q1365" s="9"/>
    </row>
    <row r="1366" spans="1:17" ht="15">
      <c r="A1366" s="5" t="str">
        <f t="shared" si="64"/>
        <v/>
      </c>
      <c r="B1366" s="6"/>
      <c r="C1366" s="5" t="str">
        <f>IFERROR(VLOOKUP(B1366,Lists!$A$2:$B$25,2,FALSE),"")</f>
        <v/>
      </c>
      <c r="D1366" s="7"/>
      <c r="E1366" s="6"/>
      <c r="F1366" s="6" t="str">
        <f t="shared" si="65"/>
        <v/>
      </c>
      <c r="G1366" s="6"/>
      <c r="H1366" s="6"/>
      <c r="I1366" s="6"/>
      <c r="J1366" s="7"/>
      <c r="K1366" s="5" t="str" cm="1">
        <f t="array" ref="K1366">IF(OR(A1366="",B1366="",D1366="",E1366=""),"",A1366&amp;"_"&amp;SUBSTITUTE(B1366," ","-")&amp;"_"&amp;D1366&amp;"_"&amp;SUBSTITUTE(SUBSTITUTE(E1366," ",""),"€","Euro")&amp;"_"&amp;IF(F1366="","Unknown",F1366)&amp;IF(F1366="Commemorative",IF(G1366="","","_"&amp;SUBSTITUTE(SUBSTITUTE(SUBSTITUTE(G1366," ","-"),"/","-"),CHAR(39),"")),"")&amp;IF(I1366="Duplicate","_Dub"&amp;IF(SUMPRODUCT(($B$2:B1366=B1366)*($D$2:D1366=D1366)*($E$2:E1366=E1366)*($F$2:F1366=F1366)*($G$2:G1366=G1366)*($I$2:I1366="Duplicate"))&lt;=1,"",SUMPRODUCT(($B$2:B1366=B1366)*($D$2:D1366=D1366)*($E$2:E1366=E1366)*($F$2:F1366=F1366)*($G$2:G1366=G1366)*($I$2:I1366="Duplicate"))-1),"")&amp;".jpeg")</f>
        <v/>
      </c>
      <c r="L1366" s="6"/>
      <c r="M1366" s="5" t="str">
        <f>IFERROR(VLOOKUP(E1366,Specifications!$A$2:$D$9,2,FALSE),"")</f>
        <v/>
      </c>
      <c r="N1366" s="5" t="str">
        <f>IFERROR(VLOOKUP(E1366,Specifications!$A$2:$D$9,3,FALSE),"")</f>
        <v/>
      </c>
      <c r="O1366" s="5" t="str">
        <f>IFERROR(VLOOKUP(E1366,Specifications!$A$2:$D$9,4,FALSE),"")</f>
        <v/>
      </c>
      <c r="P1366" s="8" t="str">
        <f t="shared" si="66"/>
        <v/>
      </c>
      <c r="Q1366" s="9"/>
    </row>
    <row r="1367" spans="1:17" ht="15">
      <c r="A1367" s="5" t="str">
        <f t="shared" si="64"/>
        <v/>
      </c>
      <c r="B1367" s="6"/>
      <c r="C1367" s="5" t="str">
        <f>IFERROR(VLOOKUP(B1367,Lists!$A$2:$B$25,2,FALSE),"")</f>
        <v/>
      </c>
      <c r="D1367" s="7"/>
      <c r="E1367" s="6"/>
      <c r="F1367" s="6" t="str">
        <f t="shared" si="65"/>
        <v/>
      </c>
      <c r="G1367" s="6"/>
      <c r="H1367" s="6"/>
      <c r="I1367" s="6"/>
      <c r="J1367" s="7"/>
      <c r="K1367" s="5" t="str" cm="1">
        <f t="array" ref="K1367">IF(OR(A1367="",B1367="",D1367="",E1367=""),"",A1367&amp;"_"&amp;SUBSTITUTE(B1367," ","-")&amp;"_"&amp;D1367&amp;"_"&amp;SUBSTITUTE(SUBSTITUTE(E1367," ",""),"€","Euro")&amp;"_"&amp;IF(F1367="","Unknown",F1367)&amp;IF(F1367="Commemorative",IF(G1367="","","_"&amp;SUBSTITUTE(SUBSTITUTE(SUBSTITUTE(G1367," ","-"),"/","-"),CHAR(39),"")),"")&amp;IF(I1367="Duplicate","_Dub"&amp;IF(SUMPRODUCT(($B$2:B1367=B1367)*($D$2:D1367=D1367)*($E$2:E1367=E1367)*($F$2:F1367=F1367)*($G$2:G1367=G1367)*($I$2:I1367="Duplicate"))&lt;=1,"",SUMPRODUCT(($B$2:B1367=B1367)*($D$2:D1367=D1367)*($E$2:E1367=E1367)*($F$2:F1367=F1367)*($G$2:G1367=G1367)*($I$2:I1367="Duplicate"))-1),"")&amp;".jpeg")</f>
        <v/>
      </c>
      <c r="L1367" s="6"/>
      <c r="M1367" s="5" t="str">
        <f>IFERROR(VLOOKUP(E1367,Specifications!$A$2:$D$9,2,FALSE),"")</f>
        <v/>
      </c>
      <c r="N1367" s="5" t="str">
        <f>IFERROR(VLOOKUP(E1367,Specifications!$A$2:$D$9,3,FALSE),"")</f>
        <v/>
      </c>
      <c r="O1367" s="5" t="str">
        <f>IFERROR(VLOOKUP(E1367,Specifications!$A$2:$D$9,4,FALSE),"")</f>
        <v/>
      </c>
      <c r="P1367" s="8" t="str">
        <f t="shared" si="66"/>
        <v/>
      </c>
      <c r="Q1367" s="9"/>
    </row>
    <row r="1368" spans="1:17" ht="15">
      <c r="A1368" s="5" t="str">
        <f t="shared" si="64"/>
        <v/>
      </c>
      <c r="B1368" s="6"/>
      <c r="C1368" s="5" t="str">
        <f>IFERROR(VLOOKUP(B1368,Lists!$A$2:$B$25,2,FALSE),"")</f>
        <v/>
      </c>
      <c r="D1368" s="7"/>
      <c r="E1368" s="6"/>
      <c r="F1368" s="6" t="str">
        <f t="shared" si="65"/>
        <v/>
      </c>
      <c r="G1368" s="6"/>
      <c r="H1368" s="6"/>
      <c r="I1368" s="6"/>
      <c r="J1368" s="7"/>
      <c r="K1368" s="5" t="str" cm="1">
        <f t="array" ref="K1368">IF(OR(A1368="",B1368="",D1368="",E1368=""),"",A1368&amp;"_"&amp;SUBSTITUTE(B1368," ","-")&amp;"_"&amp;D1368&amp;"_"&amp;SUBSTITUTE(SUBSTITUTE(E1368," ",""),"€","Euro")&amp;"_"&amp;IF(F1368="","Unknown",F1368)&amp;IF(F1368="Commemorative",IF(G1368="","","_"&amp;SUBSTITUTE(SUBSTITUTE(SUBSTITUTE(G1368," ","-"),"/","-"),CHAR(39),"")),"")&amp;IF(I1368="Duplicate","_Dub"&amp;IF(SUMPRODUCT(($B$2:B1368=B1368)*($D$2:D1368=D1368)*($E$2:E1368=E1368)*($F$2:F1368=F1368)*($G$2:G1368=G1368)*($I$2:I1368="Duplicate"))&lt;=1,"",SUMPRODUCT(($B$2:B1368=B1368)*($D$2:D1368=D1368)*($E$2:E1368=E1368)*($F$2:F1368=F1368)*($G$2:G1368=G1368)*($I$2:I1368="Duplicate"))-1),"")&amp;".jpeg")</f>
        <v/>
      </c>
      <c r="L1368" s="6"/>
      <c r="M1368" s="5" t="str">
        <f>IFERROR(VLOOKUP(E1368,Specifications!$A$2:$D$9,2,FALSE),"")</f>
        <v/>
      </c>
      <c r="N1368" s="5" t="str">
        <f>IFERROR(VLOOKUP(E1368,Specifications!$A$2:$D$9,3,FALSE),"")</f>
        <v/>
      </c>
      <c r="O1368" s="5" t="str">
        <f>IFERROR(VLOOKUP(E1368,Specifications!$A$2:$D$9,4,FALSE),"")</f>
        <v/>
      </c>
      <c r="P1368" s="8" t="str">
        <f t="shared" si="66"/>
        <v/>
      </c>
      <c r="Q1368" s="9"/>
    </row>
    <row r="1369" spans="1:17" ht="15">
      <c r="A1369" s="5" t="str">
        <f t="shared" si="64"/>
        <v/>
      </c>
      <c r="B1369" s="6"/>
      <c r="C1369" s="5" t="str">
        <f>IFERROR(VLOOKUP(B1369,Lists!$A$2:$B$25,2,FALSE),"")</f>
        <v/>
      </c>
      <c r="D1369" s="7"/>
      <c r="E1369" s="6"/>
      <c r="F1369" s="6" t="str">
        <f t="shared" si="65"/>
        <v/>
      </c>
      <c r="G1369" s="6"/>
      <c r="H1369" s="6"/>
      <c r="I1369" s="6"/>
      <c r="J1369" s="7"/>
      <c r="K1369" s="5" t="str" cm="1">
        <f t="array" ref="K1369">IF(OR(A1369="",B1369="",D1369="",E1369=""),"",A1369&amp;"_"&amp;SUBSTITUTE(B1369," ","-")&amp;"_"&amp;D1369&amp;"_"&amp;SUBSTITUTE(SUBSTITUTE(E1369," ",""),"€","Euro")&amp;"_"&amp;IF(F1369="","Unknown",F1369)&amp;IF(F1369="Commemorative",IF(G1369="","","_"&amp;SUBSTITUTE(SUBSTITUTE(SUBSTITUTE(G1369," ","-"),"/","-"),CHAR(39),"")),"")&amp;IF(I1369="Duplicate","_Dub"&amp;IF(SUMPRODUCT(($B$2:B1369=B1369)*($D$2:D1369=D1369)*($E$2:E1369=E1369)*($F$2:F1369=F1369)*($G$2:G1369=G1369)*($I$2:I1369="Duplicate"))&lt;=1,"",SUMPRODUCT(($B$2:B1369=B1369)*($D$2:D1369=D1369)*($E$2:E1369=E1369)*($F$2:F1369=F1369)*($G$2:G1369=G1369)*($I$2:I1369="Duplicate"))-1),"")&amp;".jpeg")</f>
        <v/>
      </c>
      <c r="L1369" s="6"/>
      <c r="M1369" s="5" t="str">
        <f>IFERROR(VLOOKUP(E1369,Specifications!$A$2:$D$9,2,FALSE),"")</f>
        <v/>
      </c>
      <c r="N1369" s="5" t="str">
        <f>IFERROR(VLOOKUP(E1369,Specifications!$A$2:$D$9,3,FALSE),"")</f>
        <v/>
      </c>
      <c r="O1369" s="5" t="str">
        <f>IFERROR(VLOOKUP(E1369,Specifications!$A$2:$D$9,4,FALSE),"")</f>
        <v/>
      </c>
      <c r="P1369" s="8" t="str">
        <f t="shared" si="66"/>
        <v/>
      </c>
      <c r="Q1369" s="9"/>
    </row>
    <row r="1370" spans="1:17" ht="15">
      <c r="A1370" s="5" t="str">
        <f t="shared" si="64"/>
        <v/>
      </c>
      <c r="B1370" s="6"/>
      <c r="C1370" s="5" t="str">
        <f>IFERROR(VLOOKUP(B1370,Lists!$A$2:$B$25,2,FALSE),"")</f>
        <v/>
      </c>
      <c r="D1370" s="7"/>
      <c r="E1370" s="6"/>
      <c r="F1370" s="6" t="str">
        <f t="shared" si="65"/>
        <v/>
      </c>
      <c r="G1370" s="6"/>
      <c r="H1370" s="6"/>
      <c r="I1370" s="6"/>
      <c r="J1370" s="7"/>
      <c r="K1370" s="5" t="str" cm="1">
        <f t="array" ref="K1370">IF(OR(A1370="",B1370="",D1370="",E1370=""),"",A1370&amp;"_"&amp;SUBSTITUTE(B1370," ","-")&amp;"_"&amp;D1370&amp;"_"&amp;SUBSTITUTE(SUBSTITUTE(E1370," ",""),"€","Euro")&amp;"_"&amp;IF(F1370="","Unknown",F1370)&amp;IF(F1370="Commemorative",IF(G1370="","","_"&amp;SUBSTITUTE(SUBSTITUTE(SUBSTITUTE(G1370," ","-"),"/","-"),CHAR(39),"")),"")&amp;IF(I1370="Duplicate","_Dub"&amp;IF(SUMPRODUCT(($B$2:B1370=B1370)*($D$2:D1370=D1370)*($E$2:E1370=E1370)*($F$2:F1370=F1370)*($G$2:G1370=G1370)*($I$2:I1370="Duplicate"))&lt;=1,"",SUMPRODUCT(($B$2:B1370=B1370)*($D$2:D1370=D1370)*($E$2:E1370=E1370)*($F$2:F1370=F1370)*($G$2:G1370=G1370)*($I$2:I1370="Duplicate"))-1),"")&amp;".jpeg")</f>
        <v/>
      </c>
      <c r="L1370" s="6"/>
      <c r="M1370" s="5" t="str">
        <f>IFERROR(VLOOKUP(E1370,Specifications!$A$2:$D$9,2,FALSE),"")</f>
        <v/>
      </c>
      <c r="N1370" s="5" t="str">
        <f>IFERROR(VLOOKUP(E1370,Specifications!$A$2:$D$9,3,FALSE),"")</f>
        <v/>
      </c>
      <c r="O1370" s="5" t="str">
        <f>IFERROR(VLOOKUP(E1370,Specifications!$A$2:$D$9,4,FALSE),"")</f>
        <v/>
      </c>
      <c r="P1370" s="8" t="str">
        <f t="shared" si="66"/>
        <v/>
      </c>
      <c r="Q1370" s="9"/>
    </row>
    <row r="1371" spans="1:17" ht="15">
      <c r="A1371" s="5" t="str">
        <f t="shared" si="64"/>
        <v/>
      </c>
      <c r="B1371" s="6"/>
      <c r="C1371" s="5" t="str">
        <f>IFERROR(VLOOKUP(B1371,Lists!$A$2:$B$25,2,FALSE),"")</f>
        <v/>
      </c>
      <c r="D1371" s="7"/>
      <c r="E1371" s="6"/>
      <c r="F1371" s="6" t="str">
        <f t="shared" si="65"/>
        <v/>
      </c>
      <c r="G1371" s="6"/>
      <c r="H1371" s="6"/>
      <c r="I1371" s="6"/>
      <c r="J1371" s="7"/>
      <c r="K1371" s="5" t="str" cm="1">
        <f t="array" ref="K1371">IF(OR(A1371="",B1371="",D1371="",E1371=""),"",A1371&amp;"_"&amp;SUBSTITUTE(B1371," ","-")&amp;"_"&amp;D1371&amp;"_"&amp;SUBSTITUTE(SUBSTITUTE(E1371," ",""),"€","Euro")&amp;"_"&amp;IF(F1371="","Unknown",F1371)&amp;IF(F1371="Commemorative",IF(G1371="","","_"&amp;SUBSTITUTE(SUBSTITUTE(SUBSTITUTE(G1371," ","-"),"/","-"),CHAR(39),"")),"")&amp;IF(I1371="Duplicate","_Dub"&amp;IF(SUMPRODUCT(($B$2:B1371=B1371)*($D$2:D1371=D1371)*($E$2:E1371=E1371)*($F$2:F1371=F1371)*($G$2:G1371=G1371)*($I$2:I1371="Duplicate"))&lt;=1,"",SUMPRODUCT(($B$2:B1371=B1371)*($D$2:D1371=D1371)*($E$2:E1371=E1371)*($F$2:F1371=F1371)*($G$2:G1371=G1371)*($I$2:I1371="Duplicate"))-1),"")&amp;".jpeg")</f>
        <v/>
      </c>
      <c r="L1371" s="6"/>
      <c r="M1371" s="5" t="str">
        <f>IFERROR(VLOOKUP(E1371,Specifications!$A$2:$D$9,2,FALSE),"")</f>
        <v/>
      </c>
      <c r="N1371" s="5" t="str">
        <f>IFERROR(VLOOKUP(E1371,Specifications!$A$2:$D$9,3,FALSE),"")</f>
        <v/>
      </c>
      <c r="O1371" s="5" t="str">
        <f>IFERROR(VLOOKUP(E1371,Specifications!$A$2:$D$9,4,FALSE),"")</f>
        <v/>
      </c>
      <c r="P1371" s="8" t="str">
        <f t="shared" si="66"/>
        <v/>
      </c>
      <c r="Q1371" s="9"/>
    </row>
    <row r="1372" spans="1:17" ht="15">
      <c r="A1372" s="5" t="str">
        <f t="shared" si="64"/>
        <v/>
      </c>
      <c r="B1372" s="6"/>
      <c r="C1372" s="5" t="str">
        <f>IFERROR(VLOOKUP(B1372,Lists!$A$2:$B$25,2,FALSE),"")</f>
        <v/>
      </c>
      <c r="D1372" s="7"/>
      <c r="E1372" s="6"/>
      <c r="F1372" s="6" t="str">
        <f t="shared" si="65"/>
        <v/>
      </c>
      <c r="G1372" s="6"/>
      <c r="H1372" s="6"/>
      <c r="I1372" s="6"/>
      <c r="J1372" s="7"/>
      <c r="K1372" s="5" t="str" cm="1">
        <f t="array" ref="K1372">IF(OR(A1372="",B1372="",D1372="",E1372=""),"",A1372&amp;"_"&amp;SUBSTITUTE(B1372," ","-")&amp;"_"&amp;D1372&amp;"_"&amp;SUBSTITUTE(SUBSTITUTE(E1372," ",""),"€","Euro")&amp;"_"&amp;IF(F1372="","Unknown",F1372)&amp;IF(F1372="Commemorative",IF(G1372="","","_"&amp;SUBSTITUTE(SUBSTITUTE(SUBSTITUTE(G1372," ","-"),"/","-"),CHAR(39),"")),"")&amp;IF(I1372="Duplicate","_Dub"&amp;IF(SUMPRODUCT(($B$2:B1372=B1372)*($D$2:D1372=D1372)*($E$2:E1372=E1372)*($F$2:F1372=F1372)*($G$2:G1372=G1372)*($I$2:I1372="Duplicate"))&lt;=1,"",SUMPRODUCT(($B$2:B1372=B1372)*($D$2:D1372=D1372)*($E$2:E1372=E1372)*($F$2:F1372=F1372)*($G$2:G1372=G1372)*($I$2:I1372="Duplicate"))-1),"")&amp;".jpeg")</f>
        <v/>
      </c>
      <c r="L1372" s="6"/>
      <c r="M1372" s="5" t="str">
        <f>IFERROR(VLOOKUP(E1372,Specifications!$A$2:$D$9,2,FALSE),"")</f>
        <v/>
      </c>
      <c r="N1372" s="5" t="str">
        <f>IFERROR(VLOOKUP(E1372,Specifications!$A$2:$D$9,3,FALSE),"")</f>
        <v/>
      </c>
      <c r="O1372" s="5" t="str">
        <f>IFERROR(VLOOKUP(E1372,Specifications!$A$2:$D$9,4,FALSE),"")</f>
        <v/>
      </c>
      <c r="P1372" s="8" t="str">
        <f t="shared" si="66"/>
        <v/>
      </c>
      <c r="Q1372" s="9"/>
    </row>
    <row r="1373" spans="1:17" ht="15">
      <c r="A1373" s="5" t="str">
        <f t="shared" si="64"/>
        <v/>
      </c>
      <c r="B1373" s="6"/>
      <c r="C1373" s="5" t="str">
        <f>IFERROR(VLOOKUP(B1373,Lists!$A$2:$B$25,2,FALSE),"")</f>
        <v/>
      </c>
      <c r="D1373" s="7"/>
      <c r="E1373" s="6"/>
      <c r="F1373" s="6" t="str">
        <f t="shared" si="65"/>
        <v/>
      </c>
      <c r="G1373" s="6"/>
      <c r="H1373" s="6"/>
      <c r="I1373" s="6"/>
      <c r="J1373" s="7"/>
      <c r="K1373" s="5" t="str" cm="1">
        <f t="array" ref="K1373">IF(OR(A1373="",B1373="",D1373="",E1373=""),"",A1373&amp;"_"&amp;SUBSTITUTE(B1373," ","-")&amp;"_"&amp;D1373&amp;"_"&amp;SUBSTITUTE(SUBSTITUTE(E1373," ",""),"€","Euro")&amp;"_"&amp;IF(F1373="","Unknown",F1373)&amp;IF(F1373="Commemorative",IF(G1373="","","_"&amp;SUBSTITUTE(SUBSTITUTE(SUBSTITUTE(G1373," ","-"),"/","-"),CHAR(39),"")),"")&amp;IF(I1373="Duplicate","_Dub"&amp;IF(SUMPRODUCT(($B$2:B1373=B1373)*($D$2:D1373=D1373)*($E$2:E1373=E1373)*($F$2:F1373=F1373)*($G$2:G1373=G1373)*($I$2:I1373="Duplicate"))&lt;=1,"",SUMPRODUCT(($B$2:B1373=B1373)*($D$2:D1373=D1373)*($E$2:E1373=E1373)*($F$2:F1373=F1373)*($G$2:G1373=G1373)*($I$2:I1373="Duplicate"))-1),"")&amp;".jpeg")</f>
        <v/>
      </c>
      <c r="L1373" s="6"/>
      <c r="M1373" s="5" t="str">
        <f>IFERROR(VLOOKUP(E1373,Specifications!$A$2:$D$9,2,FALSE),"")</f>
        <v/>
      </c>
      <c r="N1373" s="5" t="str">
        <f>IFERROR(VLOOKUP(E1373,Specifications!$A$2:$D$9,3,FALSE),"")</f>
        <v/>
      </c>
      <c r="O1373" s="5" t="str">
        <f>IFERROR(VLOOKUP(E1373,Specifications!$A$2:$D$9,4,FALSE),"")</f>
        <v/>
      </c>
      <c r="P1373" s="8" t="str">
        <f t="shared" si="66"/>
        <v/>
      </c>
      <c r="Q1373" s="9"/>
    </row>
    <row r="1374" spans="1:17" ht="15">
      <c r="A1374" s="5" t="str">
        <f t="shared" si="64"/>
        <v/>
      </c>
      <c r="B1374" s="6"/>
      <c r="C1374" s="5" t="str">
        <f>IFERROR(VLOOKUP(B1374,Lists!$A$2:$B$25,2,FALSE),"")</f>
        <v/>
      </c>
      <c r="D1374" s="7"/>
      <c r="E1374" s="6"/>
      <c r="F1374" s="6" t="str">
        <f t="shared" si="65"/>
        <v/>
      </c>
      <c r="G1374" s="6"/>
      <c r="H1374" s="6"/>
      <c r="I1374" s="6"/>
      <c r="J1374" s="7"/>
      <c r="K1374" s="5" t="str" cm="1">
        <f t="array" ref="K1374">IF(OR(A1374="",B1374="",D1374="",E1374=""),"",A1374&amp;"_"&amp;SUBSTITUTE(B1374," ","-")&amp;"_"&amp;D1374&amp;"_"&amp;SUBSTITUTE(SUBSTITUTE(E1374," ",""),"€","Euro")&amp;"_"&amp;IF(F1374="","Unknown",F1374)&amp;IF(F1374="Commemorative",IF(G1374="","","_"&amp;SUBSTITUTE(SUBSTITUTE(SUBSTITUTE(G1374," ","-"),"/","-"),CHAR(39),"")),"")&amp;IF(I1374="Duplicate","_Dub"&amp;IF(SUMPRODUCT(($B$2:B1374=B1374)*($D$2:D1374=D1374)*($E$2:E1374=E1374)*($F$2:F1374=F1374)*($G$2:G1374=G1374)*($I$2:I1374="Duplicate"))&lt;=1,"",SUMPRODUCT(($B$2:B1374=B1374)*($D$2:D1374=D1374)*($E$2:E1374=E1374)*($F$2:F1374=F1374)*($G$2:G1374=G1374)*($I$2:I1374="Duplicate"))-1),"")&amp;".jpeg")</f>
        <v/>
      </c>
      <c r="L1374" s="6"/>
      <c r="M1374" s="5" t="str">
        <f>IFERROR(VLOOKUP(E1374,Specifications!$A$2:$D$9,2,FALSE),"")</f>
        <v/>
      </c>
      <c r="N1374" s="5" t="str">
        <f>IFERROR(VLOOKUP(E1374,Specifications!$A$2:$D$9,3,FALSE),"")</f>
        <v/>
      </c>
      <c r="O1374" s="5" t="str">
        <f>IFERROR(VLOOKUP(E1374,Specifications!$A$2:$D$9,4,FALSE),"")</f>
        <v/>
      </c>
      <c r="P1374" s="8" t="str">
        <f t="shared" si="66"/>
        <v/>
      </c>
      <c r="Q1374" s="9"/>
    </row>
    <row r="1375" spans="1:17" ht="15">
      <c r="A1375" s="5" t="str">
        <f t="shared" si="64"/>
        <v/>
      </c>
      <c r="B1375" s="6"/>
      <c r="C1375" s="5" t="str">
        <f>IFERROR(VLOOKUP(B1375,Lists!$A$2:$B$25,2,FALSE),"")</f>
        <v/>
      </c>
      <c r="D1375" s="7"/>
      <c r="E1375" s="6"/>
      <c r="F1375" s="6" t="str">
        <f t="shared" si="65"/>
        <v/>
      </c>
      <c r="G1375" s="6"/>
      <c r="H1375" s="6"/>
      <c r="I1375" s="6"/>
      <c r="J1375" s="7"/>
      <c r="K1375" s="5" t="str" cm="1">
        <f t="array" ref="K1375">IF(OR(A1375="",B1375="",D1375="",E1375=""),"",A1375&amp;"_"&amp;SUBSTITUTE(B1375," ","-")&amp;"_"&amp;D1375&amp;"_"&amp;SUBSTITUTE(SUBSTITUTE(E1375," ",""),"€","Euro")&amp;"_"&amp;IF(F1375="","Unknown",F1375)&amp;IF(F1375="Commemorative",IF(G1375="","","_"&amp;SUBSTITUTE(SUBSTITUTE(SUBSTITUTE(G1375," ","-"),"/","-"),CHAR(39),"")),"")&amp;IF(I1375="Duplicate","_Dub"&amp;IF(SUMPRODUCT(($B$2:B1375=B1375)*($D$2:D1375=D1375)*($E$2:E1375=E1375)*($F$2:F1375=F1375)*($G$2:G1375=G1375)*($I$2:I1375="Duplicate"))&lt;=1,"",SUMPRODUCT(($B$2:B1375=B1375)*($D$2:D1375=D1375)*($E$2:E1375=E1375)*($F$2:F1375=F1375)*($G$2:G1375=G1375)*($I$2:I1375="Duplicate"))-1),"")&amp;".jpeg")</f>
        <v/>
      </c>
      <c r="L1375" s="6"/>
      <c r="M1375" s="5" t="str">
        <f>IFERROR(VLOOKUP(E1375,Specifications!$A$2:$D$9,2,FALSE),"")</f>
        <v/>
      </c>
      <c r="N1375" s="5" t="str">
        <f>IFERROR(VLOOKUP(E1375,Specifications!$A$2:$D$9,3,FALSE),"")</f>
        <v/>
      </c>
      <c r="O1375" s="5" t="str">
        <f>IFERROR(VLOOKUP(E1375,Specifications!$A$2:$D$9,4,FALSE),"")</f>
        <v/>
      </c>
      <c r="P1375" s="8" t="str">
        <f t="shared" si="66"/>
        <v/>
      </c>
      <c r="Q1375" s="9"/>
    </row>
    <row r="1376" spans="1:17" ht="15">
      <c r="A1376" s="5" t="str">
        <f t="shared" si="64"/>
        <v/>
      </c>
      <c r="B1376" s="6"/>
      <c r="C1376" s="5" t="str">
        <f>IFERROR(VLOOKUP(B1376,Lists!$A$2:$B$25,2,FALSE),"")</f>
        <v/>
      </c>
      <c r="D1376" s="7"/>
      <c r="E1376" s="6"/>
      <c r="F1376" s="6" t="str">
        <f t="shared" si="65"/>
        <v/>
      </c>
      <c r="G1376" s="6"/>
      <c r="H1376" s="6"/>
      <c r="I1376" s="6"/>
      <c r="J1376" s="7"/>
      <c r="K1376" s="5" t="str" cm="1">
        <f t="array" ref="K1376">IF(OR(A1376="",B1376="",D1376="",E1376=""),"",A1376&amp;"_"&amp;SUBSTITUTE(B1376," ","-")&amp;"_"&amp;D1376&amp;"_"&amp;SUBSTITUTE(SUBSTITUTE(E1376," ",""),"€","Euro")&amp;"_"&amp;IF(F1376="","Unknown",F1376)&amp;IF(F1376="Commemorative",IF(G1376="","","_"&amp;SUBSTITUTE(SUBSTITUTE(SUBSTITUTE(G1376," ","-"),"/","-"),CHAR(39),"")),"")&amp;IF(I1376="Duplicate","_Dub"&amp;IF(SUMPRODUCT(($B$2:B1376=B1376)*($D$2:D1376=D1376)*($E$2:E1376=E1376)*($F$2:F1376=F1376)*($G$2:G1376=G1376)*($I$2:I1376="Duplicate"))&lt;=1,"",SUMPRODUCT(($B$2:B1376=B1376)*($D$2:D1376=D1376)*($E$2:E1376=E1376)*($F$2:F1376=F1376)*($G$2:G1376=G1376)*($I$2:I1376="Duplicate"))-1),"")&amp;".jpeg")</f>
        <v/>
      </c>
      <c r="L1376" s="6"/>
      <c r="M1376" s="5" t="str">
        <f>IFERROR(VLOOKUP(E1376,Specifications!$A$2:$D$9,2,FALSE),"")</f>
        <v/>
      </c>
      <c r="N1376" s="5" t="str">
        <f>IFERROR(VLOOKUP(E1376,Specifications!$A$2:$D$9,3,FALSE),"")</f>
        <v/>
      </c>
      <c r="O1376" s="5" t="str">
        <f>IFERROR(VLOOKUP(E1376,Specifications!$A$2:$D$9,4,FALSE),"")</f>
        <v/>
      </c>
      <c r="P1376" s="8" t="str">
        <f t="shared" si="66"/>
        <v/>
      </c>
      <c r="Q1376" s="9"/>
    </row>
    <row r="1377" spans="1:17" ht="15">
      <c r="A1377" s="5" t="str">
        <f t="shared" si="64"/>
        <v/>
      </c>
      <c r="B1377" s="6"/>
      <c r="C1377" s="5" t="str">
        <f>IFERROR(VLOOKUP(B1377,Lists!$A$2:$B$25,2,FALSE),"")</f>
        <v/>
      </c>
      <c r="D1377" s="7"/>
      <c r="E1377" s="6"/>
      <c r="F1377" s="6" t="str">
        <f t="shared" si="65"/>
        <v/>
      </c>
      <c r="G1377" s="6"/>
      <c r="H1377" s="6"/>
      <c r="I1377" s="6"/>
      <c r="J1377" s="7"/>
      <c r="K1377" s="5" t="str" cm="1">
        <f t="array" ref="K1377">IF(OR(A1377="",B1377="",D1377="",E1377=""),"",A1377&amp;"_"&amp;SUBSTITUTE(B1377," ","-")&amp;"_"&amp;D1377&amp;"_"&amp;SUBSTITUTE(SUBSTITUTE(E1377," ",""),"€","Euro")&amp;"_"&amp;IF(F1377="","Unknown",F1377)&amp;IF(F1377="Commemorative",IF(G1377="","","_"&amp;SUBSTITUTE(SUBSTITUTE(SUBSTITUTE(G1377," ","-"),"/","-"),CHAR(39),"")),"")&amp;IF(I1377="Duplicate","_Dub"&amp;IF(SUMPRODUCT(($B$2:B1377=B1377)*($D$2:D1377=D1377)*($E$2:E1377=E1377)*($F$2:F1377=F1377)*($G$2:G1377=G1377)*($I$2:I1377="Duplicate"))&lt;=1,"",SUMPRODUCT(($B$2:B1377=B1377)*($D$2:D1377=D1377)*($E$2:E1377=E1377)*($F$2:F1377=F1377)*($G$2:G1377=G1377)*($I$2:I1377="Duplicate"))-1),"")&amp;".jpeg")</f>
        <v/>
      </c>
      <c r="L1377" s="6"/>
      <c r="M1377" s="5" t="str">
        <f>IFERROR(VLOOKUP(E1377,Specifications!$A$2:$D$9,2,FALSE),"")</f>
        <v/>
      </c>
      <c r="N1377" s="5" t="str">
        <f>IFERROR(VLOOKUP(E1377,Specifications!$A$2:$D$9,3,FALSE),"")</f>
        <v/>
      </c>
      <c r="O1377" s="5" t="str">
        <f>IFERROR(VLOOKUP(E1377,Specifications!$A$2:$D$9,4,FALSE),"")</f>
        <v/>
      </c>
      <c r="P1377" s="8" t="str">
        <f t="shared" si="66"/>
        <v/>
      </c>
      <c r="Q1377" s="9"/>
    </row>
    <row r="1378" spans="1:17" ht="15">
      <c r="A1378" s="5" t="str">
        <f t="shared" si="64"/>
        <v/>
      </c>
      <c r="B1378" s="6"/>
      <c r="C1378" s="5" t="str">
        <f>IFERROR(VLOOKUP(B1378,Lists!$A$2:$B$25,2,FALSE),"")</f>
        <v/>
      </c>
      <c r="D1378" s="7"/>
      <c r="E1378" s="6"/>
      <c r="F1378" s="6" t="str">
        <f t="shared" si="65"/>
        <v/>
      </c>
      <c r="G1378" s="6"/>
      <c r="H1378" s="6"/>
      <c r="I1378" s="6"/>
      <c r="J1378" s="7"/>
      <c r="K1378" s="5" t="str" cm="1">
        <f t="array" ref="K1378">IF(OR(A1378="",B1378="",D1378="",E1378=""),"",A1378&amp;"_"&amp;SUBSTITUTE(B1378," ","-")&amp;"_"&amp;D1378&amp;"_"&amp;SUBSTITUTE(SUBSTITUTE(E1378," ",""),"€","Euro")&amp;"_"&amp;IF(F1378="","Unknown",F1378)&amp;IF(F1378="Commemorative",IF(G1378="","","_"&amp;SUBSTITUTE(SUBSTITUTE(SUBSTITUTE(G1378," ","-"),"/","-"),CHAR(39),"")),"")&amp;IF(I1378="Duplicate","_Dub"&amp;IF(SUMPRODUCT(($B$2:B1378=B1378)*($D$2:D1378=D1378)*($E$2:E1378=E1378)*($F$2:F1378=F1378)*($G$2:G1378=G1378)*($I$2:I1378="Duplicate"))&lt;=1,"",SUMPRODUCT(($B$2:B1378=B1378)*($D$2:D1378=D1378)*($E$2:E1378=E1378)*($F$2:F1378=F1378)*($G$2:G1378=G1378)*($I$2:I1378="Duplicate"))-1),"")&amp;".jpeg")</f>
        <v/>
      </c>
      <c r="L1378" s="6"/>
      <c r="M1378" s="5" t="str">
        <f>IFERROR(VLOOKUP(E1378,Specifications!$A$2:$D$9,2,FALSE),"")</f>
        <v/>
      </c>
      <c r="N1378" s="5" t="str">
        <f>IFERROR(VLOOKUP(E1378,Specifications!$A$2:$D$9,3,FALSE),"")</f>
        <v/>
      </c>
      <c r="O1378" s="5" t="str">
        <f>IFERROR(VLOOKUP(E1378,Specifications!$A$2:$D$9,4,FALSE),"")</f>
        <v/>
      </c>
      <c r="P1378" s="8" t="str">
        <f t="shared" si="66"/>
        <v/>
      </c>
      <c r="Q1378" s="9"/>
    </row>
    <row r="1379" spans="1:17" ht="15">
      <c r="A1379" s="5" t="str">
        <f t="shared" si="64"/>
        <v/>
      </c>
      <c r="B1379" s="6"/>
      <c r="C1379" s="5" t="str">
        <f>IFERROR(VLOOKUP(B1379,Lists!$A$2:$B$25,2,FALSE),"")</f>
        <v/>
      </c>
      <c r="D1379" s="7"/>
      <c r="E1379" s="6"/>
      <c r="F1379" s="6" t="str">
        <f t="shared" si="65"/>
        <v/>
      </c>
      <c r="G1379" s="6"/>
      <c r="H1379" s="6"/>
      <c r="I1379" s="6"/>
      <c r="J1379" s="7"/>
      <c r="K1379" s="5" t="str" cm="1">
        <f t="array" ref="K1379">IF(OR(A1379="",B1379="",D1379="",E1379=""),"",A1379&amp;"_"&amp;SUBSTITUTE(B1379," ","-")&amp;"_"&amp;D1379&amp;"_"&amp;SUBSTITUTE(SUBSTITUTE(E1379," ",""),"€","Euro")&amp;"_"&amp;IF(F1379="","Unknown",F1379)&amp;IF(F1379="Commemorative",IF(G1379="","","_"&amp;SUBSTITUTE(SUBSTITUTE(SUBSTITUTE(G1379," ","-"),"/","-"),CHAR(39),"")),"")&amp;IF(I1379="Duplicate","_Dub"&amp;IF(SUMPRODUCT(($B$2:B1379=B1379)*($D$2:D1379=D1379)*($E$2:E1379=E1379)*($F$2:F1379=F1379)*($G$2:G1379=G1379)*($I$2:I1379="Duplicate"))&lt;=1,"",SUMPRODUCT(($B$2:B1379=B1379)*($D$2:D1379=D1379)*($E$2:E1379=E1379)*($F$2:F1379=F1379)*($G$2:G1379=G1379)*($I$2:I1379="Duplicate"))-1),"")&amp;".jpeg")</f>
        <v/>
      </c>
      <c r="L1379" s="6"/>
      <c r="M1379" s="5" t="str">
        <f>IFERROR(VLOOKUP(E1379,Specifications!$A$2:$D$9,2,FALSE),"")</f>
        <v/>
      </c>
      <c r="N1379" s="5" t="str">
        <f>IFERROR(VLOOKUP(E1379,Specifications!$A$2:$D$9,3,FALSE),"")</f>
        <v/>
      </c>
      <c r="O1379" s="5" t="str">
        <f>IFERROR(VLOOKUP(E1379,Specifications!$A$2:$D$9,4,FALSE),"")</f>
        <v/>
      </c>
      <c r="P1379" s="8" t="str">
        <f t="shared" si="66"/>
        <v/>
      </c>
      <c r="Q1379" s="9"/>
    </row>
    <row r="1380" spans="1:17" ht="15">
      <c r="A1380" s="5" t="str">
        <f t="shared" si="64"/>
        <v/>
      </c>
      <c r="B1380" s="6"/>
      <c r="C1380" s="5" t="str">
        <f>IFERROR(VLOOKUP(B1380,Lists!$A$2:$B$25,2,FALSE),"")</f>
        <v/>
      </c>
      <c r="D1380" s="7"/>
      <c r="E1380" s="6"/>
      <c r="F1380" s="6" t="str">
        <f t="shared" si="65"/>
        <v/>
      </c>
      <c r="G1380" s="6"/>
      <c r="H1380" s="6"/>
      <c r="I1380" s="6"/>
      <c r="J1380" s="7"/>
      <c r="K1380" s="5" t="str" cm="1">
        <f t="array" ref="K1380">IF(OR(A1380="",B1380="",D1380="",E1380=""),"",A1380&amp;"_"&amp;SUBSTITUTE(B1380," ","-")&amp;"_"&amp;D1380&amp;"_"&amp;SUBSTITUTE(SUBSTITUTE(E1380," ",""),"€","Euro")&amp;"_"&amp;IF(F1380="","Unknown",F1380)&amp;IF(F1380="Commemorative",IF(G1380="","","_"&amp;SUBSTITUTE(SUBSTITUTE(SUBSTITUTE(G1380," ","-"),"/","-"),CHAR(39),"")),"")&amp;IF(I1380="Duplicate","_Dub"&amp;IF(SUMPRODUCT(($B$2:B1380=B1380)*($D$2:D1380=D1380)*($E$2:E1380=E1380)*($F$2:F1380=F1380)*($G$2:G1380=G1380)*($I$2:I1380="Duplicate"))&lt;=1,"",SUMPRODUCT(($B$2:B1380=B1380)*($D$2:D1380=D1380)*($E$2:E1380=E1380)*($F$2:F1380=F1380)*($G$2:G1380=G1380)*($I$2:I1380="Duplicate"))-1),"")&amp;".jpeg")</f>
        <v/>
      </c>
      <c r="L1380" s="6"/>
      <c r="M1380" s="5" t="str">
        <f>IFERROR(VLOOKUP(E1380,Specifications!$A$2:$D$9,2,FALSE),"")</f>
        <v/>
      </c>
      <c r="N1380" s="5" t="str">
        <f>IFERROR(VLOOKUP(E1380,Specifications!$A$2:$D$9,3,FALSE),"")</f>
        <v/>
      </c>
      <c r="O1380" s="5" t="str">
        <f>IFERROR(VLOOKUP(E1380,Specifications!$A$2:$D$9,4,FALSE),"")</f>
        <v/>
      </c>
      <c r="P1380" s="8" t="str">
        <f t="shared" si="66"/>
        <v/>
      </c>
      <c r="Q1380" s="9"/>
    </row>
    <row r="1381" spans="1:17" ht="15">
      <c r="A1381" s="5" t="str">
        <f t="shared" si="64"/>
        <v/>
      </c>
      <c r="B1381" s="6"/>
      <c r="C1381" s="5" t="str">
        <f>IFERROR(VLOOKUP(B1381,Lists!$A$2:$B$25,2,FALSE),"")</f>
        <v/>
      </c>
      <c r="D1381" s="7"/>
      <c r="E1381" s="6"/>
      <c r="F1381" s="6" t="str">
        <f t="shared" si="65"/>
        <v/>
      </c>
      <c r="G1381" s="6"/>
      <c r="H1381" s="6"/>
      <c r="I1381" s="6"/>
      <c r="J1381" s="7"/>
      <c r="K1381" s="5" t="str" cm="1">
        <f t="array" ref="K1381">IF(OR(A1381="",B1381="",D1381="",E1381=""),"",A1381&amp;"_"&amp;SUBSTITUTE(B1381," ","-")&amp;"_"&amp;D1381&amp;"_"&amp;SUBSTITUTE(SUBSTITUTE(E1381," ",""),"€","Euro")&amp;"_"&amp;IF(F1381="","Unknown",F1381)&amp;IF(F1381="Commemorative",IF(G1381="","","_"&amp;SUBSTITUTE(SUBSTITUTE(SUBSTITUTE(G1381," ","-"),"/","-"),CHAR(39),"")),"")&amp;IF(I1381="Duplicate","_Dub"&amp;IF(SUMPRODUCT(($B$2:B1381=B1381)*($D$2:D1381=D1381)*($E$2:E1381=E1381)*($F$2:F1381=F1381)*($G$2:G1381=G1381)*($I$2:I1381="Duplicate"))&lt;=1,"",SUMPRODUCT(($B$2:B1381=B1381)*($D$2:D1381=D1381)*($E$2:E1381=E1381)*($F$2:F1381=F1381)*($G$2:G1381=G1381)*($I$2:I1381="Duplicate"))-1),"")&amp;".jpeg")</f>
        <v/>
      </c>
      <c r="L1381" s="6"/>
      <c r="M1381" s="5" t="str">
        <f>IFERROR(VLOOKUP(E1381,Specifications!$A$2:$D$9,2,FALSE),"")</f>
        <v/>
      </c>
      <c r="N1381" s="5" t="str">
        <f>IFERROR(VLOOKUP(E1381,Specifications!$A$2:$D$9,3,FALSE),"")</f>
        <v/>
      </c>
      <c r="O1381" s="5" t="str">
        <f>IFERROR(VLOOKUP(E1381,Specifications!$A$2:$D$9,4,FALSE),"")</f>
        <v/>
      </c>
      <c r="P1381" s="8" t="str">
        <f t="shared" si="66"/>
        <v/>
      </c>
      <c r="Q1381" s="9"/>
    </row>
    <row r="1382" spans="1:17" ht="15">
      <c r="A1382" s="5" t="str">
        <f t="shared" si="64"/>
        <v/>
      </c>
      <c r="B1382" s="6"/>
      <c r="C1382" s="5" t="str">
        <f>IFERROR(VLOOKUP(B1382,Lists!$A$2:$B$25,2,FALSE),"")</f>
        <v/>
      </c>
      <c r="D1382" s="7"/>
      <c r="E1382" s="6"/>
      <c r="F1382" s="6" t="str">
        <f t="shared" si="65"/>
        <v/>
      </c>
      <c r="G1382" s="6"/>
      <c r="H1382" s="6"/>
      <c r="I1382" s="6"/>
      <c r="J1382" s="7"/>
      <c r="K1382" s="5" t="str" cm="1">
        <f t="array" ref="K1382">IF(OR(A1382="",B1382="",D1382="",E1382=""),"",A1382&amp;"_"&amp;SUBSTITUTE(B1382," ","-")&amp;"_"&amp;D1382&amp;"_"&amp;SUBSTITUTE(SUBSTITUTE(E1382," ",""),"€","Euro")&amp;"_"&amp;IF(F1382="","Unknown",F1382)&amp;IF(F1382="Commemorative",IF(G1382="","","_"&amp;SUBSTITUTE(SUBSTITUTE(SUBSTITUTE(G1382," ","-"),"/","-"),CHAR(39),"")),"")&amp;IF(I1382="Duplicate","_Dub"&amp;IF(SUMPRODUCT(($B$2:B1382=B1382)*($D$2:D1382=D1382)*($E$2:E1382=E1382)*($F$2:F1382=F1382)*($G$2:G1382=G1382)*($I$2:I1382="Duplicate"))&lt;=1,"",SUMPRODUCT(($B$2:B1382=B1382)*($D$2:D1382=D1382)*($E$2:E1382=E1382)*($F$2:F1382=F1382)*($G$2:G1382=G1382)*($I$2:I1382="Duplicate"))-1),"")&amp;".jpeg")</f>
        <v/>
      </c>
      <c r="L1382" s="6"/>
      <c r="M1382" s="5" t="str">
        <f>IFERROR(VLOOKUP(E1382,Specifications!$A$2:$D$9,2,FALSE),"")</f>
        <v/>
      </c>
      <c r="N1382" s="5" t="str">
        <f>IFERROR(VLOOKUP(E1382,Specifications!$A$2:$D$9,3,FALSE),"")</f>
        <v/>
      </c>
      <c r="O1382" s="5" t="str">
        <f>IFERROR(VLOOKUP(E1382,Specifications!$A$2:$D$9,4,FALSE),"")</f>
        <v/>
      </c>
      <c r="P1382" s="8" t="str">
        <f t="shared" si="66"/>
        <v/>
      </c>
      <c r="Q1382" s="9"/>
    </row>
    <row r="1383" spans="1:17" ht="15">
      <c r="A1383" s="5" t="str">
        <f t="shared" si="64"/>
        <v/>
      </c>
      <c r="B1383" s="6"/>
      <c r="C1383" s="5" t="str">
        <f>IFERROR(VLOOKUP(B1383,Lists!$A$2:$B$25,2,FALSE),"")</f>
        <v/>
      </c>
      <c r="D1383" s="7"/>
      <c r="E1383" s="6"/>
      <c r="F1383" s="6" t="str">
        <f t="shared" si="65"/>
        <v/>
      </c>
      <c r="G1383" s="6"/>
      <c r="H1383" s="6"/>
      <c r="I1383" s="6"/>
      <c r="J1383" s="7"/>
      <c r="K1383" s="5" t="str" cm="1">
        <f t="array" ref="K1383">IF(OR(A1383="",B1383="",D1383="",E1383=""),"",A1383&amp;"_"&amp;SUBSTITUTE(B1383," ","-")&amp;"_"&amp;D1383&amp;"_"&amp;SUBSTITUTE(SUBSTITUTE(E1383," ",""),"€","Euro")&amp;"_"&amp;IF(F1383="","Unknown",F1383)&amp;IF(F1383="Commemorative",IF(G1383="","","_"&amp;SUBSTITUTE(SUBSTITUTE(SUBSTITUTE(G1383," ","-"),"/","-"),CHAR(39),"")),"")&amp;IF(I1383="Duplicate","_Dub"&amp;IF(SUMPRODUCT(($B$2:B1383=B1383)*($D$2:D1383=D1383)*($E$2:E1383=E1383)*($F$2:F1383=F1383)*($G$2:G1383=G1383)*($I$2:I1383="Duplicate"))&lt;=1,"",SUMPRODUCT(($B$2:B1383=B1383)*($D$2:D1383=D1383)*($E$2:E1383=E1383)*($F$2:F1383=F1383)*($G$2:G1383=G1383)*($I$2:I1383="Duplicate"))-1),"")&amp;".jpeg")</f>
        <v/>
      </c>
      <c r="L1383" s="6"/>
      <c r="M1383" s="5" t="str">
        <f>IFERROR(VLOOKUP(E1383,Specifications!$A$2:$D$9,2,FALSE),"")</f>
        <v/>
      </c>
      <c r="N1383" s="5" t="str">
        <f>IFERROR(VLOOKUP(E1383,Specifications!$A$2:$D$9,3,FALSE),"")</f>
        <v/>
      </c>
      <c r="O1383" s="5" t="str">
        <f>IFERROR(VLOOKUP(E1383,Specifications!$A$2:$D$9,4,FALSE),"")</f>
        <v/>
      </c>
      <c r="P1383" s="8" t="str">
        <f t="shared" si="66"/>
        <v/>
      </c>
      <c r="Q1383" s="9"/>
    </row>
    <row r="1384" spans="1:17" ht="15">
      <c r="A1384" s="5" t="str">
        <f t="shared" si="64"/>
        <v/>
      </c>
      <c r="B1384" s="6"/>
      <c r="C1384" s="5" t="str">
        <f>IFERROR(VLOOKUP(B1384,Lists!$A$2:$B$25,2,FALSE),"")</f>
        <v/>
      </c>
      <c r="D1384" s="7"/>
      <c r="E1384" s="6"/>
      <c r="F1384" s="6" t="str">
        <f t="shared" si="65"/>
        <v/>
      </c>
      <c r="G1384" s="6"/>
      <c r="H1384" s="6"/>
      <c r="I1384" s="6"/>
      <c r="J1384" s="7"/>
      <c r="K1384" s="5" t="str" cm="1">
        <f t="array" ref="K1384">IF(OR(A1384="",B1384="",D1384="",E1384=""),"",A1384&amp;"_"&amp;SUBSTITUTE(B1384," ","-")&amp;"_"&amp;D1384&amp;"_"&amp;SUBSTITUTE(SUBSTITUTE(E1384," ",""),"€","Euro")&amp;"_"&amp;IF(F1384="","Unknown",F1384)&amp;IF(F1384="Commemorative",IF(G1384="","","_"&amp;SUBSTITUTE(SUBSTITUTE(SUBSTITUTE(G1384," ","-"),"/","-"),CHAR(39),"")),"")&amp;IF(I1384="Duplicate","_Dub"&amp;IF(SUMPRODUCT(($B$2:B1384=B1384)*($D$2:D1384=D1384)*($E$2:E1384=E1384)*($F$2:F1384=F1384)*($G$2:G1384=G1384)*($I$2:I1384="Duplicate"))&lt;=1,"",SUMPRODUCT(($B$2:B1384=B1384)*($D$2:D1384=D1384)*($E$2:E1384=E1384)*($F$2:F1384=F1384)*($G$2:G1384=G1384)*($I$2:I1384="Duplicate"))-1),"")&amp;".jpeg")</f>
        <v/>
      </c>
      <c r="L1384" s="6"/>
      <c r="M1384" s="5" t="str">
        <f>IFERROR(VLOOKUP(E1384,Specifications!$A$2:$D$9,2,FALSE),"")</f>
        <v/>
      </c>
      <c r="N1384" s="5" t="str">
        <f>IFERROR(VLOOKUP(E1384,Specifications!$A$2:$D$9,3,FALSE),"")</f>
        <v/>
      </c>
      <c r="O1384" s="5" t="str">
        <f>IFERROR(VLOOKUP(E1384,Specifications!$A$2:$D$9,4,FALSE),"")</f>
        <v/>
      </c>
      <c r="P1384" s="8" t="str">
        <f t="shared" si="66"/>
        <v/>
      </c>
      <c r="Q1384" s="9"/>
    </row>
    <row r="1385" spans="1:17" ht="15">
      <c r="A1385" s="5" t="str">
        <f t="shared" si="64"/>
        <v/>
      </c>
      <c r="B1385" s="6"/>
      <c r="C1385" s="5" t="str">
        <f>IFERROR(VLOOKUP(B1385,Lists!$A$2:$B$25,2,FALSE),"")</f>
        <v/>
      </c>
      <c r="D1385" s="7"/>
      <c r="E1385" s="6"/>
      <c r="F1385" s="6" t="str">
        <f t="shared" si="65"/>
        <v/>
      </c>
      <c r="G1385" s="6"/>
      <c r="H1385" s="6"/>
      <c r="I1385" s="6"/>
      <c r="J1385" s="7"/>
      <c r="K1385" s="5" t="str" cm="1">
        <f t="array" ref="K1385">IF(OR(A1385="",B1385="",D1385="",E1385=""),"",A1385&amp;"_"&amp;SUBSTITUTE(B1385," ","-")&amp;"_"&amp;D1385&amp;"_"&amp;SUBSTITUTE(SUBSTITUTE(E1385," ",""),"€","Euro")&amp;"_"&amp;IF(F1385="","Unknown",F1385)&amp;IF(F1385="Commemorative",IF(G1385="","","_"&amp;SUBSTITUTE(SUBSTITUTE(SUBSTITUTE(G1385," ","-"),"/","-"),CHAR(39),"")),"")&amp;IF(I1385="Duplicate","_Dub"&amp;IF(SUMPRODUCT(($B$2:B1385=B1385)*($D$2:D1385=D1385)*($E$2:E1385=E1385)*($F$2:F1385=F1385)*($G$2:G1385=G1385)*($I$2:I1385="Duplicate"))&lt;=1,"",SUMPRODUCT(($B$2:B1385=B1385)*($D$2:D1385=D1385)*($E$2:E1385=E1385)*($F$2:F1385=F1385)*($G$2:G1385=G1385)*($I$2:I1385="Duplicate"))-1),"")&amp;".jpeg")</f>
        <v/>
      </c>
      <c r="L1385" s="6"/>
      <c r="M1385" s="5" t="str">
        <f>IFERROR(VLOOKUP(E1385,Specifications!$A$2:$D$9,2,FALSE),"")</f>
        <v/>
      </c>
      <c r="N1385" s="5" t="str">
        <f>IFERROR(VLOOKUP(E1385,Specifications!$A$2:$D$9,3,FALSE),"")</f>
        <v/>
      </c>
      <c r="O1385" s="5" t="str">
        <f>IFERROR(VLOOKUP(E1385,Specifications!$A$2:$D$9,4,FALSE),"")</f>
        <v/>
      </c>
      <c r="P1385" s="8" t="str">
        <f t="shared" si="66"/>
        <v/>
      </c>
      <c r="Q1385" s="9"/>
    </row>
    <row r="1386" spans="1:17" ht="15">
      <c r="A1386" s="5" t="str">
        <f t="shared" si="64"/>
        <v/>
      </c>
      <c r="B1386" s="6"/>
      <c r="C1386" s="5" t="str">
        <f>IFERROR(VLOOKUP(B1386,Lists!$A$2:$B$25,2,FALSE),"")</f>
        <v/>
      </c>
      <c r="D1386" s="7"/>
      <c r="E1386" s="6"/>
      <c r="F1386" s="6" t="str">
        <f t="shared" si="65"/>
        <v/>
      </c>
      <c r="G1386" s="6"/>
      <c r="H1386" s="6"/>
      <c r="I1386" s="6"/>
      <c r="J1386" s="7"/>
      <c r="K1386" s="5" t="str" cm="1">
        <f t="array" ref="K1386">IF(OR(A1386="",B1386="",D1386="",E1386=""),"",A1386&amp;"_"&amp;SUBSTITUTE(B1386," ","-")&amp;"_"&amp;D1386&amp;"_"&amp;SUBSTITUTE(SUBSTITUTE(E1386," ",""),"€","Euro")&amp;"_"&amp;IF(F1386="","Unknown",F1386)&amp;IF(F1386="Commemorative",IF(G1386="","","_"&amp;SUBSTITUTE(SUBSTITUTE(SUBSTITUTE(G1386," ","-"),"/","-"),CHAR(39),"")),"")&amp;IF(I1386="Duplicate","_Dub"&amp;IF(SUMPRODUCT(($B$2:B1386=B1386)*($D$2:D1386=D1386)*($E$2:E1386=E1386)*($F$2:F1386=F1386)*($G$2:G1386=G1386)*($I$2:I1386="Duplicate"))&lt;=1,"",SUMPRODUCT(($B$2:B1386=B1386)*($D$2:D1386=D1386)*($E$2:E1386=E1386)*($F$2:F1386=F1386)*($G$2:G1386=G1386)*($I$2:I1386="Duplicate"))-1),"")&amp;".jpeg")</f>
        <v/>
      </c>
      <c r="L1386" s="6"/>
      <c r="M1386" s="5" t="str">
        <f>IFERROR(VLOOKUP(E1386,Specifications!$A$2:$D$9,2,FALSE),"")</f>
        <v/>
      </c>
      <c r="N1386" s="5" t="str">
        <f>IFERROR(VLOOKUP(E1386,Specifications!$A$2:$D$9,3,FALSE),"")</f>
        <v/>
      </c>
      <c r="O1386" s="5" t="str">
        <f>IFERROR(VLOOKUP(E1386,Specifications!$A$2:$D$9,4,FALSE),"")</f>
        <v/>
      </c>
      <c r="P1386" s="8" t="str">
        <f t="shared" si="66"/>
        <v/>
      </c>
      <c r="Q1386" s="9"/>
    </row>
    <row r="1387" spans="1:17" ht="15">
      <c r="A1387" s="5" t="str">
        <f t="shared" si="64"/>
        <v/>
      </c>
      <c r="B1387" s="6"/>
      <c r="C1387" s="5" t="str">
        <f>IFERROR(VLOOKUP(B1387,Lists!$A$2:$B$25,2,FALSE),"")</f>
        <v/>
      </c>
      <c r="D1387" s="7"/>
      <c r="E1387" s="6"/>
      <c r="F1387" s="6" t="str">
        <f t="shared" si="65"/>
        <v/>
      </c>
      <c r="G1387" s="6"/>
      <c r="H1387" s="6"/>
      <c r="I1387" s="6"/>
      <c r="J1387" s="7"/>
      <c r="K1387" s="5" t="str" cm="1">
        <f t="array" ref="K1387">IF(OR(A1387="",B1387="",D1387="",E1387=""),"",A1387&amp;"_"&amp;SUBSTITUTE(B1387," ","-")&amp;"_"&amp;D1387&amp;"_"&amp;SUBSTITUTE(SUBSTITUTE(E1387," ",""),"€","Euro")&amp;"_"&amp;IF(F1387="","Unknown",F1387)&amp;IF(F1387="Commemorative",IF(G1387="","","_"&amp;SUBSTITUTE(SUBSTITUTE(SUBSTITUTE(G1387," ","-"),"/","-"),CHAR(39),"")),"")&amp;IF(I1387="Duplicate","_Dub"&amp;IF(SUMPRODUCT(($B$2:B1387=B1387)*($D$2:D1387=D1387)*($E$2:E1387=E1387)*($F$2:F1387=F1387)*($G$2:G1387=G1387)*($I$2:I1387="Duplicate"))&lt;=1,"",SUMPRODUCT(($B$2:B1387=B1387)*($D$2:D1387=D1387)*($E$2:E1387=E1387)*($F$2:F1387=F1387)*($G$2:G1387=G1387)*($I$2:I1387="Duplicate"))-1),"")&amp;".jpeg")</f>
        <v/>
      </c>
      <c r="L1387" s="6"/>
      <c r="M1387" s="5" t="str">
        <f>IFERROR(VLOOKUP(E1387,Specifications!$A$2:$D$9,2,FALSE),"")</f>
        <v/>
      </c>
      <c r="N1387" s="5" t="str">
        <f>IFERROR(VLOOKUP(E1387,Specifications!$A$2:$D$9,3,FALSE),"")</f>
        <v/>
      </c>
      <c r="O1387" s="5" t="str">
        <f>IFERROR(VLOOKUP(E1387,Specifications!$A$2:$D$9,4,FALSE),"")</f>
        <v/>
      </c>
      <c r="P1387" s="8" t="str">
        <f t="shared" si="66"/>
        <v/>
      </c>
      <c r="Q1387" s="9"/>
    </row>
    <row r="1388" spans="1:17" ht="15">
      <c r="A1388" s="5" t="str">
        <f t="shared" si="64"/>
        <v/>
      </c>
      <c r="B1388" s="6"/>
      <c r="C1388" s="5" t="str">
        <f>IFERROR(VLOOKUP(B1388,Lists!$A$2:$B$25,2,FALSE),"")</f>
        <v/>
      </c>
      <c r="D1388" s="7"/>
      <c r="E1388" s="6"/>
      <c r="F1388" s="6" t="str">
        <f t="shared" si="65"/>
        <v/>
      </c>
      <c r="G1388" s="6"/>
      <c r="H1388" s="6"/>
      <c r="I1388" s="6"/>
      <c r="J1388" s="7"/>
      <c r="K1388" s="5" t="str" cm="1">
        <f t="array" ref="K1388">IF(OR(A1388="",B1388="",D1388="",E1388=""),"",A1388&amp;"_"&amp;SUBSTITUTE(B1388," ","-")&amp;"_"&amp;D1388&amp;"_"&amp;SUBSTITUTE(SUBSTITUTE(E1388," ",""),"€","Euro")&amp;"_"&amp;IF(F1388="","Unknown",F1388)&amp;IF(F1388="Commemorative",IF(G1388="","","_"&amp;SUBSTITUTE(SUBSTITUTE(SUBSTITUTE(G1388," ","-"),"/","-"),CHAR(39),"")),"")&amp;IF(I1388="Duplicate","_Dub"&amp;IF(SUMPRODUCT(($B$2:B1388=B1388)*($D$2:D1388=D1388)*($E$2:E1388=E1388)*($F$2:F1388=F1388)*($G$2:G1388=G1388)*($I$2:I1388="Duplicate"))&lt;=1,"",SUMPRODUCT(($B$2:B1388=B1388)*($D$2:D1388=D1388)*($E$2:E1388=E1388)*($F$2:F1388=F1388)*($G$2:G1388=G1388)*($I$2:I1388="Duplicate"))-1),"")&amp;".jpeg")</f>
        <v/>
      </c>
      <c r="L1388" s="6"/>
      <c r="M1388" s="5" t="str">
        <f>IFERROR(VLOOKUP(E1388,Specifications!$A$2:$D$9,2,FALSE),"")</f>
        <v/>
      </c>
      <c r="N1388" s="5" t="str">
        <f>IFERROR(VLOOKUP(E1388,Specifications!$A$2:$D$9,3,FALSE),"")</f>
        <v/>
      </c>
      <c r="O1388" s="5" t="str">
        <f>IFERROR(VLOOKUP(E1388,Specifications!$A$2:$D$9,4,FALSE),"")</f>
        <v/>
      </c>
      <c r="P1388" s="8" t="str">
        <f t="shared" si="66"/>
        <v/>
      </c>
      <c r="Q1388" s="9"/>
    </row>
    <row r="1389" spans="1:17" ht="15">
      <c r="A1389" s="5" t="str">
        <f t="shared" si="64"/>
        <v/>
      </c>
      <c r="B1389" s="6"/>
      <c r="C1389" s="5" t="str">
        <f>IFERROR(VLOOKUP(B1389,Lists!$A$2:$B$25,2,FALSE),"")</f>
        <v/>
      </c>
      <c r="D1389" s="7"/>
      <c r="E1389" s="6"/>
      <c r="F1389" s="6" t="str">
        <f t="shared" si="65"/>
        <v/>
      </c>
      <c r="G1389" s="6"/>
      <c r="H1389" s="6"/>
      <c r="I1389" s="6"/>
      <c r="J1389" s="7"/>
      <c r="K1389" s="5" t="str" cm="1">
        <f t="array" ref="K1389">IF(OR(A1389="",B1389="",D1389="",E1389=""),"",A1389&amp;"_"&amp;SUBSTITUTE(B1389," ","-")&amp;"_"&amp;D1389&amp;"_"&amp;SUBSTITUTE(SUBSTITUTE(E1389," ",""),"€","Euro")&amp;"_"&amp;IF(F1389="","Unknown",F1389)&amp;IF(F1389="Commemorative",IF(G1389="","","_"&amp;SUBSTITUTE(SUBSTITUTE(SUBSTITUTE(G1389," ","-"),"/","-"),CHAR(39),"")),"")&amp;IF(I1389="Duplicate","_Dub"&amp;IF(SUMPRODUCT(($B$2:B1389=B1389)*($D$2:D1389=D1389)*($E$2:E1389=E1389)*($F$2:F1389=F1389)*($G$2:G1389=G1389)*($I$2:I1389="Duplicate"))&lt;=1,"",SUMPRODUCT(($B$2:B1389=B1389)*($D$2:D1389=D1389)*($E$2:E1389=E1389)*($F$2:F1389=F1389)*($G$2:G1389=G1389)*($I$2:I1389="Duplicate"))-1),"")&amp;".jpeg")</f>
        <v/>
      </c>
      <c r="L1389" s="6"/>
      <c r="M1389" s="5" t="str">
        <f>IFERROR(VLOOKUP(E1389,Specifications!$A$2:$D$9,2,FALSE),"")</f>
        <v/>
      </c>
      <c r="N1389" s="5" t="str">
        <f>IFERROR(VLOOKUP(E1389,Specifications!$A$2:$D$9,3,FALSE),"")</f>
        <v/>
      </c>
      <c r="O1389" s="5" t="str">
        <f>IFERROR(VLOOKUP(E1389,Specifications!$A$2:$D$9,4,FALSE),"")</f>
        <v/>
      </c>
      <c r="P1389" s="8" t="str">
        <f t="shared" si="66"/>
        <v/>
      </c>
      <c r="Q1389" s="9"/>
    </row>
    <row r="1390" spans="1:17" ht="15">
      <c r="A1390" s="5" t="str">
        <f t="shared" si="64"/>
        <v/>
      </c>
      <c r="B1390" s="6"/>
      <c r="C1390" s="5" t="str">
        <f>IFERROR(VLOOKUP(B1390,Lists!$A$2:$B$25,2,FALSE),"")</f>
        <v/>
      </c>
      <c r="D1390" s="7"/>
      <c r="E1390" s="6"/>
      <c r="F1390" s="6" t="str">
        <f t="shared" si="65"/>
        <v/>
      </c>
      <c r="G1390" s="6"/>
      <c r="H1390" s="6"/>
      <c r="I1390" s="6"/>
      <c r="J1390" s="7"/>
      <c r="K1390" s="5" t="str" cm="1">
        <f t="array" ref="K1390">IF(OR(A1390="",B1390="",D1390="",E1390=""),"",A1390&amp;"_"&amp;SUBSTITUTE(B1390," ","-")&amp;"_"&amp;D1390&amp;"_"&amp;SUBSTITUTE(SUBSTITUTE(E1390," ",""),"€","Euro")&amp;"_"&amp;IF(F1390="","Unknown",F1390)&amp;IF(F1390="Commemorative",IF(G1390="","","_"&amp;SUBSTITUTE(SUBSTITUTE(SUBSTITUTE(G1390," ","-"),"/","-"),CHAR(39),"")),"")&amp;IF(I1390="Duplicate","_Dub"&amp;IF(SUMPRODUCT(($B$2:B1390=B1390)*($D$2:D1390=D1390)*($E$2:E1390=E1390)*($F$2:F1390=F1390)*($G$2:G1390=G1390)*($I$2:I1390="Duplicate"))&lt;=1,"",SUMPRODUCT(($B$2:B1390=B1390)*($D$2:D1390=D1390)*($E$2:E1390=E1390)*($F$2:F1390=F1390)*($G$2:G1390=G1390)*($I$2:I1390="Duplicate"))-1),"")&amp;".jpeg")</f>
        <v/>
      </c>
      <c r="L1390" s="6"/>
      <c r="M1390" s="5" t="str">
        <f>IFERROR(VLOOKUP(E1390,Specifications!$A$2:$D$9,2,FALSE),"")</f>
        <v/>
      </c>
      <c r="N1390" s="5" t="str">
        <f>IFERROR(VLOOKUP(E1390,Specifications!$A$2:$D$9,3,FALSE),"")</f>
        <v/>
      </c>
      <c r="O1390" s="5" t="str">
        <f>IFERROR(VLOOKUP(E1390,Specifications!$A$2:$D$9,4,FALSE),"")</f>
        <v/>
      </c>
      <c r="P1390" s="8" t="str">
        <f t="shared" si="66"/>
        <v/>
      </c>
      <c r="Q1390" s="9"/>
    </row>
    <row r="1391" spans="1:17" ht="15">
      <c r="A1391" s="5" t="str">
        <f t="shared" si="64"/>
        <v/>
      </c>
      <c r="B1391" s="6"/>
      <c r="C1391" s="5" t="str">
        <f>IFERROR(VLOOKUP(B1391,Lists!$A$2:$B$25,2,FALSE),"")</f>
        <v/>
      </c>
      <c r="D1391" s="7"/>
      <c r="E1391" s="6"/>
      <c r="F1391" s="6" t="str">
        <f t="shared" si="65"/>
        <v/>
      </c>
      <c r="G1391" s="6"/>
      <c r="H1391" s="6"/>
      <c r="I1391" s="6"/>
      <c r="J1391" s="7"/>
      <c r="K1391" s="5" t="str" cm="1">
        <f t="array" ref="K1391">IF(OR(A1391="",B1391="",D1391="",E1391=""),"",A1391&amp;"_"&amp;SUBSTITUTE(B1391," ","-")&amp;"_"&amp;D1391&amp;"_"&amp;SUBSTITUTE(SUBSTITUTE(E1391," ",""),"€","Euro")&amp;"_"&amp;IF(F1391="","Unknown",F1391)&amp;IF(F1391="Commemorative",IF(G1391="","","_"&amp;SUBSTITUTE(SUBSTITUTE(SUBSTITUTE(G1391," ","-"),"/","-"),CHAR(39),"")),"")&amp;IF(I1391="Duplicate","_Dub"&amp;IF(SUMPRODUCT(($B$2:B1391=B1391)*($D$2:D1391=D1391)*($E$2:E1391=E1391)*($F$2:F1391=F1391)*($G$2:G1391=G1391)*($I$2:I1391="Duplicate"))&lt;=1,"",SUMPRODUCT(($B$2:B1391=B1391)*($D$2:D1391=D1391)*($E$2:E1391=E1391)*($F$2:F1391=F1391)*($G$2:G1391=G1391)*($I$2:I1391="Duplicate"))-1),"")&amp;".jpeg")</f>
        <v/>
      </c>
      <c r="L1391" s="6"/>
      <c r="M1391" s="5" t="str">
        <f>IFERROR(VLOOKUP(E1391,Specifications!$A$2:$D$9,2,FALSE),"")</f>
        <v/>
      </c>
      <c r="N1391" s="5" t="str">
        <f>IFERROR(VLOOKUP(E1391,Specifications!$A$2:$D$9,3,FALSE),"")</f>
        <v/>
      </c>
      <c r="O1391" s="5" t="str">
        <f>IFERROR(VLOOKUP(E1391,Specifications!$A$2:$D$9,4,FALSE),"")</f>
        <v/>
      </c>
      <c r="P1391" s="8" t="str">
        <f t="shared" si="66"/>
        <v/>
      </c>
      <c r="Q1391" s="9"/>
    </row>
    <row r="1392" spans="1:17" ht="15">
      <c r="A1392" s="5" t="str">
        <f t="shared" si="64"/>
        <v/>
      </c>
      <c r="B1392" s="6"/>
      <c r="C1392" s="5" t="str">
        <f>IFERROR(VLOOKUP(B1392,Lists!$A$2:$B$25,2,FALSE),"")</f>
        <v/>
      </c>
      <c r="D1392" s="7"/>
      <c r="E1392" s="6"/>
      <c r="F1392" s="6" t="str">
        <f t="shared" si="65"/>
        <v/>
      </c>
      <c r="G1392" s="6"/>
      <c r="H1392" s="6"/>
      <c r="I1392" s="6"/>
      <c r="J1392" s="7"/>
      <c r="K1392" s="5" t="str" cm="1">
        <f t="array" ref="K1392">IF(OR(A1392="",B1392="",D1392="",E1392=""),"",A1392&amp;"_"&amp;SUBSTITUTE(B1392," ","-")&amp;"_"&amp;D1392&amp;"_"&amp;SUBSTITUTE(SUBSTITUTE(E1392," ",""),"€","Euro")&amp;"_"&amp;IF(F1392="","Unknown",F1392)&amp;IF(F1392="Commemorative",IF(G1392="","","_"&amp;SUBSTITUTE(SUBSTITUTE(SUBSTITUTE(G1392," ","-"),"/","-"),CHAR(39),"")),"")&amp;IF(I1392="Duplicate","_Dub"&amp;IF(SUMPRODUCT(($B$2:B1392=B1392)*($D$2:D1392=D1392)*($E$2:E1392=E1392)*($F$2:F1392=F1392)*($G$2:G1392=G1392)*($I$2:I1392="Duplicate"))&lt;=1,"",SUMPRODUCT(($B$2:B1392=B1392)*($D$2:D1392=D1392)*($E$2:E1392=E1392)*($F$2:F1392=F1392)*($G$2:G1392=G1392)*($I$2:I1392="Duplicate"))-1),"")&amp;".jpeg")</f>
        <v/>
      </c>
      <c r="L1392" s="6"/>
      <c r="M1392" s="5" t="str">
        <f>IFERROR(VLOOKUP(E1392,Specifications!$A$2:$D$9,2,FALSE),"")</f>
        <v/>
      </c>
      <c r="N1392" s="5" t="str">
        <f>IFERROR(VLOOKUP(E1392,Specifications!$A$2:$D$9,3,FALSE),"")</f>
        <v/>
      </c>
      <c r="O1392" s="5" t="str">
        <f>IFERROR(VLOOKUP(E1392,Specifications!$A$2:$D$9,4,FALSE),"")</f>
        <v/>
      </c>
      <c r="P1392" s="8" t="str">
        <f t="shared" si="66"/>
        <v/>
      </c>
      <c r="Q1392" s="9"/>
    </row>
    <row r="1393" spans="1:17" ht="15">
      <c r="A1393" s="5" t="str">
        <f t="shared" si="64"/>
        <v/>
      </c>
      <c r="B1393" s="6"/>
      <c r="C1393" s="5" t="str">
        <f>IFERROR(VLOOKUP(B1393,Lists!$A$2:$B$25,2,FALSE),"")</f>
        <v/>
      </c>
      <c r="D1393" s="7"/>
      <c r="E1393" s="6"/>
      <c r="F1393" s="6" t="str">
        <f t="shared" si="65"/>
        <v/>
      </c>
      <c r="G1393" s="6"/>
      <c r="H1393" s="6"/>
      <c r="I1393" s="6"/>
      <c r="J1393" s="7"/>
      <c r="K1393" s="5" t="str" cm="1">
        <f t="array" ref="K1393">IF(OR(A1393="",B1393="",D1393="",E1393=""),"",A1393&amp;"_"&amp;SUBSTITUTE(B1393," ","-")&amp;"_"&amp;D1393&amp;"_"&amp;SUBSTITUTE(SUBSTITUTE(E1393," ",""),"€","Euro")&amp;"_"&amp;IF(F1393="","Unknown",F1393)&amp;IF(F1393="Commemorative",IF(G1393="","","_"&amp;SUBSTITUTE(SUBSTITUTE(SUBSTITUTE(G1393," ","-"),"/","-"),CHAR(39),"")),"")&amp;IF(I1393="Duplicate","_Dub"&amp;IF(SUMPRODUCT(($B$2:B1393=B1393)*($D$2:D1393=D1393)*($E$2:E1393=E1393)*($F$2:F1393=F1393)*($G$2:G1393=G1393)*($I$2:I1393="Duplicate"))&lt;=1,"",SUMPRODUCT(($B$2:B1393=B1393)*($D$2:D1393=D1393)*($E$2:E1393=E1393)*($F$2:F1393=F1393)*($G$2:G1393=G1393)*($I$2:I1393="Duplicate"))-1),"")&amp;".jpeg")</f>
        <v/>
      </c>
      <c r="L1393" s="6"/>
      <c r="M1393" s="5" t="str">
        <f>IFERROR(VLOOKUP(E1393,Specifications!$A$2:$D$9,2,FALSE),"")</f>
        <v/>
      </c>
      <c r="N1393" s="5" t="str">
        <f>IFERROR(VLOOKUP(E1393,Specifications!$A$2:$D$9,3,FALSE),"")</f>
        <v/>
      </c>
      <c r="O1393" s="5" t="str">
        <f>IFERROR(VLOOKUP(E1393,Specifications!$A$2:$D$9,4,FALSE),"")</f>
        <v/>
      </c>
      <c r="P1393" s="8" t="str">
        <f t="shared" si="66"/>
        <v/>
      </c>
      <c r="Q1393" s="9"/>
    </row>
    <row r="1394" spans="1:17" ht="15">
      <c r="A1394" s="5" t="str">
        <f t="shared" si="64"/>
        <v/>
      </c>
      <c r="B1394" s="6"/>
      <c r="C1394" s="5" t="str">
        <f>IFERROR(VLOOKUP(B1394,Lists!$A$2:$B$25,2,FALSE),"")</f>
        <v/>
      </c>
      <c r="D1394" s="7"/>
      <c r="E1394" s="6"/>
      <c r="F1394" s="6" t="str">
        <f t="shared" si="65"/>
        <v/>
      </c>
      <c r="G1394" s="6"/>
      <c r="H1394" s="6"/>
      <c r="I1394" s="6"/>
      <c r="J1394" s="7"/>
      <c r="K1394" s="5" t="str" cm="1">
        <f t="array" ref="K1394">IF(OR(A1394="",B1394="",D1394="",E1394=""),"",A1394&amp;"_"&amp;SUBSTITUTE(B1394," ","-")&amp;"_"&amp;D1394&amp;"_"&amp;SUBSTITUTE(SUBSTITUTE(E1394," ",""),"€","Euro")&amp;"_"&amp;IF(F1394="","Unknown",F1394)&amp;IF(F1394="Commemorative",IF(G1394="","","_"&amp;SUBSTITUTE(SUBSTITUTE(SUBSTITUTE(G1394," ","-"),"/","-"),CHAR(39),"")),"")&amp;IF(I1394="Duplicate","_Dub"&amp;IF(SUMPRODUCT(($B$2:B1394=B1394)*($D$2:D1394=D1394)*($E$2:E1394=E1394)*($F$2:F1394=F1394)*($G$2:G1394=G1394)*($I$2:I1394="Duplicate"))&lt;=1,"",SUMPRODUCT(($B$2:B1394=B1394)*($D$2:D1394=D1394)*($E$2:E1394=E1394)*($F$2:F1394=F1394)*($G$2:G1394=G1394)*($I$2:I1394="Duplicate"))-1),"")&amp;".jpeg")</f>
        <v/>
      </c>
      <c r="L1394" s="6"/>
      <c r="M1394" s="5" t="str">
        <f>IFERROR(VLOOKUP(E1394,Specifications!$A$2:$D$9,2,FALSE),"")</f>
        <v/>
      </c>
      <c r="N1394" s="5" t="str">
        <f>IFERROR(VLOOKUP(E1394,Specifications!$A$2:$D$9,3,FALSE),"")</f>
        <v/>
      </c>
      <c r="O1394" s="5" t="str">
        <f>IFERROR(VLOOKUP(E1394,Specifications!$A$2:$D$9,4,FALSE),"")</f>
        <v/>
      </c>
      <c r="P1394" s="8" t="str">
        <f t="shared" si="66"/>
        <v/>
      </c>
      <c r="Q1394" s="9"/>
    </row>
    <row r="1395" spans="1:17" ht="15">
      <c r="A1395" s="5" t="str">
        <f t="shared" si="64"/>
        <v/>
      </c>
      <c r="B1395" s="6"/>
      <c r="C1395" s="5" t="str">
        <f>IFERROR(VLOOKUP(B1395,Lists!$A$2:$B$25,2,FALSE),"")</f>
        <v/>
      </c>
      <c r="D1395" s="7"/>
      <c r="E1395" s="6"/>
      <c r="F1395" s="6" t="str">
        <f t="shared" si="65"/>
        <v/>
      </c>
      <c r="G1395" s="6"/>
      <c r="H1395" s="6"/>
      <c r="I1395" s="6"/>
      <c r="J1395" s="7"/>
      <c r="K1395" s="5" t="str" cm="1">
        <f t="array" ref="K1395">IF(OR(A1395="",B1395="",D1395="",E1395=""),"",A1395&amp;"_"&amp;SUBSTITUTE(B1395," ","-")&amp;"_"&amp;D1395&amp;"_"&amp;SUBSTITUTE(SUBSTITUTE(E1395," ",""),"€","Euro")&amp;"_"&amp;IF(F1395="","Unknown",F1395)&amp;IF(F1395="Commemorative",IF(G1395="","","_"&amp;SUBSTITUTE(SUBSTITUTE(SUBSTITUTE(G1395," ","-"),"/","-"),CHAR(39),"")),"")&amp;IF(I1395="Duplicate","_Dub"&amp;IF(SUMPRODUCT(($B$2:B1395=B1395)*($D$2:D1395=D1395)*($E$2:E1395=E1395)*($F$2:F1395=F1395)*($G$2:G1395=G1395)*($I$2:I1395="Duplicate"))&lt;=1,"",SUMPRODUCT(($B$2:B1395=B1395)*($D$2:D1395=D1395)*($E$2:E1395=E1395)*($F$2:F1395=F1395)*($G$2:G1395=G1395)*($I$2:I1395="Duplicate"))-1),"")&amp;".jpeg")</f>
        <v/>
      </c>
      <c r="L1395" s="6"/>
      <c r="M1395" s="5" t="str">
        <f>IFERROR(VLOOKUP(E1395,Specifications!$A$2:$D$9,2,FALSE),"")</f>
        <v/>
      </c>
      <c r="N1395" s="5" t="str">
        <f>IFERROR(VLOOKUP(E1395,Specifications!$A$2:$D$9,3,FALSE),"")</f>
        <v/>
      </c>
      <c r="O1395" s="5" t="str">
        <f>IFERROR(VLOOKUP(E1395,Specifications!$A$2:$D$9,4,FALSE),"")</f>
        <v/>
      </c>
      <c r="P1395" s="8" t="str">
        <f t="shared" si="66"/>
        <v/>
      </c>
      <c r="Q1395" s="9"/>
    </row>
    <row r="1396" spans="1:17" ht="15">
      <c r="A1396" s="5" t="str">
        <f t="shared" si="64"/>
        <v/>
      </c>
      <c r="B1396" s="6"/>
      <c r="C1396" s="5" t="str">
        <f>IFERROR(VLOOKUP(B1396,Lists!$A$2:$B$25,2,FALSE),"")</f>
        <v/>
      </c>
      <c r="D1396" s="7"/>
      <c r="E1396" s="6"/>
      <c r="F1396" s="6" t="str">
        <f t="shared" si="65"/>
        <v/>
      </c>
      <c r="G1396" s="6"/>
      <c r="H1396" s="6"/>
      <c r="I1396" s="6"/>
      <c r="J1396" s="7"/>
      <c r="K1396" s="5" t="str" cm="1">
        <f t="array" ref="K1396">IF(OR(A1396="",B1396="",D1396="",E1396=""),"",A1396&amp;"_"&amp;SUBSTITUTE(B1396," ","-")&amp;"_"&amp;D1396&amp;"_"&amp;SUBSTITUTE(SUBSTITUTE(E1396," ",""),"€","Euro")&amp;"_"&amp;IF(F1396="","Unknown",F1396)&amp;IF(F1396="Commemorative",IF(G1396="","","_"&amp;SUBSTITUTE(SUBSTITUTE(SUBSTITUTE(G1396," ","-"),"/","-"),CHAR(39),"")),"")&amp;IF(I1396="Duplicate","_Dub"&amp;IF(SUMPRODUCT(($B$2:B1396=B1396)*($D$2:D1396=D1396)*($E$2:E1396=E1396)*($F$2:F1396=F1396)*($G$2:G1396=G1396)*($I$2:I1396="Duplicate"))&lt;=1,"",SUMPRODUCT(($B$2:B1396=B1396)*($D$2:D1396=D1396)*($E$2:E1396=E1396)*($F$2:F1396=F1396)*($G$2:G1396=G1396)*($I$2:I1396="Duplicate"))-1),"")&amp;".jpeg")</f>
        <v/>
      </c>
      <c r="L1396" s="6"/>
      <c r="M1396" s="5" t="str">
        <f>IFERROR(VLOOKUP(E1396,Specifications!$A$2:$D$9,2,FALSE),"")</f>
        <v/>
      </c>
      <c r="N1396" s="5" t="str">
        <f>IFERROR(VLOOKUP(E1396,Specifications!$A$2:$D$9,3,FALSE),"")</f>
        <v/>
      </c>
      <c r="O1396" s="5" t="str">
        <f>IFERROR(VLOOKUP(E1396,Specifications!$A$2:$D$9,4,FALSE),"")</f>
        <v/>
      </c>
      <c r="P1396" s="8" t="str">
        <f t="shared" si="66"/>
        <v/>
      </c>
      <c r="Q1396" s="9"/>
    </row>
    <row r="1397" spans="1:17" ht="15">
      <c r="A1397" s="5" t="str">
        <f t="shared" si="64"/>
        <v/>
      </c>
      <c r="B1397" s="6"/>
      <c r="C1397" s="5" t="str">
        <f>IFERROR(VLOOKUP(B1397,Lists!$A$2:$B$25,2,FALSE),"")</f>
        <v/>
      </c>
      <c r="D1397" s="7"/>
      <c r="E1397" s="6"/>
      <c r="F1397" s="6" t="str">
        <f t="shared" si="65"/>
        <v/>
      </c>
      <c r="G1397" s="6"/>
      <c r="H1397" s="6"/>
      <c r="I1397" s="6"/>
      <c r="J1397" s="7"/>
      <c r="K1397" s="5" t="str" cm="1">
        <f t="array" ref="K1397">IF(OR(A1397="",B1397="",D1397="",E1397=""),"",A1397&amp;"_"&amp;SUBSTITUTE(B1397," ","-")&amp;"_"&amp;D1397&amp;"_"&amp;SUBSTITUTE(SUBSTITUTE(E1397," ",""),"€","Euro")&amp;"_"&amp;IF(F1397="","Unknown",F1397)&amp;IF(F1397="Commemorative",IF(G1397="","","_"&amp;SUBSTITUTE(SUBSTITUTE(SUBSTITUTE(G1397," ","-"),"/","-"),CHAR(39),"")),"")&amp;IF(I1397="Duplicate","_Dub"&amp;IF(SUMPRODUCT(($B$2:B1397=B1397)*($D$2:D1397=D1397)*($E$2:E1397=E1397)*($F$2:F1397=F1397)*($G$2:G1397=G1397)*($I$2:I1397="Duplicate"))&lt;=1,"",SUMPRODUCT(($B$2:B1397=B1397)*($D$2:D1397=D1397)*($E$2:E1397=E1397)*($F$2:F1397=F1397)*($G$2:G1397=G1397)*($I$2:I1397="Duplicate"))-1),"")&amp;".jpeg")</f>
        <v/>
      </c>
      <c r="L1397" s="6"/>
      <c r="M1397" s="5" t="str">
        <f>IFERROR(VLOOKUP(E1397,Specifications!$A$2:$D$9,2,FALSE),"")</f>
        <v/>
      </c>
      <c r="N1397" s="5" t="str">
        <f>IFERROR(VLOOKUP(E1397,Specifications!$A$2:$D$9,3,FALSE),"")</f>
        <v/>
      </c>
      <c r="O1397" s="5" t="str">
        <f>IFERROR(VLOOKUP(E1397,Specifications!$A$2:$D$9,4,FALSE),"")</f>
        <v/>
      </c>
      <c r="P1397" s="8" t="str">
        <f t="shared" si="66"/>
        <v/>
      </c>
      <c r="Q1397" s="9"/>
    </row>
    <row r="1398" spans="1:17" ht="15">
      <c r="A1398" s="5" t="str">
        <f t="shared" si="64"/>
        <v/>
      </c>
      <c r="B1398" s="6"/>
      <c r="C1398" s="5" t="str">
        <f>IFERROR(VLOOKUP(B1398,Lists!$A$2:$B$25,2,FALSE),"")</f>
        <v/>
      </c>
      <c r="D1398" s="7"/>
      <c r="E1398" s="6"/>
      <c r="F1398" s="6" t="str">
        <f t="shared" si="65"/>
        <v/>
      </c>
      <c r="G1398" s="6"/>
      <c r="H1398" s="6"/>
      <c r="I1398" s="6"/>
      <c r="J1398" s="7"/>
      <c r="K1398" s="5" t="str" cm="1">
        <f t="array" ref="K1398">IF(OR(A1398="",B1398="",D1398="",E1398=""),"",A1398&amp;"_"&amp;SUBSTITUTE(B1398," ","-")&amp;"_"&amp;D1398&amp;"_"&amp;SUBSTITUTE(SUBSTITUTE(E1398," ",""),"€","Euro")&amp;"_"&amp;IF(F1398="","Unknown",F1398)&amp;IF(F1398="Commemorative",IF(G1398="","","_"&amp;SUBSTITUTE(SUBSTITUTE(SUBSTITUTE(G1398," ","-"),"/","-"),CHAR(39),"")),"")&amp;IF(I1398="Duplicate","_Dub"&amp;IF(SUMPRODUCT(($B$2:B1398=B1398)*($D$2:D1398=D1398)*($E$2:E1398=E1398)*($F$2:F1398=F1398)*($G$2:G1398=G1398)*($I$2:I1398="Duplicate"))&lt;=1,"",SUMPRODUCT(($B$2:B1398=B1398)*($D$2:D1398=D1398)*($E$2:E1398=E1398)*($F$2:F1398=F1398)*($G$2:G1398=G1398)*($I$2:I1398="Duplicate"))-1),"")&amp;".jpeg")</f>
        <v/>
      </c>
      <c r="L1398" s="6"/>
      <c r="M1398" s="5" t="str">
        <f>IFERROR(VLOOKUP(E1398,Specifications!$A$2:$D$9,2,FALSE),"")</f>
        <v/>
      </c>
      <c r="N1398" s="5" t="str">
        <f>IFERROR(VLOOKUP(E1398,Specifications!$A$2:$D$9,3,FALSE),"")</f>
        <v/>
      </c>
      <c r="O1398" s="5" t="str">
        <f>IFERROR(VLOOKUP(E1398,Specifications!$A$2:$D$9,4,FALSE),"")</f>
        <v/>
      </c>
      <c r="P1398" s="8" t="str">
        <f t="shared" si="66"/>
        <v/>
      </c>
      <c r="Q1398" s="9"/>
    </row>
    <row r="1399" spans="1:17" ht="15">
      <c r="A1399" s="5" t="str">
        <f t="shared" si="64"/>
        <v/>
      </c>
      <c r="B1399" s="6"/>
      <c r="C1399" s="5" t="str">
        <f>IFERROR(VLOOKUP(B1399,Lists!$A$2:$B$25,2,FALSE),"")</f>
        <v/>
      </c>
      <c r="D1399" s="7"/>
      <c r="E1399" s="6"/>
      <c r="F1399" s="6" t="str">
        <f t="shared" si="65"/>
        <v/>
      </c>
      <c r="G1399" s="6"/>
      <c r="H1399" s="6"/>
      <c r="I1399" s="6"/>
      <c r="J1399" s="7"/>
      <c r="K1399" s="5" t="str" cm="1">
        <f t="array" ref="K1399">IF(OR(A1399="",B1399="",D1399="",E1399=""),"",A1399&amp;"_"&amp;SUBSTITUTE(B1399," ","-")&amp;"_"&amp;D1399&amp;"_"&amp;SUBSTITUTE(SUBSTITUTE(E1399," ",""),"€","Euro")&amp;"_"&amp;IF(F1399="","Unknown",F1399)&amp;IF(F1399="Commemorative",IF(G1399="","","_"&amp;SUBSTITUTE(SUBSTITUTE(SUBSTITUTE(G1399," ","-"),"/","-"),CHAR(39),"")),"")&amp;IF(I1399="Duplicate","_Dub"&amp;IF(SUMPRODUCT(($B$2:B1399=B1399)*($D$2:D1399=D1399)*($E$2:E1399=E1399)*($F$2:F1399=F1399)*($G$2:G1399=G1399)*($I$2:I1399="Duplicate"))&lt;=1,"",SUMPRODUCT(($B$2:B1399=B1399)*($D$2:D1399=D1399)*($E$2:E1399=E1399)*($F$2:F1399=F1399)*($G$2:G1399=G1399)*($I$2:I1399="Duplicate"))-1),"")&amp;".jpeg")</f>
        <v/>
      </c>
      <c r="L1399" s="6"/>
      <c r="M1399" s="5" t="str">
        <f>IFERROR(VLOOKUP(E1399,Specifications!$A$2:$D$9,2,FALSE),"")</f>
        <v/>
      </c>
      <c r="N1399" s="5" t="str">
        <f>IFERROR(VLOOKUP(E1399,Specifications!$A$2:$D$9,3,FALSE),"")</f>
        <v/>
      </c>
      <c r="O1399" s="5" t="str">
        <f>IFERROR(VLOOKUP(E1399,Specifications!$A$2:$D$9,4,FALSE),"")</f>
        <v/>
      </c>
      <c r="P1399" s="8" t="str">
        <f t="shared" si="66"/>
        <v/>
      </c>
      <c r="Q1399" s="9"/>
    </row>
    <row r="1400" spans="1:17" ht="15">
      <c r="A1400" s="5" t="str">
        <f t="shared" si="64"/>
        <v/>
      </c>
      <c r="B1400" s="6"/>
      <c r="C1400" s="5" t="str">
        <f>IFERROR(VLOOKUP(B1400,Lists!$A$2:$B$25,2,FALSE),"")</f>
        <v/>
      </c>
      <c r="D1400" s="7"/>
      <c r="E1400" s="6"/>
      <c r="F1400" s="6" t="str">
        <f t="shared" si="65"/>
        <v/>
      </c>
      <c r="G1400" s="6"/>
      <c r="H1400" s="6"/>
      <c r="I1400" s="6"/>
      <c r="J1400" s="7"/>
      <c r="K1400" s="5" t="str" cm="1">
        <f t="array" ref="K1400">IF(OR(A1400="",B1400="",D1400="",E1400=""),"",A1400&amp;"_"&amp;SUBSTITUTE(B1400," ","-")&amp;"_"&amp;D1400&amp;"_"&amp;SUBSTITUTE(SUBSTITUTE(E1400," ",""),"€","Euro")&amp;"_"&amp;IF(F1400="","Unknown",F1400)&amp;IF(F1400="Commemorative",IF(G1400="","","_"&amp;SUBSTITUTE(SUBSTITUTE(SUBSTITUTE(G1400," ","-"),"/","-"),CHAR(39),"")),"")&amp;IF(I1400="Duplicate","_Dub"&amp;IF(SUMPRODUCT(($B$2:B1400=B1400)*($D$2:D1400=D1400)*($E$2:E1400=E1400)*($F$2:F1400=F1400)*($G$2:G1400=G1400)*($I$2:I1400="Duplicate"))&lt;=1,"",SUMPRODUCT(($B$2:B1400=B1400)*($D$2:D1400=D1400)*($E$2:E1400=E1400)*($F$2:F1400=F1400)*($G$2:G1400=G1400)*($I$2:I1400="Duplicate"))-1),"")&amp;".jpeg")</f>
        <v/>
      </c>
      <c r="L1400" s="6"/>
      <c r="M1400" s="5" t="str">
        <f>IFERROR(VLOOKUP(E1400,Specifications!$A$2:$D$9,2,FALSE),"")</f>
        <v/>
      </c>
      <c r="N1400" s="5" t="str">
        <f>IFERROR(VLOOKUP(E1400,Specifications!$A$2:$D$9,3,FALSE),"")</f>
        <v/>
      </c>
      <c r="O1400" s="5" t="str">
        <f>IFERROR(VLOOKUP(E1400,Specifications!$A$2:$D$9,4,FALSE),"")</f>
        <v/>
      </c>
      <c r="P1400" s="8" t="str">
        <f t="shared" si="66"/>
        <v/>
      </c>
      <c r="Q1400" s="9"/>
    </row>
    <row r="1401" spans="1:17" ht="15">
      <c r="A1401" s="5" t="str">
        <f t="shared" si="64"/>
        <v/>
      </c>
      <c r="B1401" s="6"/>
      <c r="C1401" s="5" t="str">
        <f>IFERROR(VLOOKUP(B1401,Lists!$A$2:$B$25,2,FALSE),"")</f>
        <v/>
      </c>
      <c r="D1401" s="7"/>
      <c r="E1401" s="6"/>
      <c r="F1401" s="6" t="str">
        <f t="shared" si="65"/>
        <v/>
      </c>
      <c r="G1401" s="6"/>
      <c r="H1401" s="6"/>
      <c r="I1401" s="6"/>
      <c r="J1401" s="7"/>
      <c r="K1401" s="5" t="str" cm="1">
        <f t="array" ref="K1401">IF(OR(A1401="",B1401="",D1401="",E1401=""),"",A1401&amp;"_"&amp;SUBSTITUTE(B1401," ","-")&amp;"_"&amp;D1401&amp;"_"&amp;SUBSTITUTE(SUBSTITUTE(E1401," ",""),"€","Euro")&amp;"_"&amp;IF(F1401="","Unknown",F1401)&amp;IF(F1401="Commemorative",IF(G1401="","","_"&amp;SUBSTITUTE(SUBSTITUTE(SUBSTITUTE(G1401," ","-"),"/","-"),CHAR(39),"")),"")&amp;IF(I1401="Duplicate","_Dub"&amp;IF(SUMPRODUCT(($B$2:B1401=B1401)*($D$2:D1401=D1401)*($E$2:E1401=E1401)*($F$2:F1401=F1401)*($G$2:G1401=G1401)*($I$2:I1401="Duplicate"))&lt;=1,"",SUMPRODUCT(($B$2:B1401=B1401)*($D$2:D1401=D1401)*($E$2:E1401=E1401)*($F$2:F1401=F1401)*($G$2:G1401=G1401)*($I$2:I1401="Duplicate"))-1),"")&amp;".jpeg")</f>
        <v/>
      </c>
      <c r="L1401" s="6"/>
      <c r="M1401" s="5" t="str">
        <f>IFERROR(VLOOKUP(E1401,Specifications!$A$2:$D$9,2,FALSE),"")</f>
        <v/>
      </c>
      <c r="N1401" s="5" t="str">
        <f>IFERROR(VLOOKUP(E1401,Specifications!$A$2:$D$9,3,FALSE),"")</f>
        <v/>
      </c>
      <c r="O1401" s="5" t="str">
        <f>IFERROR(VLOOKUP(E1401,Specifications!$A$2:$D$9,4,FALSE),"")</f>
        <v/>
      </c>
      <c r="P1401" s="8" t="str">
        <f t="shared" si="66"/>
        <v/>
      </c>
      <c r="Q1401" s="9"/>
    </row>
    <row r="1402" spans="1:17" ht="15">
      <c r="A1402" s="5" t="str">
        <f t="shared" si="64"/>
        <v/>
      </c>
      <c r="B1402" s="6"/>
      <c r="C1402" s="5" t="str">
        <f>IFERROR(VLOOKUP(B1402,Lists!$A$2:$B$25,2,FALSE),"")</f>
        <v/>
      </c>
      <c r="D1402" s="7"/>
      <c r="E1402" s="6"/>
      <c r="F1402" s="6" t="str">
        <f t="shared" si="65"/>
        <v/>
      </c>
      <c r="G1402" s="6"/>
      <c r="H1402" s="6"/>
      <c r="I1402" s="6"/>
      <c r="J1402" s="7"/>
      <c r="K1402" s="5" t="str" cm="1">
        <f t="array" ref="K1402">IF(OR(A1402="",B1402="",D1402="",E1402=""),"",A1402&amp;"_"&amp;SUBSTITUTE(B1402," ","-")&amp;"_"&amp;D1402&amp;"_"&amp;SUBSTITUTE(SUBSTITUTE(E1402," ",""),"€","Euro")&amp;"_"&amp;IF(F1402="","Unknown",F1402)&amp;IF(F1402="Commemorative",IF(G1402="","","_"&amp;SUBSTITUTE(SUBSTITUTE(SUBSTITUTE(G1402," ","-"),"/","-"),CHAR(39),"")),"")&amp;IF(I1402="Duplicate","_Dub"&amp;IF(SUMPRODUCT(($B$2:B1402=B1402)*($D$2:D1402=D1402)*($E$2:E1402=E1402)*($F$2:F1402=F1402)*($G$2:G1402=G1402)*($I$2:I1402="Duplicate"))&lt;=1,"",SUMPRODUCT(($B$2:B1402=B1402)*($D$2:D1402=D1402)*($E$2:E1402=E1402)*($F$2:F1402=F1402)*($G$2:G1402=G1402)*($I$2:I1402="Duplicate"))-1),"")&amp;".jpeg")</f>
        <v/>
      </c>
      <c r="L1402" s="6"/>
      <c r="M1402" s="5" t="str">
        <f>IFERROR(VLOOKUP(E1402,Specifications!$A$2:$D$9,2,FALSE),"")</f>
        <v/>
      </c>
      <c r="N1402" s="5" t="str">
        <f>IFERROR(VLOOKUP(E1402,Specifications!$A$2:$D$9,3,FALSE),"")</f>
        <v/>
      </c>
      <c r="O1402" s="5" t="str">
        <f>IFERROR(VLOOKUP(E1402,Specifications!$A$2:$D$9,4,FALSE),"")</f>
        <v/>
      </c>
      <c r="P1402" s="8" t="str">
        <f t="shared" si="66"/>
        <v/>
      </c>
      <c r="Q1402" s="9"/>
    </row>
    <row r="1403" spans="1:17" ht="15">
      <c r="A1403" s="5" t="str">
        <f t="shared" si="64"/>
        <v/>
      </c>
      <c r="B1403" s="6"/>
      <c r="C1403" s="5" t="str">
        <f>IFERROR(VLOOKUP(B1403,Lists!$A$2:$B$25,2,FALSE),"")</f>
        <v/>
      </c>
      <c r="D1403" s="7"/>
      <c r="E1403" s="6"/>
      <c r="F1403" s="6" t="str">
        <f t="shared" si="65"/>
        <v/>
      </c>
      <c r="G1403" s="6"/>
      <c r="H1403" s="6"/>
      <c r="I1403" s="6"/>
      <c r="J1403" s="7"/>
      <c r="K1403" s="5" t="str" cm="1">
        <f t="array" ref="K1403">IF(OR(A1403="",B1403="",D1403="",E1403=""),"",A1403&amp;"_"&amp;SUBSTITUTE(B1403," ","-")&amp;"_"&amp;D1403&amp;"_"&amp;SUBSTITUTE(SUBSTITUTE(E1403," ",""),"€","Euro")&amp;"_"&amp;IF(F1403="","Unknown",F1403)&amp;IF(F1403="Commemorative",IF(G1403="","","_"&amp;SUBSTITUTE(SUBSTITUTE(SUBSTITUTE(G1403," ","-"),"/","-"),CHAR(39),"")),"")&amp;IF(I1403="Duplicate","_Dub"&amp;IF(SUMPRODUCT(($B$2:B1403=B1403)*($D$2:D1403=D1403)*($E$2:E1403=E1403)*($F$2:F1403=F1403)*($G$2:G1403=G1403)*($I$2:I1403="Duplicate"))&lt;=1,"",SUMPRODUCT(($B$2:B1403=B1403)*($D$2:D1403=D1403)*($E$2:E1403=E1403)*($F$2:F1403=F1403)*($G$2:G1403=G1403)*($I$2:I1403="Duplicate"))-1),"")&amp;".jpeg")</f>
        <v/>
      </c>
      <c r="L1403" s="6"/>
      <c r="M1403" s="5" t="str">
        <f>IFERROR(VLOOKUP(E1403,Specifications!$A$2:$D$9,2,FALSE),"")</f>
        <v/>
      </c>
      <c r="N1403" s="5" t="str">
        <f>IFERROR(VLOOKUP(E1403,Specifications!$A$2:$D$9,3,FALSE),"")</f>
        <v/>
      </c>
      <c r="O1403" s="5" t="str">
        <f>IFERROR(VLOOKUP(E1403,Specifications!$A$2:$D$9,4,FALSE),"")</f>
        <v/>
      </c>
      <c r="P1403" s="8" t="str">
        <f t="shared" si="66"/>
        <v/>
      </c>
      <c r="Q1403" s="9"/>
    </row>
    <row r="1404" spans="1:17" ht="15">
      <c r="A1404" s="5" t="str">
        <f t="shared" si="64"/>
        <v/>
      </c>
      <c r="B1404" s="6"/>
      <c r="C1404" s="5" t="str">
        <f>IFERROR(VLOOKUP(B1404,Lists!$A$2:$B$25,2,FALSE),"")</f>
        <v/>
      </c>
      <c r="D1404" s="7"/>
      <c r="E1404" s="6"/>
      <c r="F1404" s="6" t="str">
        <f t="shared" si="65"/>
        <v/>
      </c>
      <c r="G1404" s="6"/>
      <c r="H1404" s="6"/>
      <c r="I1404" s="6"/>
      <c r="J1404" s="7"/>
      <c r="K1404" s="5" t="str" cm="1">
        <f t="array" ref="K1404">IF(OR(A1404="",B1404="",D1404="",E1404=""),"",A1404&amp;"_"&amp;SUBSTITUTE(B1404," ","-")&amp;"_"&amp;D1404&amp;"_"&amp;SUBSTITUTE(SUBSTITUTE(E1404," ",""),"€","Euro")&amp;"_"&amp;IF(F1404="","Unknown",F1404)&amp;IF(F1404="Commemorative",IF(G1404="","","_"&amp;SUBSTITUTE(SUBSTITUTE(SUBSTITUTE(G1404," ","-"),"/","-"),CHAR(39),"")),"")&amp;IF(I1404="Duplicate","_Dub"&amp;IF(SUMPRODUCT(($B$2:B1404=B1404)*($D$2:D1404=D1404)*($E$2:E1404=E1404)*($F$2:F1404=F1404)*($G$2:G1404=G1404)*($I$2:I1404="Duplicate"))&lt;=1,"",SUMPRODUCT(($B$2:B1404=B1404)*($D$2:D1404=D1404)*($E$2:E1404=E1404)*($F$2:F1404=F1404)*($G$2:G1404=G1404)*($I$2:I1404="Duplicate"))-1),"")&amp;".jpeg")</f>
        <v/>
      </c>
      <c r="L1404" s="6"/>
      <c r="M1404" s="5" t="str">
        <f>IFERROR(VLOOKUP(E1404,Specifications!$A$2:$D$9,2,FALSE),"")</f>
        <v/>
      </c>
      <c r="N1404" s="5" t="str">
        <f>IFERROR(VLOOKUP(E1404,Specifications!$A$2:$D$9,3,FALSE),"")</f>
        <v/>
      </c>
      <c r="O1404" s="5" t="str">
        <f>IFERROR(VLOOKUP(E1404,Specifications!$A$2:$D$9,4,FALSE),"")</f>
        <v/>
      </c>
      <c r="P1404" s="8" t="str">
        <f t="shared" si="66"/>
        <v/>
      </c>
      <c r="Q1404" s="9"/>
    </row>
    <row r="1405" spans="1:17" ht="15">
      <c r="A1405" s="5" t="str">
        <f t="shared" si="64"/>
        <v/>
      </c>
      <c r="B1405" s="6"/>
      <c r="C1405" s="5" t="str">
        <f>IFERROR(VLOOKUP(B1405,Lists!$A$2:$B$25,2,FALSE),"")</f>
        <v/>
      </c>
      <c r="D1405" s="7"/>
      <c r="E1405" s="6"/>
      <c r="F1405" s="6" t="str">
        <f t="shared" si="65"/>
        <v/>
      </c>
      <c r="G1405" s="6"/>
      <c r="H1405" s="6"/>
      <c r="I1405" s="6"/>
      <c r="J1405" s="7"/>
      <c r="K1405" s="5" t="str" cm="1">
        <f t="array" ref="K1405">IF(OR(A1405="",B1405="",D1405="",E1405=""),"",A1405&amp;"_"&amp;SUBSTITUTE(B1405," ","-")&amp;"_"&amp;D1405&amp;"_"&amp;SUBSTITUTE(SUBSTITUTE(E1405," ",""),"€","Euro")&amp;"_"&amp;IF(F1405="","Unknown",F1405)&amp;IF(F1405="Commemorative",IF(G1405="","","_"&amp;SUBSTITUTE(SUBSTITUTE(SUBSTITUTE(G1405," ","-"),"/","-"),CHAR(39),"")),"")&amp;IF(I1405="Duplicate","_Dub"&amp;IF(SUMPRODUCT(($B$2:B1405=B1405)*($D$2:D1405=D1405)*($E$2:E1405=E1405)*($F$2:F1405=F1405)*($G$2:G1405=G1405)*($I$2:I1405="Duplicate"))&lt;=1,"",SUMPRODUCT(($B$2:B1405=B1405)*($D$2:D1405=D1405)*($E$2:E1405=E1405)*($F$2:F1405=F1405)*($G$2:G1405=G1405)*($I$2:I1405="Duplicate"))-1),"")&amp;".jpeg")</f>
        <v/>
      </c>
      <c r="L1405" s="6"/>
      <c r="M1405" s="5" t="str">
        <f>IFERROR(VLOOKUP(E1405,Specifications!$A$2:$D$9,2,FALSE),"")</f>
        <v/>
      </c>
      <c r="N1405" s="5" t="str">
        <f>IFERROR(VLOOKUP(E1405,Specifications!$A$2:$D$9,3,FALSE),"")</f>
        <v/>
      </c>
      <c r="O1405" s="5" t="str">
        <f>IFERROR(VLOOKUP(E1405,Specifications!$A$2:$D$9,4,FALSE),"")</f>
        <v/>
      </c>
      <c r="P1405" s="8" t="str">
        <f t="shared" si="66"/>
        <v/>
      </c>
      <c r="Q1405" s="9"/>
    </row>
    <row r="1406" spans="1:17" ht="15">
      <c r="A1406" s="5" t="str">
        <f t="shared" si="64"/>
        <v/>
      </c>
      <c r="B1406" s="6"/>
      <c r="C1406" s="5" t="str">
        <f>IFERROR(VLOOKUP(B1406,Lists!$A$2:$B$25,2,FALSE),"")</f>
        <v/>
      </c>
      <c r="D1406" s="7"/>
      <c r="E1406" s="6"/>
      <c r="F1406" s="6" t="str">
        <f t="shared" si="65"/>
        <v/>
      </c>
      <c r="G1406" s="6"/>
      <c r="H1406" s="6"/>
      <c r="I1406" s="6"/>
      <c r="J1406" s="7"/>
      <c r="K1406" s="5" t="str" cm="1">
        <f t="array" ref="K1406">IF(OR(A1406="",B1406="",D1406="",E1406=""),"",A1406&amp;"_"&amp;SUBSTITUTE(B1406," ","-")&amp;"_"&amp;D1406&amp;"_"&amp;SUBSTITUTE(SUBSTITUTE(E1406," ",""),"€","Euro")&amp;"_"&amp;IF(F1406="","Unknown",F1406)&amp;IF(F1406="Commemorative",IF(G1406="","","_"&amp;SUBSTITUTE(SUBSTITUTE(SUBSTITUTE(G1406," ","-"),"/","-"),CHAR(39),"")),"")&amp;IF(I1406="Duplicate","_Dub"&amp;IF(SUMPRODUCT(($B$2:B1406=B1406)*($D$2:D1406=D1406)*($E$2:E1406=E1406)*($F$2:F1406=F1406)*($G$2:G1406=G1406)*($I$2:I1406="Duplicate"))&lt;=1,"",SUMPRODUCT(($B$2:B1406=B1406)*($D$2:D1406=D1406)*($E$2:E1406=E1406)*($F$2:F1406=F1406)*($G$2:G1406=G1406)*($I$2:I1406="Duplicate"))-1),"")&amp;".jpeg")</f>
        <v/>
      </c>
      <c r="L1406" s="6"/>
      <c r="M1406" s="5" t="str">
        <f>IFERROR(VLOOKUP(E1406,Specifications!$A$2:$D$9,2,FALSE),"")</f>
        <v/>
      </c>
      <c r="N1406" s="5" t="str">
        <f>IFERROR(VLOOKUP(E1406,Specifications!$A$2:$D$9,3,FALSE),"")</f>
        <v/>
      </c>
      <c r="O1406" s="5" t="str">
        <f>IFERROR(VLOOKUP(E1406,Specifications!$A$2:$D$9,4,FALSE),"")</f>
        <v/>
      </c>
      <c r="P1406" s="8" t="str">
        <f t="shared" si="66"/>
        <v/>
      </c>
      <c r="Q1406" s="9"/>
    </row>
    <row r="1407" spans="1:17" ht="15">
      <c r="A1407" s="5" t="str">
        <f t="shared" si="64"/>
        <v/>
      </c>
      <c r="B1407" s="6"/>
      <c r="C1407" s="5" t="str">
        <f>IFERROR(VLOOKUP(B1407,Lists!$A$2:$B$25,2,FALSE),"")</f>
        <v/>
      </c>
      <c r="D1407" s="7"/>
      <c r="E1407" s="6"/>
      <c r="F1407" s="6" t="str">
        <f t="shared" si="65"/>
        <v/>
      </c>
      <c r="G1407" s="6"/>
      <c r="H1407" s="6"/>
      <c r="I1407" s="6"/>
      <c r="J1407" s="7"/>
      <c r="K1407" s="5" t="str" cm="1">
        <f t="array" ref="K1407">IF(OR(A1407="",B1407="",D1407="",E1407=""),"",A1407&amp;"_"&amp;SUBSTITUTE(B1407," ","-")&amp;"_"&amp;D1407&amp;"_"&amp;SUBSTITUTE(SUBSTITUTE(E1407," ",""),"€","Euro")&amp;"_"&amp;IF(F1407="","Unknown",F1407)&amp;IF(F1407="Commemorative",IF(G1407="","","_"&amp;SUBSTITUTE(SUBSTITUTE(SUBSTITUTE(G1407," ","-"),"/","-"),CHAR(39),"")),"")&amp;IF(I1407="Duplicate","_Dub"&amp;IF(SUMPRODUCT(($B$2:B1407=B1407)*($D$2:D1407=D1407)*($E$2:E1407=E1407)*($F$2:F1407=F1407)*($G$2:G1407=G1407)*($I$2:I1407="Duplicate"))&lt;=1,"",SUMPRODUCT(($B$2:B1407=B1407)*($D$2:D1407=D1407)*($E$2:E1407=E1407)*($F$2:F1407=F1407)*($G$2:G1407=G1407)*($I$2:I1407="Duplicate"))-1),"")&amp;".jpeg")</f>
        <v/>
      </c>
      <c r="L1407" s="6"/>
      <c r="M1407" s="5" t="str">
        <f>IFERROR(VLOOKUP(E1407,Specifications!$A$2:$D$9,2,FALSE),"")</f>
        <v/>
      </c>
      <c r="N1407" s="5" t="str">
        <f>IFERROR(VLOOKUP(E1407,Specifications!$A$2:$D$9,3,FALSE),"")</f>
        <v/>
      </c>
      <c r="O1407" s="5" t="str">
        <f>IFERROR(VLOOKUP(E1407,Specifications!$A$2:$D$9,4,FALSE),"")</f>
        <v/>
      </c>
      <c r="P1407" s="8" t="str">
        <f t="shared" si="66"/>
        <v/>
      </c>
      <c r="Q1407" s="9"/>
    </row>
    <row r="1408" spans="1:17" ht="15">
      <c r="A1408" s="5" t="str">
        <f t="shared" si="64"/>
        <v/>
      </c>
      <c r="B1408" s="6"/>
      <c r="C1408" s="5" t="str">
        <f>IFERROR(VLOOKUP(B1408,Lists!$A$2:$B$25,2,FALSE),"")</f>
        <v/>
      </c>
      <c r="D1408" s="7"/>
      <c r="E1408" s="6"/>
      <c r="F1408" s="6" t="str">
        <f t="shared" si="65"/>
        <v/>
      </c>
      <c r="G1408" s="6"/>
      <c r="H1408" s="6"/>
      <c r="I1408" s="6"/>
      <c r="J1408" s="7"/>
      <c r="K1408" s="5" t="str" cm="1">
        <f t="array" ref="K1408">IF(OR(A1408="",B1408="",D1408="",E1408=""),"",A1408&amp;"_"&amp;SUBSTITUTE(B1408," ","-")&amp;"_"&amp;D1408&amp;"_"&amp;SUBSTITUTE(SUBSTITUTE(E1408," ",""),"€","Euro")&amp;"_"&amp;IF(F1408="","Unknown",F1408)&amp;IF(F1408="Commemorative",IF(G1408="","","_"&amp;SUBSTITUTE(SUBSTITUTE(SUBSTITUTE(G1408," ","-"),"/","-"),CHAR(39),"")),"")&amp;IF(I1408="Duplicate","_Dub"&amp;IF(SUMPRODUCT(($B$2:B1408=B1408)*($D$2:D1408=D1408)*($E$2:E1408=E1408)*($F$2:F1408=F1408)*($G$2:G1408=G1408)*($I$2:I1408="Duplicate"))&lt;=1,"",SUMPRODUCT(($B$2:B1408=B1408)*($D$2:D1408=D1408)*($E$2:E1408=E1408)*($F$2:F1408=F1408)*($G$2:G1408=G1408)*($I$2:I1408="Duplicate"))-1),"")&amp;".jpeg")</f>
        <v/>
      </c>
      <c r="L1408" s="6"/>
      <c r="M1408" s="5" t="str">
        <f>IFERROR(VLOOKUP(E1408,Specifications!$A$2:$D$9,2,FALSE),"")</f>
        <v/>
      </c>
      <c r="N1408" s="5" t="str">
        <f>IFERROR(VLOOKUP(E1408,Specifications!$A$2:$D$9,3,FALSE),"")</f>
        <v/>
      </c>
      <c r="O1408" s="5" t="str">
        <f>IFERROR(VLOOKUP(E1408,Specifications!$A$2:$D$9,4,FALSE),"")</f>
        <v/>
      </c>
      <c r="P1408" s="8" t="str">
        <f t="shared" si="66"/>
        <v/>
      </c>
      <c r="Q1408" s="9"/>
    </row>
    <row r="1409" spans="1:17" ht="15">
      <c r="A1409" s="5" t="str">
        <f t="shared" si="64"/>
        <v/>
      </c>
      <c r="B1409" s="6"/>
      <c r="C1409" s="5" t="str">
        <f>IFERROR(VLOOKUP(B1409,Lists!$A$2:$B$25,2,FALSE),"")</f>
        <v/>
      </c>
      <c r="D1409" s="7"/>
      <c r="E1409" s="6"/>
      <c r="F1409" s="6" t="str">
        <f t="shared" si="65"/>
        <v/>
      </c>
      <c r="G1409" s="6"/>
      <c r="H1409" s="6"/>
      <c r="I1409" s="6"/>
      <c r="J1409" s="7"/>
      <c r="K1409" s="5" t="str" cm="1">
        <f t="array" ref="K1409">IF(OR(A1409="",B1409="",D1409="",E1409=""),"",A1409&amp;"_"&amp;SUBSTITUTE(B1409," ","-")&amp;"_"&amp;D1409&amp;"_"&amp;SUBSTITUTE(SUBSTITUTE(E1409," ",""),"€","Euro")&amp;"_"&amp;IF(F1409="","Unknown",F1409)&amp;IF(F1409="Commemorative",IF(G1409="","","_"&amp;SUBSTITUTE(SUBSTITUTE(SUBSTITUTE(G1409," ","-"),"/","-"),CHAR(39),"")),"")&amp;IF(I1409="Duplicate","_Dub"&amp;IF(SUMPRODUCT(($B$2:B1409=B1409)*($D$2:D1409=D1409)*($E$2:E1409=E1409)*($F$2:F1409=F1409)*($G$2:G1409=G1409)*($I$2:I1409="Duplicate"))&lt;=1,"",SUMPRODUCT(($B$2:B1409=B1409)*($D$2:D1409=D1409)*($E$2:E1409=E1409)*($F$2:F1409=F1409)*($G$2:G1409=G1409)*($I$2:I1409="Duplicate"))-1),"")&amp;".jpeg")</f>
        <v/>
      </c>
      <c r="L1409" s="6"/>
      <c r="M1409" s="5" t="str">
        <f>IFERROR(VLOOKUP(E1409,Specifications!$A$2:$D$9,2,FALSE),"")</f>
        <v/>
      </c>
      <c r="N1409" s="5" t="str">
        <f>IFERROR(VLOOKUP(E1409,Specifications!$A$2:$D$9,3,FALSE),"")</f>
        <v/>
      </c>
      <c r="O1409" s="5" t="str">
        <f>IFERROR(VLOOKUP(E1409,Specifications!$A$2:$D$9,4,FALSE),"")</f>
        <v/>
      </c>
      <c r="P1409" s="8" t="str">
        <f t="shared" si="66"/>
        <v/>
      </c>
      <c r="Q1409" s="9"/>
    </row>
    <row r="1410" spans="1:17" ht="15">
      <c r="A1410" s="5" t="str">
        <f t="shared" ref="A1410:A1473" si="67">IF(B1410="","",TEXT(ROW()-1,"000"))</f>
        <v/>
      </c>
      <c r="B1410" s="6"/>
      <c r="C1410" s="5" t="str">
        <f>IFERROR(VLOOKUP(B1410,Lists!$A$2:$B$25,2,FALSE),"")</f>
        <v/>
      </c>
      <c r="D1410" s="7"/>
      <c r="E1410" s="6"/>
      <c r="F1410" s="6" t="str">
        <f t="shared" ref="F1410:F1473" si="68">IF(E1410="","",IF(E1410="2 €","", "Regular"))</f>
        <v/>
      </c>
      <c r="G1410" s="6"/>
      <c r="H1410" s="6"/>
      <c r="I1410" s="6"/>
      <c r="J1410" s="7"/>
      <c r="K1410" s="5" t="str" cm="1">
        <f t="array" ref="K1410">IF(OR(A1410="",B1410="",D1410="",E1410=""),"",A1410&amp;"_"&amp;SUBSTITUTE(B1410," ","-")&amp;"_"&amp;D1410&amp;"_"&amp;SUBSTITUTE(SUBSTITUTE(E1410," ",""),"€","Euro")&amp;"_"&amp;IF(F1410="","Unknown",F1410)&amp;IF(F1410="Commemorative",IF(G1410="","","_"&amp;SUBSTITUTE(SUBSTITUTE(SUBSTITUTE(G1410," ","-"),"/","-"),CHAR(39),"")),"")&amp;IF(I1410="Duplicate","_Dub"&amp;IF(SUMPRODUCT(($B$2:B1410=B1410)*($D$2:D1410=D1410)*($E$2:E1410=E1410)*($F$2:F1410=F1410)*($G$2:G1410=G1410)*($I$2:I1410="Duplicate"))&lt;=1,"",SUMPRODUCT(($B$2:B1410=B1410)*($D$2:D1410=D1410)*($E$2:E1410=E1410)*($F$2:F1410=F1410)*($G$2:G1410=G1410)*($I$2:I1410="Duplicate"))-1),"")&amp;".jpeg")</f>
        <v/>
      </c>
      <c r="L1410" s="6"/>
      <c r="M1410" s="5" t="str">
        <f>IFERROR(VLOOKUP(E1410,Specifications!$A$2:$D$9,2,FALSE),"")</f>
        <v/>
      </c>
      <c r="N1410" s="5" t="str">
        <f>IFERROR(VLOOKUP(E1410,Specifications!$A$2:$D$9,3,FALSE),"")</f>
        <v/>
      </c>
      <c r="O1410" s="5" t="str">
        <f>IFERROR(VLOOKUP(E1410,Specifications!$A$2:$D$9,4,FALSE),"")</f>
        <v/>
      </c>
      <c r="P1410" s="8" t="str">
        <f t="shared" ref="P1410:P1473" si="69">IF(OR(B1410="",E1410="",F1410=""),"",IF(F1410="Regular","Regular "&amp;E1410&amp;" circulation coin of "&amp;B1410&amp;".",IF(F1410="Commemorative",IF(G1410="","",E1410&amp;" commemorative coin of "&amp;B1410&amp;" – "&amp;G1410&amp;"."),"")))</f>
        <v/>
      </c>
      <c r="Q1410" s="9"/>
    </row>
    <row r="1411" spans="1:17" ht="15">
      <c r="A1411" s="5" t="str">
        <f t="shared" si="67"/>
        <v/>
      </c>
      <c r="B1411" s="6"/>
      <c r="C1411" s="5" t="str">
        <f>IFERROR(VLOOKUP(B1411,Lists!$A$2:$B$25,2,FALSE),"")</f>
        <v/>
      </c>
      <c r="D1411" s="7"/>
      <c r="E1411" s="6"/>
      <c r="F1411" s="6" t="str">
        <f t="shared" si="68"/>
        <v/>
      </c>
      <c r="G1411" s="6"/>
      <c r="H1411" s="6"/>
      <c r="I1411" s="6"/>
      <c r="J1411" s="7"/>
      <c r="K1411" s="5" t="str" cm="1">
        <f t="array" ref="K1411">IF(OR(A1411="",B1411="",D1411="",E1411=""),"",A1411&amp;"_"&amp;SUBSTITUTE(B1411," ","-")&amp;"_"&amp;D1411&amp;"_"&amp;SUBSTITUTE(SUBSTITUTE(E1411," ",""),"€","Euro")&amp;"_"&amp;IF(F1411="","Unknown",F1411)&amp;IF(F1411="Commemorative",IF(G1411="","","_"&amp;SUBSTITUTE(SUBSTITUTE(SUBSTITUTE(G1411," ","-"),"/","-"),CHAR(39),"")),"")&amp;IF(I1411="Duplicate","_Dub"&amp;IF(SUMPRODUCT(($B$2:B1411=B1411)*($D$2:D1411=D1411)*($E$2:E1411=E1411)*($F$2:F1411=F1411)*($G$2:G1411=G1411)*($I$2:I1411="Duplicate"))&lt;=1,"",SUMPRODUCT(($B$2:B1411=B1411)*($D$2:D1411=D1411)*($E$2:E1411=E1411)*($F$2:F1411=F1411)*($G$2:G1411=G1411)*($I$2:I1411="Duplicate"))-1),"")&amp;".jpeg")</f>
        <v/>
      </c>
      <c r="L1411" s="6"/>
      <c r="M1411" s="5" t="str">
        <f>IFERROR(VLOOKUP(E1411,Specifications!$A$2:$D$9,2,FALSE),"")</f>
        <v/>
      </c>
      <c r="N1411" s="5" t="str">
        <f>IFERROR(VLOOKUP(E1411,Specifications!$A$2:$D$9,3,FALSE),"")</f>
        <v/>
      </c>
      <c r="O1411" s="5" t="str">
        <f>IFERROR(VLOOKUP(E1411,Specifications!$A$2:$D$9,4,FALSE),"")</f>
        <v/>
      </c>
      <c r="P1411" s="8" t="str">
        <f t="shared" si="69"/>
        <v/>
      </c>
      <c r="Q1411" s="9"/>
    </row>
    <row r="1412" spans="1:17" ht="15">
      <c r="A1412" s="5" t="str">
        <f t="shared" si="67"/>
        <v/>
      </c>
      <c r="B1412" s="6"/>
      <c r="C1412" s="5" t="str">
        <f>IFERROR(VLOOKUP(B1412,Lists!$A$2:$B$25,2,FALSE),"")</f>
        <v/>
      </c>
      <c r="D1412" s="7"/>
      <c r="E1412" s="6"/>
      <c r="F1412" s="6" t="str">
        <f t="shared" si="68"/>
        <v/>
      </c>
      <c r="G1412" s="6"/>
      <c r="H1412" s="6"/>
      <c r="I1412" s="6"/>
      <c r="J1412" s="7"/>
      <c r="K1412" s="5" t="str" cm="1">
        <f t="array" ref="K1412">IF(OR(A1412="",B1412="",D1412="",E1412=""),"",A1412&amp;"_"&amp;SUBSTITUTE(B1412," ","-")&amp;"_"&amp;D1412&amp;"_"&amp;SUBSTITUTE(SUBSTITUTE(E1412," ",""),"€","Euro")&amp;"_"&amp;IF(F1412="","Unknown",F1412)&amp;IF(F1412="Commemorative",IF(G1412="","","_"&amp;SUBSTITUTE(SUBSTITUTE(SUBSTITUTE(G1412," ","-"),"/","-"),CHAR(39),"")),"")&amp;IF(I1412="Duplicate","_Dub"&amp;IF(SUMPRODUCT(($B$2:B1412=B1412)*($D$2:D1412=D1412)*($E$2:E1412=E1412)*($F$2:F1412=F1412)*($G$2:G1412=G1412)*($I$2:I1412="Duplicate"))&lt;=1,"",SUMPRODUCT(($B$2:B1412=B1412)*($D$2:D1412=D1412)*($E$2:E1412=E1412)*($F$2:F1412=F1412)*($G$2:G1412=G1412)*($I$2:I1412="Duplicate"))-1),"")&amp;".jpeg")</f>
        <v/>
      </c>
      <c r="L1412" s="6"/>
      <c r="M1412" s="5" t="str">
        <f>IFERROR(VLOOKUP(E1412,Specifications!$A$2:$D$9,2,FALSE),"")</f>
        <v/>
      </c>
      <c r="N1412" s="5" t="str">
        <f>IFERROR(VLOOKUP(E1412,Specifications!$A$2:$D$9,3,FALSE),"")</f>
        <v/>
      </c>
      <c r="O1412" s="5" t="str">
        <f>IFERROR(VLOOKUP(E1412,Specifications!$A$2:$D$9,4,FALSE),"")</f>
        <v/>
      </c>
      <c r="P1412" s="8" t="str">
        <f t="shared" si="69"/>
        <v/>
      </c>
      <c r="Q1412" s="9"/>
    </row>
    <row r="1413" spans="1:17" ht="15">
      <c r="A1413" s="5" t="str">
        <f t="shared" si="67"/>
        <v/>
      </c>
      <c r="B1413" s="6"/>
      <c r="C1413" s="5" t="str">
        <f>IFERROR(VLOOKUP(B1413,Lists!$A$2:$B$25,2,FALSE),"")</f>
        <v/>
      </c>
      <c r="D1413" s="7"/>
      <c r="E1413" s="6"/>
      <c r="F1413" s="6" t="str">
        <f t="shared" si="68"/>
        <v/>
      </c>
      <c r="G1413" s="6"/>
      <c r="H1413" s="6"/>
      <c r="I1413" s="6"/>
      <c r="J1413" s="7"/>
      <c r="K1413" s="5" t="str" cm="1">
        <f t="array" ref="K1413">IF(OR(A1413="",B1413="",D1413="",E1413=""),"",A1413&amp;"_"&amp;SUBSTITUTE(B1413," ","-")&amp;"_"&amp;D1413&amp;"_"&amp;SUBSTITUTE(SUBSTITUTE(E1413," ",""),"€","Euro")&amp;"_"&amp;IF(F1413="","Unknown",F1413)&amp;IF(F1413="Commemorative",IF(G1413="","","_"&amp;SUBSTITUTE(SUBSTITUTE(SUBSTITUTE(G1413," ","-"),"/","-"),CHAR(39),"")),"")&amp;IF(I1413="Duplicate","_Dub"&amp;IF(SUMPRODUCT(($B$2:B1413=B1413)*($D$2:D1413=D1413)*($E$2:E1413=E1413)*($F$2:F1413=F1413)*($G$2:G1413=G1413)*($I$2:I1413="Duplicate"))&lt;=1,"",SUMPRODUCT(($B$2:B1413=B1413)*($D$2:D1413=D1413)*($E$2:E1413=E1413)*($F$2:F1413=F1413)*($G$2:G1413=G1413)*($I$2:I1413="Duplicate"))-1),"")&amp;".jpeg")</f>
        <v/>
      </c>
      <c r="L1413" s="6"/>
      <c r="M1413" s="5" t="str">
        <f>IFERROR(VLOOKUP(E1413,Specifications!$A$2:$D$9,2,FALSE),"")</f>
        <v/>
      </c>
      <c r="N1413" s="5" t="str">
        <f>IFERROR(VLOOKUP(E1413,Specifications!$A$2:$D$9,3,FALSE),"")</f>
        <v/>
      </c>
      <c r="O1413" s="5" t="str">
        <f>IFERROR(VLOOKUP(E1413,Specifications!$A$2:$D$9,4,FALSE),"")</f>
        <v/>
      </c>
      <c r="P1413" s="8" t="str">
        <f t="shared" si="69"/>
        <v/>
      </c>
      <c r="Q1413" s="9"/>
    </row>
    <row r="1414" spans="1:17" ht="15">
      <c r="A1414" s="5" t="str">
        <f t="shared" si="67"/>
        <v/>
      </c>
      <c r="B1414" s="6"/>
      <c r="C1414" s="5" t="str">
        <f>IFERROR(VLOOKUP(B1414,Lists!$A$2:$B$25,2,FALSE),"")</f>
        <v/>
      </c>
      <c r="D1414" s="7"/>
      <c r="E1414" s="6"/>
      <c r="F1414" s="6" t="str">
        <f t="shared" si="68"/>
        <v/>
      </c>
      <c r="G1414" s="6"/>
      <c r="H1414" s="6"/>
      <c r="I1414" s="6"/>
      <c r="J1414" s="7"/>
      <c r="K1414" s="5" t="str" cm="1">
        <f t="array" ref="K1414">IF(OR(A1414="",B1414="",D1414="",E1414=""),"",A1414&amp;"_"&amp;SUBSTITUTE(B1414," ","-")&amp;"_"&amp;D1414&amp;"_"&amp;SUBSTITUTE(SUBSTITUTE(E1414," ",""),"€","Euro")&amp;"_"&amp;IF(F1414="","Unknown",F1414)&amp;IF(F1414="Commemorative",IF(G1414="","","_"&amp;SUBSTITUTE(SUBSTITUTE(SUBSTITUTE(G1414," ","-"),"/","-"),CHAR(39),"")),"")&amp;IF(I1414="Duplicate","_Dub"&amp;IF(SUMPRODUCT(($B$2:B1414=B1414)*($D$2:D1414=D1414)*($E$2:E1414=E1414)*($F$2:F1414=F1414)*($G$2:G1414=G1414)*($I$2:I1414="Duplicate"))&lt;=1,"",SUMPRODUCT(($B$2:B1414=B1414)*($D$2:D1414=D1414)*($E$2:E1414=E1414)*($F$2:F1414=F1414)*($G$2:G1414=G1414)*($I$2:I1414="Duplicate"))-1),"")&amp;".jpeg")</f>
        <v/>
      </c>
      <c r="L1414" s="6"/>
      <c r="M1414" s="5" t="str">
        <f>IFERROR(VLOOKUP(E1414,Specifications!$A$2:$D$9,2,FALSE),"")</f>
        <v/>
      </c>
      <c r="N1414" s="5" t="str">
        <f>IFERROR(VLOOKUP(E1414,Specifications!$A$2:$D$9,3,FALSE),"")</f>
        <v/>
      </c>
      <c r="O1414" s="5" t="str">
        <f>IFERROR(VLOOKUP(E1414,Specifications!$A$2:$D$9,4,FALSE),"")</f>
        <v/>
      </c>
      <c r="P1414" s="8" t="str">
        <f t="shared" si="69"/>
        <v/>
      </c>
      <c r="Q1414" s="9"/>
    </row>
    <row r="1415" spans="1:17" ht="15">
      <c r="A1415" s="5" t="str">
        <f t="shared" si="67"/>
        <v/>
      </c>
      <c r="B1415" s="6"/>
      <c r="C1415" s="5" t="str">
        <f>IFERROR(VLOOKUP(B1415,Lists!$A$2:$B$25,2,FALSE),"")</f>
        <v/>
      </c>
      <c r="D1415" s="7"/>
      <c r="E1415" s="6"/>
      <c r="F1415" s="6" t="str">
        <f t="shared" si="68"/>
        <v/>
      </c>
      <c r="G1415" s="6"/>
      <c r="H1415" s="6"/>
      <c r="I1415" s="6"/>
      <c r="J1415" s="7"/>
      <c r="K1415" s="5" t="str" cm="1">
        <f t="array" ref="K1415">IF(OR(A1415="",B1415="",D1415="",E1415=""),"",A1415&amp;"_"&amp;SUBSTITUTE(B1415," ","-")&amp;"_"&amp;D1415&amp;"_"&amp;SUBSTITUTE(SUBSTITUTE(E1415," ",""),"€","Euro")&amp;"_"&amp;IF(F1415="","Unknown",F1415)&amp;IF(F1415="Commemorative",IF(G1415="","","_"&amp;SUBSTITUTE(SUBSTITUTE(SUBSTITUTE(G1415," ","-"),"/","-"),CHAR(39),"")),"")&amp;IF(I1415="Duplicate","_Dub"&amp;IF(SUMPRODUCT(($B$2:B1415=B1415)*($D$2:D1415=D1415)*($E$2:E1415=E1415)*($F$2:F1415=F1415)*($G$2:G1415=G1415)*($I$2:I1415="Duplicate"))&lt;=1,"",SUMPRODUCT(($B$2:B1415=B1415)*($D$2:D1415=D1415)*($E$2:E1415=E1415)*($F$2:F1415=F1415)*($G$2:G1415=G1415)*($I$2:I1415="Duplicate"))-1),"")&amp;".jpeg")</f>
        <v/>
      </c>
      <c r="L1415" s="6"/>
      <c r="M1415" s="5" t="str">
        <f>IFERROR(VLOOKUP(E1415,Specifications!$A$2:$D$9,2,FALSE),"")</f>
        <v/>
      </c>
      <c r="N1415" s="5" t="str">
        <f>IFERROR(VLOOKUP(E1415,Specifications!$A$2:$D$9,3,FALSE),"")</f>
        <v/>
      </c>
      <c r="O1415" s="5" t="str">
        <f>IFERROR(VLOOKUP(E1415,Specifications!$A$2:$D$9,4,FALSE),"")</f>
        <v/>
      </c>
      <c r="P1415" s="8" t="str">
        <f t="shared" si="69"/>
        <v/>
      </c>
      <c r="Q1415" s="9"/>
    </row>
    <row r="1416" spans="1:17" ht="15">
      <c r="A1416" s="5" t="str">
        <f t="shared" si="67"/>
        <v/>
      </c>
      <c r="B1416" s="6"/>
      <c r="C1416" s="5" t="str">
        <f>IFERROR(VLOOKUP(B1416,Lists!$A$2:$B$25,2,FALSE),"")</f>
        <v/>
      </c>
      <c r="D1416" s="7"/>
      <c r="E1416" s="6"/>
      <c r="F1416" s="6" t="str">
        <f t="shared" si="68"/>
        <v/>
      </c>
      <c r="G1416" s="6"/>
      <c r="H1416" s="6"/>
      <c r="I1416" s="6"/>
      <c r="J1416" s="7"/>
      <c r="K1416" s="5" t="str" cm="1">
        <f t="array" ref="K1416">IF(OR(A1416="",B1416="",D1416="",E1416=""),"",A1416&amp;"_"&amp;SUBSTITUTE(B1416," ","-")&amp;"_"&amp;D1416&amp;"_"&amp;SUBSTITUTE(SUBSTITUTE(E1416," ",""),"€","Euro")&amp;"_"&amp;IF(F1416="","Unknown",F1416)&amp;IF(F1416="Commemorative",IF(G1416="","","_"&amp;SUBSTITUTE(SUBSTITUTE(SUBSTITUTE(G1416," ","-"),"/","-"),CHAR(39),"")),"")&amp;IF(I1416="Duplicate","_Dub"&amp;IF(SUMPRODUCT(($B$2:B1416=B1416)*($D$2:D1416=D1416)*($E$2:E1416=E1416)*($F$2:F1416=F1416)*($G$2:G1416=G1416)*($I$2:I1416="Duplicate"))&lt;=1,"",SUMPRODUCT(($B$2:B1416=B1416)*($D$2:D1416=D1416)*($E$2:E1416=E1416)*($F$2:F1416=F1416)*($G$2:G1416=G1416)*($I$2:I1416="Duplicate"))-1),"")&amp;".jpeg")</f>
        <v/>
      </c>
      <c r="L1416" s="6"/>
      <c r="M1416" s="5" t="str">
        <f>IFERROR(VLOOKUP(E1416,Specifications!$A$2:$D$9,2,FALSE),"")</f>
        <v/>
      </c>
      <c r="N1416" s="5" t="str">
        <f>IFERROR(VLOOKUP(E1416,Specifications!$A$2:$D$9,3,FALSE),"")</f>
        <v/>
      </c>
      <c r="O1416" s="5" t="str">
        <f>IFERROR(VLOOKUP(E1416,Specifications!$A$2:$D$9,4,FALSE),"")</f>
        <v/>
      </c>
      <c r="P1416" s="8" t="str">
        <f t="shared" si="69"/>
        <v/>
      </c>
      <c r="Q1416" s="9"/>
    </row>
    <row r="1417" spans="1:17" ht="15">
      <c r="A1417" s="5" t="str">
        <f t="shared" si="67"/>
        <v/>
      </c>
      <c r="B1417" s="6"/>
      <c r="C1417" s="5" t="str">
        <f>IFERROR(VLOOKUP(B1417,Lists!$A$2:$B$25,2,FALSE),"")</f>
        <v/>
      </c>
      <c r="D1417" s="7"/>
      <c r="E1417" s="6"/>
      <c r="F1417" s="6" t="str">
        <f t="shared" si="68"/>
        <v/>
      </c>
      <c r="G1417" s="6"/>
      <c r="H1417" s="6"/>
      <c r="I1417" s="6"/>
      <c r="J1417" s="7"/>
      <c r="K1417" s="5" t="str" cm="1">
        <f t="array" ref="K1417">IF(OR(A1417="",B1417="",D1417="",E1417=""),"",A1417&amp;"_"&amp;SUBSTITUTE(B1417," ","-")&amp;"_"&amp;D1417&amp;"_"&amp;SUBSTITUTE(SUBSTITUTE(E1417," ",""),"€","Euro")&amp;"_"&amp;IF(F1417="","Unknown",F1417)&amp;IF(F1417="Commemorative",IF(G1417="","","_"&amp;SUBSTITUTE(SUBSTITUTE(SUBSTITUTE(G1417," ","-"),"/","-"),CHAR(39),"")),"")&amp;IF(I1417="Duplicate","_Dub"&amp;IF(SUMPRODUCT(($B$2:B1417=B1417)*($D$2:D1417=D1417)*($E$2:E1417=E1417)*($F$2:F1417=F1417)*($G$2:G1417=G1417)*($I$2:I1417="Duplicate"))&lt;=1,"",SUMPRODUCT(($B$2:B1417=B1417)*($D$2:D1417=D1417)*($E$2:E1417=E1417)*($F$2:F1417=F1417)*($G$2:G1417=G1417)*($I$2:I1417="Duplicate"))-1),"")&amp;".jpeg")</f>
        <v/>
      </c>
      <c r="L1417" s="6"/>
      <c r="M1417" s="5" t="str">
        <f>IFERROR(VLOOKUP(E1417,Specifications!$A$2:$D$9,2,FALSE),"")</f>
        <v/>
      </c>
      <c r="N1417" s="5" t="str">
        <f>IFERROR(VLOOKUP(E1417,Specifications!$A$2:$D$9,3,FALSE),"")</f>
        <v/>
      </c>
      <c r="O1417" s="5" t="str">
        <f>IFERROR(VLOOKUP(E1417,Specifications!$A$2:$D$9,4,FALSE),"")</f>
        <v/>
      </c>
      <c r="P1417" s="8" t="str">
        <f t="shared" si="69"/>
        <v/>
      </c>
      <c r="Q1417" s="9"/>
    </row>
    <row r="1418" spans="1:17" ht="15">
      <c r="A1418" s="5" t="str">
        <f t="shared" si="67"/>
        <v/>
      </c>
      <c r="B1418" s="6"/>
      <c r="C1418" s="5" t="str">
        <f>IFERROR(VLOOKUP(B1418,Lists!$A$2:$B$25,2,FALSE),"")</f>
        <v/>
      </c>
      <c r="D1418" s="7"/>
      <c r="E1418" s="6"/>
      <c r="F1418" s="6" t="str">
        <f t="shared" si="68"/>
        <v/>
      </c>
      <c r="G1418" s="6"/>
      <c r="H1418" s="6"/>
      <c r="I1418" s="6"/>
      <c r="J1418" s="7"/>
      <c r="K1418" s="5" t="str" cm="1">
        <f t="array" ref="K1418">IF(OR(A1418="",B1418="",D1418="",E1418=""),"",A1418&amp;"_"&amp;SUBSTITUTE(B1418," ","-")&amp;"_"&amp;D1418&amp;"_"&amp;SUBSTITUTE(SUBSTITUTE(E1418," ",""),"€","Euro")&amp;"_"&amp;IF(F1418="","Unknown",F1418)&amp;IF(F1418="Commemorative",IF(G1418="","","_"&amp;SUBSTITUTE(SUBSTITUTE(SUBSTITUTE(G1418," ","-"),"/","-"),CHAR(39),"")),"")&amp;IF(I1418="Duplicate","_Dub"&amp;IF(SUMPRODUCT(($B$2:B1418=B1418)*($D$2:D1418=D1418)*($E$2:E1418=E1418)*($F$2:F1418=F1418)*($G$2:G1418=G1418)*($I$2:I1418="Duplicate"))&lt;=1,"",SUMPRODUCT(($B$2:B1418=B1418)*($D$2:D1418=D1418)*($E$2:E1418=E1418)*($F$2:F1418=F1418)*($G$2:G1418=G1418)*($I$2:I1418="Duplicate"))-1),"")&amp;".jpeg")</f>
        <v/>
      </c>
      <c r="L1418" s="6"/>
      <c r="M1418" s="5" t="str">
        <f>IFERROR(VLOOKUP(E1418,Specifications!$A$2:$D$9,2,FALSE),"")</f>
        <v/>
      </c>
      <c r="N1418" s="5" t="str">
        <f>IFERROR(VLOOKUP(E1418,Specifications!$A$2:$D$9,3,FALSE),"")</f>
        <v/>
      </c>
      <c r="O1418" s="5" t="str">
        <f>IFERROR(VLOOKUP(E1418,Specifications!$A$2:$D$9,4,FALSE),"")</f>
        <v/>
      </c>
      <c r="P1418" s="8" t="str">
        <f t="shared" si="69"/>
        <v/>
      </c>
      <c r="Q1418" s="9"/>
    </row>
    <row r="1419" spans="1:17" ht="15">
      <c r="A1419" s="5" t="str">
        <f t="shared" si="67"/>
        <v/>
      </c>
      <c r="B1419" s="6"/>
      <c r="C1419" s="5" t="str">
        <f>IFERROR(VLOOKUP(B1419,Lists!$A$2:$B$25,2,FALSE),"")</f>
        <v/>
      </c>
      <c r="D1419" s="7"/>
      <c r="E1419" s="6"/>
      <c r="F1419" s="6" t="str">
        <f t="shared" si="68"/>
        <v/>
      </c>
      <c r="G1419" s="6"/>
      <c r="H1419" s="6"/>
      <c r="I1419" s="6"/>
      <c r="J1419" s="7"/>
      <c r="K1419" s="5" t="str" cm="1">
        <f t="array" ref="K1419">IF(OR(A1419="",B1419="",D1419="",E1419=""),"",A1419&amp;"_"&amp;SUBSTITUTE(B1419," ","-")&amp;"_"&amp;D1419&amp;"_"&amp;SUBSTITUTE(SUBSTITUTE(E1419," ",""),"€","Euro")&amp;"_"&amp;IF(F1419="","Unknown",F1419)&amp;IF(F1419="Commemorative",IF(G1419="","","_"&amp;SUBSTITUTE(SUBSTITUTE(SUBSTITUTE(G1419," ","-"),"/","-"),CHAR(39),"")),"")&amp;IF(I1419="Duplicate","_Dub"&amp;IF(SUMPRODUCT(($B$2:B1419=B1419)*($D$2:D1419=D1419)*($E$2:E1419=E1419)*($F$2:F1419=F1419)*($G$2:G1419=G1419)*($I$2:I1419="Duplicate"))&lt;=1,"",SUMPRODUCT(($B$2:B1419=B1419)*($D$2:D1419=D1419)*($E$2:E1419=E1419)*($F$2:F1419=F1419)*($G$2:G1419=G1419)*($I$2:I1419="Duplicate"))-1),"")&amp;".jpeg")</f>
        <v/>
      </c>
      <c r="L1419" s="6"/>
      <c r="M1419" s="5" t="str">
        <f>IFERROR(VLOOKUP(E1419,Specifications!$A$2:$D$9,2,FALSE),"")</f>
        <v/>
      </c>
      <c r="N1419" s="5" t="str">
        <f>IFERROR(VLOOKUP(E1419,Specifications!$A$2:$D$9,3,FALSE),"")</f>
        <v/>
      </c>
      <c r="O1419" s="5" t="str">
        <f>IFERROR(VLOOKUP(E1419,Specifications!$A$2:$D$9,4,FALSE),"")</f>
        <v/>
      </c>
      <c r="P1419" s="8" t="str">
        <f t="shared" si="69"/>
        <v/>
      </c>
      <c r="Q1419" s="9"/>
    </row>
    <row r="1420" spans="1:17" ht="15">
      <c r="A1420" s="5" t="str">
        <f t="shared" si="67"/>
        <v/>
      </c>
      <c r="B1420" s="6"/>
      <c r="C1420" s="5" t="str">
        <f>IFERROR(VLOOKUP(B1420,Lists!$A$2:$B$25,2,FALSE),"")</f>
        <v/>
      </c>
      <c r="D1420" s="7"/>
      <c r="E1420" s="6"/>
      <c r="F1420" s="6" t="str">
        <f t="shared" si="68"/>
        <v/>
      </c>
      <c r="G1420" s="6"/>
      <c r="H1420" s="6"/>
      <c r="I1420" s="6"/>
      <c r="J1420" s="7"/>
      <c r="K1420" s="5" t="str" cm="1">
        <f t="array" ref="K1420">IF(OR(A1420="",B1420="",D1420="",E1420=""),"",A1420&amp;"_"&amp;SUBSTITUTE(B1420," ","-")&amp;"_"&amp;D1420&amp;"_"&amp;SUBSTITUTE(SUBSTITUTE(E1420," ",""),"€","Euro")&amp;"_"&amp;IF(F1420="","Unknown",F1420)&amp;IF(F1420="Commemorative",IF(G1420="","","_"&amp;SUBSTITUTE(SUBSTITUTE(SUBSTITUTE(G1420," ","-"),"/","-"),CHAR(39),"")),"")&amp;IF(I1420="Duplicate","_Dub"&amp;IF(SUMPRODUCT(($B$2:B1420=B1420)*($D$2:D1420=D1420)*($E$2:E1420=E1420)*($F$2:F1420=F1420)*($G$2:G1420=G1420)*($I$2:I1420="Duplicate"))&lt;=1,"",SUMPRODUCT(($B$2:B1420=B1420)*($D$2:D1420=D1420)*($E$2:E1420=E1420)*($F$2:F1420=F1420)*($G$2:G1420=G1420)*($I$2:I1420="Duplicate"))-1),"")&amp;".jpeg")</f>
        <v/>
      </c>
      <c r="L1420" s="6"/>
      <c r="M1420" s="5" t="str">
        <f>IFERROR(VLOOKUP(E1420,Specifications!$A$2:$D$9,2,FALSE),"")</f>
        <v/>
      </c>
      <c r="N1420" s="5" t="str">
        <f>IFERROR(VLOOKUP(E1420,Specifications!$A$2:$D$9,3,FALSE),"")</f>
        <v/>
      </c>
      <c r="O1420" s="5" t="str">
        <f>IFERROR(VLOOKUP(E1420,Specifications!$A$2:$D$9,4,FALSE),"")</f>
        <v/>
      </c>
      <c r="P1420" s="8" t="str">
        <f t="shared" si="69"/>
        <v/>
      </c>
      <c r="Q1420" s="9"/>
    </row>
    <row r="1421" spans="1:17" ht="15">
      <c r="A1421" s="5" t="str">
        <f t="shared" si="67"/>
        <v/>
      </c>
      <c r="B1421" s="6"/>
      <c r="C1421" s="5" t="str">
        <f>IFERROR(VLOOKUP(B1421,Lists!$A$2:$B$25,2,FALSE),"")</f>
        <v/>
      </c>
      <c r="D1421" s="7"/>
      <c r="E1421" s="6"/>
      <c r="F1421" s="6" t="str">
        <f t="shared" si="68"/>
        <v/>
      </c>
      <c r="G1421" s="6"/>
      <c r="H1421" s="6"/>
      <c r="I1421" s="6"/>
      <c r="J1421" s="7"/>
      <c r="K1421" s="5" t="str" cm="1">
        <f t="array" ref="K1421">IF(OR(A1421="",B1421="",D1421="",E1421=""),"",A1421&amp;"_"&amp;SUBSTITUTE(B1421," ","-")&amp;"_"&amp;D1421&amp;"_"&amp;SUBSTITUTE(SUBSTITUTE(E1421," ",""),"€","Euro")&amp;"_"&amp;IF(F1421="","Unknown",F1421)&amp;IF(F1421="Commemorative",IF(G1421="","","_"&amp;SUBSTITUTE(SUBSTITUTE(SUBSTITUTE(G1421," ","-"),"/","-"),CHAR(39),"")),"")&amp;IF(I1421="Duplicate","_Dub"&amp;IF(SUMPRODUCT(($B$2:B1421=B1421)*($D$2:D1421=D1421)*($E$2:E1421=E1421)*($F$2:F1421=F1421)*($G$2:G1421=G1421)*($I$2:I1421="Duplicate"))&lt;=1,"",SUMPRODUCT(($B$2:B1421=B1421)*($D$2:D1421=D1421)*($E$2:E1421=E1421)*($F$2:F1421=F1421)*($G$2:G1421=G1421)*($I$2:I1421="Duplicate"))-1),"")&amp;".jpeg")</f>
        <v/>
      </c>
      <c r="L1421" s="6"/>
      <c r="M1421" s="5" t="str">
        <f>IFERROR(VLOOKUP(E1421,Specifications!$A$2:$D$9,2,FALSE),"")</f>
        <v/>
      </c>
      <c r="N1421" s="5" t="str">
        <f>IFERROR(VLOOKUP(E1421,Specifications!$A$2:$D$9,3,FALSE),"")</f>
        <v/>
      </c>
      <c r="O1421" s="5" t="str">
        <f>IFERROR(VLOOKUP(E1421,Specifications!$A$2:$D$9,4,FALSE),"")</f>
        <v/>
      </c>
      <c r="P1421" s="8" t="str">
        <f t="shared" si="69"/>
        <v/>
      </c>
      <c r="Q1421" s="9"/>
    </row>
    <row r="1422" spans="1:17" ht="15">
      <c r="A1422" s="5" t="str">
        <f t="shared" si="67"/>
        <v/>
      </c>
      <c r="B1422" s="6"/>
      <c r="C1422" s="5" t="str">
        <f>IFERROR(VLOOKUP(B1422,Lists!$A$2:$B$25,2,FALSE),"")</f>
        <v/>
      </c>
      <c r="D1422" s="7"/>
      <c r="E1422" s="6"/>
      <c r="F1422" s="6" t="str">
        <f t="shared" si="68"/>
        <v/>
      </c>
      <c r="G1422" s="6"/>
      <c r="H1422" s="6"/>
      <c r="I1422" s="6"/>
      <c r="J1422" s="7"/>
      <c r="K1422" s="5" t="str" cm="1">
        <f t="array" ref="K1422">IF(OR(A1422="",B1422="",D1422="",E1422=""),"",A1422&amp;"_"&amp;SUBSTITUTE(B1422," ","-")&amp;"_"&amp;D1422&amp;"_"&amp;SUBSTITUTE(SUBSTITUTE(E1422," ",""),"€","Euro")&amp;"_"&amp;IF(F1422="","Unknown",F1422)&amp;IF(F1422="Commemorative",IF(G1422="","","_"&amp;SUBSTITUTE(SUBSTITUTE(SUBSTITUTE(G1422," ","-"),"/","-"),CHAR(39),"")),"")&amp;IF(I1422="Duplicate","_Dub"&amp;IF(SUMPRODUCT(($B$2:B1422=B1422)*($D$2:D1422=D1422)*($E$2:E1422=E1422)*($F$2:F1422=F1422)*($G$2:G1422=G1422)*($I$2:I1422="Duplicate"))&lt;=1,"",SUMPRODUCT(($B$2:B1422=B1422)*($D$2:D1422=D1422)*($E$2:E1422=E1422)*($F$2:F1422=F1422)*($G$2:G1422=G1422)*($I$2:I1422="Duplicate"))-1),"")&amp;".jpeg")</f>
        <v/>
      </c>
      <c r="L1422" s="6"/>
      <c r="M1422" s="5" t="str">
        <f>IFERROR(VLOOKUP(E1422,Specifications!$A$2:$D$9,2,FALSE),"")</f>
        <v/>
      </c>
      <c r="N1422" s="5" t="str">
        <f>IFERROR(VLOOKUP(E1422,Specifications!$A$2:$D$9,3,FALSE),"")</f>
        <v/>
      </c>
      <c r="O1422" s="5" t="str">
        <f>IFERROR(VLOOKUP(E1422,Specifications!$A$2:$D$9,4,FALSE),"")</f>
        <v/>
      </c>
      <c r="P1422" s="8" t="str">
        <f t="shared" si="69"/>
        <v/>
      </c>
      <c r="Q1422" s="9"/>
    </row>
    <row r="1423" spans="1:17" ht="15">
      <c r="A1423" s="5" t="str">
        <f t="shared" si="67"/>
        <v/>
      </c>
      <c r="B1423" s="6"/>
      <c r="C1423" s="5" t="str">
        <f>IFERROR(VLOOKUP(B1423,Lists!$A$2:$B$25,2,FALSE),"")</f>
        <v/>
      </c>
      <c r="D1423" s="7"/>
      <c r="E1423" s="6"/>
      <c r="F1423" s="6" t="str">
        <f t="shared" si="68"/>
        <v/>
      </c>
      <c r="G1423" s="6"/>
      <c r="H1423" s="6"/>
      <c r="I1423" s="6"/>
      <c r="J1423" s="7"/>
      <c r="K1423" s="5" t="str" cm="1">
        <f t="array" ref="K1423">IF(OR(A1423="",B1423="",D1423="",E1423=""),"",A1423&amp;"_"&amp;SUBSTITUTE(B1423," ","-")&amp;"_"&amp;D1423&amp;"_"&amp;SUBSTITUTE(SUBSTITUTE(E1423," ",""),"€","Euro")&amp;"_"&amp;IF(F1423="","Unknown",F1423)&amp;IF(F1423="Commemorative",IF(G1423="","","_"&amp;SUBSTITUTE(SUBSTITUTE(SUBSTITUTE(G1423," ","-"),"/","-"),CHAR(39),"")),"")&amp;IF(I1423="Duplicate","_Dub"&amp;IF(SUMPRODUCT(($B$2:B1423=B1423)*($D$2:D1423=D1423)*($E$2:E1423=E1423)*($F$2:F1423=F1423)*($G$2:G1423=G1423)*($I$2:I1423="Duplicate"))&lt;=1,"",SUMPRODUCT(($B$2:B1423=B1423)*($D$2:D1423=D1423)*($E$2:E1423=E1423)*($F$2:F1423=F1423)*($G$2:G1423=G1423)*($I$2:I1423="Duplicate"))-1),"")&amp;".jpeg")</f>
        <v/>
      </c>
      <c r="L1423" s="6"/>
      <c r="M1423" s="5" t="str">
        <f>IFERROR(VLOOKUP(E1423,Specifications!$A$2:$D$9,2,FALSE),"")</f>
        <v/>
      </c>
      <c r="N1423" s="5" t="str">
        <f>IFERROR(VLOOKUP(E1423,Specifications!$A$2:$D$9,3,FALSE),"")</f>
        <v/>
      </c>
      <c r="O1423" s="5" t="str">
        <f>IFERROR(VLOOKUP(E1423,Specifications!$A$2:$D$9,4,FALSE),"")</f>
        <v/>
      </c>
      <c r="P1423" s="8" t="str">
        <f t="shared" si="69"/>
        <v/>
      </c>
      <c r="Q1423" s="9"/>
    </row>
    <row r="1424" spans="1:17" ht="15">
      <c r="A1424" s="5" t="str">
        <f t="shared" si="67"/>
        <v/>
      </c>
      <c r="B1424" s="6"/>
      <c r="C1424" s="5" t="str">
        <f>IFERROR(VLOOKUP(B1424,Lists!$A$2:$B$25,2,FALSE),"")</f>
        <v/>
      </c>
      <c r="D1424" s="7"/>
      <c r="E1424" s="6"/>
      <c r="F1424" s="6" t="str">
        <f t="shared" si="68"/>
        <v/>
      </c>
      <c r="G1424" s="6"/>
      <c r="H1424" s="6"/>
      <c r="I1424" s="6"/>
      <c r="J1424" s="7"/>
      <c r="K1424" s="5" t="str" cm="1">
        <f t="array" ref="K1424">IF(OR(A1424="",B1424="",D1424="",E1424=""),"",A1424&amp;"_"&amp;SUBSTITUTE(B1424," ","-")&amp;"_"&amp;D1424&amp;"_"&amp;SUBSTITUTE(SUBSTITUTE(E1424," ",""),"€","Euro")&amp;"_"&amp;IF(F1424="","Unknown",F1424)&amp;IF(F1424="Commemorative",IF(G1424="","","_"&amp;SUBSTITUTE(SUBSTITUTE(SUBSTITUTE(G1424," ","-"),"/","-"),CHAR(39),"")),"")&amp;IF(I1424="Duplicate","_Dub"&amp;IF(SUMPRODUCT(($B$2:B1424=B1424)*($D$2:D1424=D1424)*($E$2:E1424=E1424)*($F$2:F1424=F1424)*($G$2:G1424=G1424)*($I$2:I1424="Duplicate"))&lt;=1,"",SUMPRODUCT(($B$2:B1424=B1424)*($D$2:D1424=D1424)*($E$2:E1424=E1424)*($F$2:F1424=F1424)*($G$2:G1424=G1424)*($I$2:I1424="Duplicate"))-1),"")&amp;".jpeg")</f>
        <v/>
      </c>
      <c r="L1424" s="6"/>
      <c r="M1424" s="5" t="str">
        <f>IFERROR(VLOOKUP(E1424,Specifications!$A$2:$D$9,2,FALSE),"")</f>
        <v/>
      </c>
      <c r="N1424" s="5" t="str">
        <f>IFERROR(VLOOKUP(E1424,Specifications!$A$2:$D$9,3,FALSE),"")</f>
        <v/>
      </c>
      <c r="O1424" s="5" t="str">
        <f>IFERROR(VLOOKUP(E1424,Specifications!$A$2:$D$9,4,FALSE),"")</f>
        <v/>
      </c>
      <c r="P1424" s="8" t="str">
        <f t="shared" si="69"/>
        <v/>
      </c>
      <c r="Q1424" s="9"/>
    </row>
    <row r="1425" spans="1:17" ht="15">
      <c r="A1425" s="5" t="str">
        <f t="shared" si="67"/>
        <v/>
      </c>
      <c r="B1425" s="6"/>
      <c r="C1425" s="5" t="str">
        <f>IFERROR(VLOOKUP(B1425,Lists!$A$2:$B$25,2,FALSE),"")</f>
        <v/>
      </c>
      <c r="D1425" s="7"/>
      <c r="E1425" s="6"/>
      <c r="F1425" s="6" t="str">
        <f t="shared" si="68"/>
        <v/>
      </c>
      <c r="G1425" s="6"/>
      <c r="H1425" s="6"/>
      <c r="I1425" s="6"/>
      <c r="J1425" s="7"/>
      <c r="K1425" s="5" t="str" cm="1">
        <f t="array" ref="K1425">IF(OR(A1425="",B1425="",D1425="",E1425=""),"",A1425&amp;"_"&amp;SUBSTITUTE(B1425," ","-")&amp;"_"&amp;D1425&amp;"_"&amp;SUBSTITUTE(SUBSTITUTE(E1425," ",""),"€","Euro")&amp;"_"&amp;IF(F1425="","Unknown",F1425)&amp;IF(F1425="Commemorative",IF(G1425="","","_"&amp;SUBSTITUTE(SUBSTITUTE(SUBSTITUTE(G1425," ","-"),"/","-"),CHAR(39),"")),"")&amp;IF(I1425="Duplicate","_Dub"&amp;IF(SUMPRODUCT(($B$2:B1425=B1425)*($D$2:D1425=D1425)*($E$2:E1425=E1425)*($F$2:F1425=F1425)*($G$2:G1425=G1425)*($I$2:I1425="Duplicate"))&lt;=1,"",SUMPRODUCT(($B$2:B1425=B1425)*($D$2:D1425=D1425)*($E$2:E1425=E1425)*($F$2:F1425=F1425)*($G$2:G1425=G1425)*($I$2:I1425="Duplicate"))-1),"")&amp;".jpeg")</f>
        <v/>
      </c>
      <c r="L1425" s="6"/>
      <c r="M1425" s="5" t="str">
        <f>IFERROR(VLOOKUP(E1425,Specifications!$A$2:$D$9,2,FALSE),"")</f>
        <v/>
      </c>
      <c r="N1425" s="5" t="str">
        <f>IFERROR(VLOOKUP(E1425,Specifications!$A$2:$D$9,3,FALSE),"")</f>
        <v/>
      </c>
      <c r="O1425" s="5" t="str">
        <f>IFERROR(VLOOKUP(E1425,Specifications!$A$2:$D$9,4,FALSE),"")</f>
        <v/>
      </c>
      <c r="P1425" s="8" t="str">
        <f t="shared" si="69"/>
        <v/>
      </c>
      <c r="Q1425" s="9"/>
    </row>
    <row r="1426" spans="1:17" ht="15">
      <c r="A1426" s="5" t="str">
        <f t="shared" si="67"/>
        <v/>
      </c>
      <c r="B1426" s="6"/>
      <c r="C1426" s="5" t="str">
        <f>IFERROR(VLOOKUP(B1426,Lists!$A$2:$B$25,2,FALSE),"")</f>
        <v/>
      </c>
      <c r="D1426" s="7"/>
      <c r="E1426" s="6"/>
      <c r="F1426" s="6" t="str">
        <f t="shared" si="68"/>
        <v/>
      </c>
      <c r="G1426" s="6"/>
      <c r="H1426" s="6"/>
      <c r="I1426" s="6"/>
      <c r="J1426" s="7"/>
      <c r="K1426" s="5" t="str" cm="1">
        <f t="array" ref="K1426">IF(OR(A1426="",B1426="",D1426="",E1426=""),"",A1426&amp;"_"&amp;SUBSTITUTE(B1426," ","-")&amp;"_"&amp;D1426&amp;"_"&amp;SUBSTITUTE(SUBSTITUTE(E1426," ",""),"€","Euro")&amp;"_"&amp;IF(F1426="","Unknown",F1426)&amp;IF(F1426="Commemorative",IF(G1426="","","_"&amp;SUBSTITUTE(SUBSTITUTE(SUBSTITUTE(G1426," ","-"),"/","-"),CHAR(39),"")),"")&amp;IF(I1426="Duplicate","_Dub"&amp;IF(SUMPRODUCT(($B$2:B1426=B1426)*($D$2:D1426=D1426)*($E$2:E1426=E1426)*($F$2:F1426=F1426)*($G$2:G1426=G1426)*($I$2:I1426="Duplicate"))&lt;=1,"",SUMPRODUCT(($B$2:B1426=B1426)*($D$2:D1426=D1426)*($E$2:E1426=E1426)*($F$2:F1426=F1426)*($G$2:G1426=G1426)*($I$2:I1426="Duplicate"))-1),"")&amp;".jpeg")</f>
        <v/>
      </c>
      <c r="L1426" s="6"/>
      <c r="M1426" s="5" t="str">
        <f>IFERROR(VLOOKUP(E1426,Specifications!$A$2:$D$9,2,FALSE),"")</f>
        <v/>
      </c>
      <c r="N1426" s="5" t="str">
        <f>IFERROR(VLOOKUP(E1426,Specifications!$A$2:$D$9,3,FALSE),"")</f>
        <v/>
      </c>
      <c r="O1426" s="5" t="str">
        <f>IFERROR(VLOOKUP(E1426,Specifications!$A$2:$D$9,4,FALSE),"")</f>
        <v/>
      </c>
      <c r="P1426" s="8" t="str">
        <f t="shared" si="69"/>
        <v/>
      </c>
      <c r="Q1426" s="9"/>
    </row>
    <row r="1427" spans="1:17" ht="15">
      <c r="A1427" s="5" t="str">
        <f t="shared" si="67"/>
        <v/>
      </c>
      <c r="B1427" s="6"/>
      <c r="C1427" s="5" t="str">
        <f>IFERROR(VLOOKUP(B1427,Lists!$A$2:$B$25,2,FALSE),"")</f>
        <v/>
      </c>
      <c r="D1427" s="7"/>
      <c r="E1427" s="6"/>
      <c r="F1427" s="6" t="str">
        <f t="shared" si="68"/>
        <v/>
      </c>
      <c r="G1427" s="6"/>
      <c r="H1427" s="6"/>
      <c r="I1427" s="6"/>
      <c r="J1427" s="7"/>
      <c r="K1427" s="5" t="str" cm="1">
        <f t="array" ref="K1427">IF(OR(A1427="",B1427="",D1427="",E1427=""),"",A1427&amp;"_"&amp;SUBSTITUTE(B1427," ","-")&amp;"_"&amp;D1427&amp;"_"&amp;SUBSTITUTE(SUBSTITUTE(E1427," ",""),"€","Euro")&amp;"_"&amp;IF(F1427="","Unknown",F1427)&amp;IF(F1427="Commemorative",IF(G1427="","","_"&amp;SUBSTITUTE(SUBSTITUTE(SUBSTITUTE(G1427," ","-"),"/","-"),CHAR(39),"")),"")&amp;IF(I1427="Duplicate","_Dub"&amp;IF(SUMPRODUCT(($B$2:B1427=B1427)*($D$2:D1427=D1427)*($E$2:E1427=E1427)*($F$2:F1427=F1427)*($G$2:G1427=G1427)*($I$2:I1427="Duplicate"))&lt;=1,"",SUMPRODUCT(($B$2:B1427=B1427)*($D$2:D1427=D1427)*($E$2:E1427=E1427)*($F$2:F1427=F1427)*($G$2:G1427=G1427)*($I$2:I1427="Duplicate"))-1),"")&amp;".jpeg")</f>
        <v/>
      </c>
      <c r="L1427" s="6"/>
      <c r="M1427" s="5" t="str">
        <f>IFERROR(VLOOKUP(E1427,Specifications!$A$2:$D$9,2,FALSE),"")</f>
        <v/>
      </c>
      <c r="N1427" s="5" t="str">
        <f>IFERROR(VLOOKUP(E1427,Specifications!$A$2:$D$9,3,FALSE),"")</f>
        <v/>
      </c>
      <c r="O1427" s="5" t="str">
        <f>IFERROR(VLOOKUP(E1427,Specifications!$A$2:$D$9,4,FALSE),"")</f>
        <v/>
      </c>
      <c r="P1427" s="8" t="str">
        <f t="shared" si="69"/>
        <v/>
      </c>
      <c r="Q1427" s="9"/>
    </row>
    <row r="1428" spans="1:17" ht="15">
      <c r="A1428" s="5" t="str">
        <f t="shared" si="67"/>
        <v/>
      </c>
      <c r="B1428" s="6"/>
      <c r="C1428" s="5" t="str">
        <f>IFERROR(VLOOKUP(B1428,Lists!$A$2:$B$25,2,FALSE),"")</f>
        <v/>
      </c>
      <c r="D1428" s="7"/>
      <c r="E1428" s="6"/>
      <c r="F1428" s="6" t="str">
        <f t="shared" si="68"/>
        <v/>
      </c>
      <c r="G1428" s="6"/>
      <c r="H1428" s="6"/>
      <c r="I1428" s="6"/>
      <c r="J1428" s="7"/>
      <c r="K1428" s="5" t="str" cm="1">
        <f t="array" ref="K1428">IF(OR(A1428="",B1428="",D1428="",E1428=""),"",A1428&amp;"_"&amp;SUBSTITUTE(B1428," ","-")&amp;"_"&amp;D1428&amp;"_"&amp;SUBSTITUTE(SUBSTITUTE(E1428," ",""),"€","Euro")&amp;"_"&amp;IF(F1428="","Unknown",F1428)&amp;IF(F1428="Commemorative",IF(G1428="","","_"&amp;SUBSTITUTE(SUBSTITUTE(SUBSTITUTE(G1428," ","-"),"/","-"),CHAR(39),"")),"")&amp;IF(I1428="Duplicate","_Dub"&amp;IF(SUMPRODUCT(($B$2:B1428=B1428)*($D$2:D1428=D1428)*($E$2:E1428=E1428)*($F$2:F1428=F1428)*($G$2:G1428=G1428)*($I$2:I1428="Duplicate"))&lt;=1,"",SUMPRODUCT(($B$2:B1428=B1428)*($D$2:D1428=D1428)*($E$2:E1428=E1428)*($F$2:F1428=F1428)*($G$2:G1428=G1428)*($I$2:I1428="Duplicate"))-1),"")&amp;".jpeg")</f>
        <v/>
      </c>
      <c r="L1428" s="6"/>
      <c r="M1428" s="5" t="str">
        <f>IFERROR(VLOOKUP(E1428,Specifications!$A$2:$D$9,2,FALSE),"")</f>
        <v/>
      </c>
      <c r="N1428" s="5" t="str">
        <f>IFERROR(VLOOKUP(E1428,Specifications!$A$2:$D$9,3,FALSE),"")</f>
        <v/>
      </c>
      <c r="O1428" s="5" t="str">
        <f>IFERROR(VLOOKUP(E1428,Specifications!$A$2:$D$9,4,FALSE),"")</f>
        <v/>
      </c>
      <c r="P1428" s="8" t="str">
        <f t="shared" si="69"/>
        <v/>
      </c>
      <c r="Q1428" s="9"/>
    </row>
    <row r="1429" spans="1:17" ht="15">
      <c r="A1429" s="5" t="str">
        <f t="shared" si="67"/>
        <v/>
      </c>
      <c r="B1429" s="6"/>
      <c r="C1429" s="5" t="str">
        <f>IFERROR(VLOOKUP(B1429,Lists!$A$2:$B$25,2,FALSE),"")</f>
        <v/>
      </c>
      <c r="D1429" s="7"/>
      <c r="E1429" s="6"/>
      <c r="F1429" s="6" t="str">
        <f t="shared" si="68"/>
        <v/>
      </c>
      <c r="G1429" s="6"/>
      <c r="H1429" s="6"/>
      <c r="I1429" s="6"/>
      <c r="J1429" s="7"/>
      <c r="K1429" s="5" t="str" cm="1">
        <f t="array" ref="K1429">IF(OR(A1429="",B1429="",D1429="",E1429=""),"",A1429&amp;"_"&amp;SUBSTITUTE(B1429," ","-")&amp;"_"&amp;D1429&amp;"_"&amp;SUBSTITUTE(SUBSTITUTE(E1429," ",""),"€","Euro")&amp;"_"&amp;IF(F1429="","Unknown",F1429)&amp;IF(F1429="Commemorative",IF(G1429="","","_"&amp;SUBSTITUTE(SUBSTITUTE(SUBSTITUTE(G1429," ","-"),"/","-"),CHAR(39),"")),"")&amp;IF(I1429="Duplicate","_Dub"&amp;IF(SUMPRODUCT(($B$2:B1429=B1429)*($D$2:D1429=D1429)*($E$2:E1429=E1429)*($F$2:F1429=F1429)*($G$2:G1429=G1429)*($I$2:I1429="Duplicate"))&lt;=1,"",SUMPRODUCT(($B$2:B1429=B1429)*($D$2:D1429=D1429)*($E$2:E1429=E1429)*($F$2:F1429=F1429)*($G$2:G1429=G1429)*($I$2:I1429="Duplicate"))-1),"")&amp;".jpeg")</f>
        <v/>
      </c>
      <c r="L1429" s="6"/>
      <c r="M1429" s="5" t="str">
        <f>IFERROR(VLOOKUP(E1429,Specifications!$A$2:$D$9,2,FALSE),"")</f>
        <v/>
      </c>
      <c r="N1429" s="5" t="str">
        <f>IFERROR(VLOOKUP(E1429,Specifications!$A$2:$D$9,3,FALSE),"")</f>
        <v/>
      </c>
      <c r="O1429" s="5" t="str">
        <f>IFERROR(VLOOKUP(E1429,Specifications!$A$2:$D$9,4,FALSE),"")</f>
        <v/>
      </c>
      <c r="P1429" s="8" t="str">
        <f t="shared" si="69"/>
        <v/>
      </c>
      <c r="Q1429" s="9"/>
    </row>
    <row r="1430" spans="1:17" ht="15">
      <c r="A1430" s="5" t="str">
        <f t="shared" si="67"/>
        <v/>
      </c>
      <c r="B1430" s="6"/>
      <c r="C1430" s="5" t="str">
        <f>IFERROR(VLOOKUP(B1430,Lists!$A$2:$B$25,2,FALSE),"")</f>
        <v/>
      </c>
      <c r="D1430" s="7"/>
      <c r="E1430" s="6"/>
      <c r="F1430" s="6" t="str">
        <f t="shared" si="68"/>
        <v/>
      </c>
      <c r="G1430" s="6"/>
      <c r="H1430" s="6"/>
      <c r="I1430" s="6"/>
      <c r="J1430" s="7"/>
      <c r="K1430" s="5" t="str" cm="1">
        <f t="array" ref="K1430">IF(OR(A1430="",B1430="",D1430="",E1430=""),"",A1430&amp;"_"&amp;SUBSTITUTE(B1430," ","-")&amp;"_"&amp;D1430&amp;"_"&amp;SUBSTITUTE(SUBSTITUTE(E1430," ",""),"€","Euro")&amp;"_"&amp;IF(F1430="","Unknown",F1430)&amp;IF(F1430="Commemorative",IF(G1430="","","_"&amp;SUBSTITUTE(SUBSTITUTE(SUBSTITUTE(G1430," ","-"),"/","-"),CHAR(39),"")),"")&amp;IF(I1430="Duplicate","_Dub"&amp;IF(SUMPRODUCT(($B$2:B1430=B1430)*($D$2:D1430=D1430)*($E$2:E1430=E1430)*($F$2:F1430=F1430)*($G$2:G1430=G1430)*($I$2:I1430="Duplicate"))&lt;=1,"",SUMPRODUCT(($B$2:B1430=B1430)*($D$2:D1430=D1430)*($E$2:E1430=E1430)*($F$2:F1430=F1430)*($G$2:G1430=G1430)*($I$2:I1430="Duplicate"))-1),"")&amp;".jpeg")</f>
        <v/>
      </c>
      <c r="L1430" s="6"/>
      <c r="M1430" s="5" t="str">
        <f>IFERROR(VLOOKUP(E1430,Specifications!$A$2:$D$9,2,FALSE),"")</f>
        <v/>
      </c>
      <c r="N1430" s="5" t="str">
        <f>IFERROR(VLOOKUP(E1430,Specifications!$A$2:$D$9,3,FALSE),"")</f>
        <v/>
      </c>
      <c r="O1430" s="5" t="str">
        <f>IFERROR(VLOOKUP(E1430,Specifications!$A$2:$D$9,4,FALSE),"")</f>
        <v/>
      </c>
      <c r="P1430" s="8" t="str">
        <f t="shared" si="69"/>
        <v/>
      </c>
      <c r="Q1430" s="9"/>
    </row>
    <row r="1431" spans="1:17" ht="15">
      <c r="A1431" s="5" t="str">
        <f t="shared" si="67"/>
        <v/>
      </c>
      <c r="B1431" s="6"/>
      <c r="C1431" s="5" t="str">
        <f>IFERROR(VLOOKUP(B1431,Lists!$A$2:$B$25,2,FALSE),"")</f>
        <v/>
      </c>
      <c r="D1431" s="7"/>
      <c r="E1431" s="6"/>
      <c r="F1431" s="6" t="str">
        <f t="shared" si="68"/>
        <v/>
      </c>
      <c r="G1431" s="6"/>
      <c r="H1431" s="6"/>
      <c r="I1431" s="6"/>
      <c r="J1431" s="7"/>
      <c r="K1431" s="5" t="str" cm="1">
        <f t="array" ref="K1431">IF(OR(A1431="",B1431="",D1431="",E1431=""),"",A1431&amp;"_"&amp;SUBSTITUTE(B1431," ","-")&amp;"_"&amp;D1431&amp;"_"&amp;SUBSTITUTE(SUBSTITUTE(E1431," ",""),"€","Euro")&amp;"_"&amp;IF(F1431="","Unknown",F1431)&amp;IF(F1431="Commemorative",IF(G1431="","","_"&amp;SUBSTITUTE(SUBSTITUTE(SUBSTITUTE(G1431," ","-"),"/","-"),CHAR(39),"")),"")&amp;IF(I1431="Duplicate","_Dub"&amp;IF(SUMPRODUCT(($B$2:B1431=B1431)*($D$2:D1431=D1431)*($E$2:E1431=E1431)*($F$2:F1431=F1431)*($G$2:G1431=G1431)*($I$2:I1431="Duplicate"))&lt;=1,"",SUMPRODUCT(($B$2:B1431=B1431)*($D$2:D1431=D1431)*($E$2:E1431=E1431)*($F$2:F1431=F1431)*($G$2:G1431=G1431)*($I$2:I1431="Duplicate"))-1),"")&amp;".jpeg")</f>
        <v/>
      </c>
      <c r="L1431" s="6"/>
      <c r="M1431" s="5" t="str">
        <f>IFERROR(VLOOKUP(E1431,Specifications!$A$2:$D$9,2,FALSE),"")</f>
        <v/>
      </c>
      <c r="N1431" s="5" t="str">
        <f>IFERROR(VLOOKUP(E1431,Specifications!$A$2:$D$9,3,FALSE),"")</f>
        <v/>
      </c>
      <c r="O1431" s="5" t="str">
        <f>IFERROR(VLOOKUP(E1431,Specifications!$A$2:$D$9,4,FALSE),"")</f>
        <v/>
      </c>
      <c r="P1431" s="8" t="str">
        <f t="shared" si="69"/>
        <v/>
      </c>
      <c r="Q1431" s="9"/>
    </row>
    <row r="1432" spans="1:17" ht="15">
      <c r="A1432" s="5" t="str">
        <f t="shared" si="67"/>
        <v/>
      </c>
      <c r="B1432" s="6"/>
      <c r="C1432" s="5" t="str">
        <f>IFERROR(VLOOKUP(B1432,Lists!$A$2:$B$25,2,FALSE),"")</f>
        <v/>
      </c>
      <c r="D1432" s="7"/>
      <c r="E1432" s="6"/>
      <c r="F1432" s="6" t="str">
        <f t="shared" si="68"/>
        <v/>
      </c>
      <c r="G1432" s="6"/>
      <c r="H1432" s="6"/>
      <c r="I1432" s="6"/>
      <c r="J1432" s="7"/>
      <c r="K1432" s="5" t="str" cm="1">
        <f t="array" ref="K1432">IF(OR(A1432="",B1432="",D1432="",E1432=""),"",A1432&amp;"_"&amp;SUBSTITUTE(B1432," ","-")&amp;"_"&amp;D1432&amp;"_"&amp;SUBSTITUTE(SUBSTITUTE(E1432," ",""),"€","Euro")&amp;"_"&amp;IF(F1432="","Unknown",F1432)&amp;IF(F1432="Commemorative",IF(G1432="","","_"&amp;SUBSTITUTE(SUBSTITUTE(SUBSTITUTE(G1432," ","-"),"/","-"),CHAR(39),"")),"")&amp;IF(I1432="Duplicate","_Dub"&amp;IF(SUMPRODUCT(($B$2:B1432=B1432)*($D$2:D1432=D1432)*($E$2:E1432=E1432)*($F$2:F1432=F1432)*($G$2:G1432=G1432)*($I$2:I1432="Duplicate"))&lt;=1,"",SUMPRODUCT(($B$2:B1432=B1432)*($D$2:D1432=D1432)*($E$2:E1432=E1432)*($F$2:F1432=F1432)*($G$2:G1432=G1432)*($I$2:I1432="Duplicate"))-1),"")&amp;".jpeg")</f>
        <v/>
      </c>
      <c r="L1432" s="6"/>
      <c r="M1432" s="5" t="str">
        <f>IFERROR(VLOOKUP(E1432,Specifications!$A$2:$D$9,2,FALSE),"")</f>
        <v/>
      </c>
      <c r="N1432" s="5" t="str">
        <f>IFERROR(VLOOKUP(E1432,Specifications!$A$2:$D$9,3,FALSE),"")</f>
        <v/>
      </c>
      <c r="O1432" s="5" t="str">
        <f>IFERROR(VLOOKUP(E1432,Specifications!$A$2:$D$9,4,FALSE),"")</f>
        <v/>
      </c>
      <c r="P1432" s="8" t="str">
        <f t="shared" si="69"/>
        <v/>
      </c>
      <c r="Q1432" s="9"/>
    </row>
    <row r="1433" spans="1:17" ht="15">
      <c r="A1433" s="5" t="str">
        <f t="shared" si="67"/>
        <v/>
      </c>
      <c r="B1433" s="6"/>
      <c r="C1433" s="5" t="str">
        <f>IFERROR(VLOOKUP(B1433,Lists!$A$2:$B$25,2,FALSE),"")</f>
        <v/>
      </c>
      <c r="D1433" s="7"/>
      <c r="E1433" s="6"/>
      <c r="F1433" s="6" t="str">
        <f t="shared" si="68"/>
        <v/>
      </c>
      <c r="G1433" s="6"/>
      <c r="H1433" s="6"/>
      <c r="I1433" s="6"/>
      <c r="J1433" s="7"/>
      <c r="K1433" s="5" t="str" cm="1">
        <f t="array" ref="K1433">IF(OR(A1433="",B1433="",D1433="",E1433=""),"",A1433&amp;"_"&amp;SUBSTITUTE(B1433," ","-")&amp;"_"&amp;D1433&amp;"_"&amp;SUBSTITUTE(SUBSTITUTE(E1433," ",""),"€","Euro")&amp;"_"&amp;IF(F1433="","Unknown",F1433)&amp;IF(F1433="Commemorative",IF(G1433="","","_"&amp;SUBSTITUTE(SUBSTITUTE(SUBSTITUTE(G1433," ","-"),"/","-"),CHAR(39),"")),"")&amp;IF(I1433="Duplicate","_Dub"&amp;IF(SUMPRODUCT(($B$2:B1433=B1433)*($D$2:D1433=D1433)*($E$2:E1433=E1433)*($F$2:F1433=F1433)*($G$2:G1433=G1433)*($I$2:I1433="Duplicate"))&lt;=1,"",SUMPRODUCT(($B$2:B1433=B1433)*($D$2:D1433=D1433)*($E$2:E1433=E1433)*($F$2:F1433=F1433)*($G$2:G1433=G1433)*($I$2:I1433="Duplicate"))-1),"")&amp;".jpeg")</f>
        <v/>
      </c>
      <c r="L1433" s="6"/>
      <c r="M1433" s="5" t="str">
        <f>IFERROR(VLOOKUP(E1433,Specifications!$A$2:$D$9,2,FALSE),"")</f>
        <v/>
      </c>
      <c r="N1433" s="5" t="str">
        <f>IFERROR(VLOOKUP(E1433,Specifications!$A$2:$D$9,3,FALSE),"")</f>
        <v/>
      </c>
      <c r="O1433" s="5" t="str">
        <f>IFERROR(VLOOKUP(E1433,Specifications!$A$2:$D$9,4,FALSE),"")</f>
        <v/>
      </c>
      <c r="P1433" s="8" t="str">
        <f t="shared" si="69"/>
        <v/>
      </c>
      <c r="Q1433" s="9"/>
    </row>
    <row r="1434" spans="1:17" ht="15">
      <c r="A1434" s="5" t="str">
        <f t="shared" si="67"/>
        <v/>
      </c>
      <c r="B1434" s="6"/>
      <c r="C1434" s="5" t="str">
        <f>IFERROR(VLOOKUP(B1434,Lists!$A$2:$B$25,2,FALSE),"")</f>
        <v/>
      </c>
      <c r="D1434" s="7"/>
      <c r="E1434" s="6"/>
      <c r="F1434" s="6" t="str">
        <f t="shared" si="68"/>
        <v/>
      </c>
      <c r="G1434" s="6"/>
      <c r="H1434" s="6"/>
      <c r="I1434" s="6"/>
      <c r="J1434" s="7"/>
      <c r="K1434" s="5" t="str" cm="1">
        <f t="array" ref="K1434">IF(OR(A1434="",B1434="",D1434="",E1434=""),"",A1434&amp;"_"&amp;SUBSTITUTE(B1434," ","-")&amp;"_"&amp;D1434&amp;"_"&amp;SUBSTITUTE(SUBSTITUTE(E1434," ",""),"€","Euro")&amp;"_"&amp;IF(F1434="","Unknown",F1434)&amp;IF(F1434="Commemorative",IF(G1434="","","_"&amp;SUBSTITUTE(SUBSTITUTE(SUBSTITUTE(G1434," ","-"),"/","-"),CHAR(39),"")),"")&amp;IF(I1434="Duplicate","_Dub"&amp;IF(SUMPRODUCT(($B$2:B1434=B1434)*($D$2:D1434=D1434)*($E$2:E1434=E1434)*($F$2:F1434=F1434)*($G$2:G1434=G1434)*($I$2:I1434="Duplicate"))&lt;=1,"",SUMPRODUCT(($B$2:B1434=B1434)*($D$2:D1434=D1434)*($E$2:E1434=E1434)*($F$2:F1434=F1434)*($G$2:G1434=G1434)*($I$2:I1434="Duplicate"))-1),"")&amp;".jpeg")</f>
        <v/>
      </c>
      <c r="L1434" s="6"/>
      <c r="M1434" s="5" t="str">
        <f>IFERROR(VLOOKUP(E1434,Specifications!$A$2:$D$9,2,FALSE),"")</f>
        <v/>
      </c>
      <c r="N1434" s="5" t="str">
        <f>IFERROR(VLOOKUP(E1434,Specifications!$A$2:$D$9,3,FALSE),"")</f>
        <v/>
      </c>
      <c r="O1434" s="5" t="str">
        <f>IFERROR(VLOOKUP(E1434,Specifications!$A$2:$D$9,4,FALSE),"")</f>
        <v/>
      </c>
      <c r="P1434" s="8" t="str">
        <f t="shared" si="69"/>
        <v/>
      </c>
      <c r="Q1434" s="9"/>
    </row>
    <row r="1435" spans="1:17" ht="15">
      <c r="A1435" s="5" t="str">
        <f t="shared" si="67"/>
        <v/>
      </c>
      <c r="B1435" s="6"/>
      <c r="C1435" s="5" t="str">
        <f>IFERROR(VLOOKUP(B1435,Lists!$A$2:$B$25,2,FALSE),"")</f>
        <v/>
      </c>
      <c r="D1435" s="7"/>
      <c r="E1435" s="6"/>
      <c r="F1435" s="6" t="str">
        <f t="shared" si="68"/>
        <v/>
      </c>
      <c r="G1435" s="6"/>
      <c r="H1435" s="6"/>
      <c r="I1435" s="6"/>
      <c r="J1435" s="7"/>
      <c r="K1435" s="5" t="str" cm="1">
        <f t="array" ref="K1435">IF(OR(A1435="",B1435="",D1435="",E1435=""),"",A1435&amp;"_"&amp;SUBSTITUTE(B1435," ","-")&amp;"_"&amp;D1435&amp;"_"&amp;SUBSTITUTE(SUBSTITUTE(E1435," ",""),"€","Euro")&amp;"_"&amp;IF(F1435="","Unknown",F1435)&amp;IF(F1435="Commemorative",IF(G1435="","","_"&amp;SUBSTITUTE(SUBSTITUTE(SUBSTITUTE(G1435," ","-"),"/","-"),CHAR(39),"")),"")&amp;IF(I1435="Duplicate","_Dub"&amp;IF(SUMPRODUCT(($B$2:B1435=B1435)*($D$2:D1435=D1435)*($E$2:E1435=E1435)*($F$2:F1435=F1435)*($G$2:G1435=G1435)*($I$2:I1435="Duplicate"))&lt;=1,"",SUMPRODUCT(($B$2:B1435=B1435)*($D$2:D1435=D1435)*($E$2:E1435=E1435)*($F$2:F1435=F1435)*($G$2:G1435=G1435)*($I$2:I1435="Duplicate"))-1),"")&amp;".jpeg")</f>
        <v/>
      </c>
      <c r="L1435" s="6"/>
      <c r="M1435" s="5" t="str">
        <f>IFERROR(VLOOKUP(E1435,Specifications!$A$2:$D$9,2,FALSE),"")</f>
        <v/>
      </c>
      <c r="N1435" s="5" t="str">
        <f>IFERROR(VLOOKUP(E1435,Specifications!$A$2:$D$9,3,FALSE),"")</f>
        <v/>
      </c>
      <c r="O1435" s="5" t="str">
        <f>IFERROR(VLOOKUP(E1435,Specifications!$A$2:$D$9,4,FALSE),"")</f>
        <v/>
      </c>
      <c r="P1435" s="8" t="str">
        <f t="shared" si="69"/>
        <v/>
      </c>
      <c r="Q1435" s="9"/>
    </row>
    <row r="1436" spans="1:17" ht="15">
      <c r="A1436" s="5" t="str">
        <f t="shared" si="67"/>
        <v/>
      </c>
      <c r="B1436" s="6"/>
      <c r="C1436" s="5" t="str">
        <f>IFERROR(VLOOKUP(B1436,Lists!$A$2:$B$25,2,FALSE),"")</f>
        <v/>
      </c>
      <c r="D1436" s="7"/>
      <c r="E1436" s="6"/>
      <c r="F1436" s="6" t="str">
        <f t="shared" si="68"/>
        <v/>
      </c>
      <c r="G1436" s="6"/>
      <c r="H1436" s="6"/>
      <c r="I1436" s="6"/>
      <c r="J1436" s="7"/>
      <c r="K1436" s="5" t="str" cm="1">
        <f t="array" ref="K1436">IF(OR(A1436="",B1436="",D1436="",E1436=""),"",A1436&amp;"_"&amp;SUBSTITUTE(B1436," ","-")&amp;"_"&amp;D1436&amp;"_"&amp;SUBSTITUTE(SUBSTITUTE(E1436," ",""),"€","Euro")&amp;"_"&amp;IF(F1436="","Unknown",F1436)&amp;IF(F1436="Commemorative",IF(G1436="","","_"&amp;SUBSTITUTE(SUBSTITUTE(SUBSTITUTE(G1436," ","-"),"/","-"),CHAR(39),"")),"")&amp;IF(I1436="Duplicate","_Dub"&amp;IF(SUMPRODUCT(($B$2:B1436=B1436)*($D$2:D1436=D1436)*($E$2:E1436=E1436)*($F$2:F1436=F1436)*($G$2:G1436=G1436)*($I$2:I1436="Duplicate"))&lt;=1,"",SUMPRODUCT(($B$2:B1436=B1436)*($D$2:D1436=D1436)*($E$2:E1436=E1436)*($F$2:F1436=F1436)*($G$2:G1436=G1436)*($I$2:I1436="Duplicate"))-1),"")&amp;".jpeg")</f>
        <v/>
      </c>
      <c r="L1436" s="6"/>
      <c r="M1436" s="5" t="str">
        <f>IFERROR(VLOOKUP(E1436,Specifications!$A$2:$D$9,2,FALSE),"")</f>
        <v/>
      </c>
      <c r="N1436" s="5" t="str">
        <f>IFERROR(VLOOKUP(E1436,Specifications!$A$2:$D$9,3,FALSE),"")</f>
        <v/>
      </c>
      <c r="O1436" s="5" t="str">
        <f>IFERROR(VLOOKUP(E1436,Specifications!$A$2:$D$9,4,FALSE),"")</f>
        <v/>
      </c>
      <c r="P1436" s="8" t="str">
        <f t="shared" si="69"/>
        <v/>
      </c>
      <c r="Q1436" s="9"/>
    </row>
    <row r="1437" spans="1:17" ht="15">
      <c r="A1437" s="5" t="str">
        <f t="shared" si="67"/>
        <v/>
      </c>
      <c r="B1437" s="6"/>
      <c r="C1437" s="5" t="str">
        <f>IFERROR(VLOOKUP(B1437,Lists!$A$2:$B$25,2,FALSE),"")</f>
        <v/>
      </c>
      <c r="D1437" s="7"/>
      <c r="E1437" s="6"/>
      <c r="F1437" s="6" t="str">
        <f t="shared" si="68"/>
        <v/>
      </c>
      <c r="G1437" s="6"/>
      <c r="H1437" s="6"/>
      <c r="I1437" s="6"/>
      <c r="J1437" s="7"/>
      <c r="K1437" s="5" t="str" cm="1">
        <f t="array" ref="K1437">IF(OR(A1437="",B1437="",D1437="",E1437=""),"",A1437&amp;"_"&amp;SUBSTITUTE(B1437," ","-")&amp;"_"&amp;D1437&amp;"_"&amp;SUBSTITUTE(SUBSTITUTE(E1437," ",""),"€","Euro")&amp;"_"&amp;IF(F1437="","Unknown",F1437)&amp;IF(F1437="Commemorative",IF(G1437="","","_"&amp;SUBSTITUTE(SUBSTITUTE(SUBSTITUTE(G1437," ","-"),"/","-"),CHAR(39),"")),"")&amp;IF(I1437="Duplicate","_Dub"&amp;IF(SUMPRODUCT(($B$2:B1437=B1437)*($D$2:D1437=D1437)*($E$2:E1437=E1437)*($F$2:F1437=F1437)*($G$2:G1437=G1437)*($I$2:I1437="Duplicate"))&lt;=1,"",SUMPRODUCT(($B$2:B1437=B1437)*($D$2:D1437=D1437)*($E$2:E1437=E1437)*($F$2:F1437=F1437)*($G$2:G1437=G1437)*($I$2:I1437="Duplicate"))-1),"")&amp;".jpeg")</f>
        <v/>
      </c>
      <c r="L1437" s="6"/>
      <c r="M1437" s="5" t="str">
        <f>IFERROR(VLOOKUP(E1437,Specifications!$A$2:$D$9,2,FALSE),"")</f>
        <v/>
      </c>
      <c r="N1437" s="5" t="str">
        <f>IFERROR(VLOOKUP(E1437,Specifications!$A$2:$D$9,3,FALSE),"")</f>
        <v/>
      </c>
      <c r="O1437" s="5" t="str">
        <f>IFERROR(VLOOKUP(E1437,Specifications!$A$2:$D$9,4,FALSE),"")</f>
        <v/>
      </c>
      <c r="P1437" s="8" t="str">
        <f t="shared" si="69"/>
        <v/>
      </c>
      <c r="Q1437" s="9"/>
    </row>
    <row r="1438" spans="1:17" ht="15">
      <c r="A1438" s="5" t="str">
        <f t="shared" si="67"/>
        <v/>
      </c>
      <c r="B1438" s="6"/>
      <c r="C1438" s="5" t="str">
        <f>IFERROR(VLOOKUP(B1438,Lists!$A$2:$B$25,2,FALSE),"")</f>
        <v/>
      </c>
      <c r="D1438" s="7"/>
      <c r="E1438" s="6"/>
      <c r="F1438" s="6" t="str">
        <f t="shared" si="68"/>
        <v/>
      </c>
      <c r="G1438" s="6"/>
      <c r="H1438" s="6"/>
      <c r="I1438" s="6"/>
      <c r="J1438" s="7"/>
      <c r="K1438" s="5" t="str" cm="1">
        <f t="array" ref="K1438">IF(OR(A1438="",B1438="",D1438="",E1438=""),"",A1438&amp;"_"&amp;SUBSTITUTE(B1438," ","-")&amp;"_"&amp;D1438&amp;"_"&amp;SUBSTITUTE(SUBSTITUTE(E1438," ",""),"€","Euro")&amp;"_"&amp;IF(F1438="","Unknown",F1438)&amp;IF(F1438="Commemorative",IF(G1438="","","_"&amp;SUBSTITUTE(SUBSTITUTE(SUBSTITUTE(G1438," ","-"),"/","-"),CHAR(39),"")),"")&amp;IF(I1438="Duplicate","_Dub"&amp;IF(SUMPRODUCT(($B$2:B1438=B1438)*($D$2:D1438=D1438)*($E$2:E1438=E1438)*($F$2:F1438=F1438)*($G$2:G1438=G1438)*($I$2:I1438="Duplicate"))&lt;=1,"",SUMPRODUCT(($B$2:B1438=B1438)*($D$2:D1438=D1438)*($E$2:E1438=E1438)*($F$2:F1438=F1438)*($G$2:G1438=G1438)*($I$2:I1438="Duplicate"))-1),"")&amp;".jpeg")</f>
        <v/>
      </c>
      <c r="L1438" s="6"/>
      <c r="M1438" s="5" t="str">
        <f>IFERROR(VLOOKUP(E1438,Specifications!$A$2:$D$9,2,FALSE),"")</f>
        <v/>
      </c>
      <c r="N1438" s="5" t="str">
        <f>IFERROR(VLOOKUP(E1438,Specifications!$A$2:$D$9,3,FALSE),"")</f>
        <v/>
      </c>
      <c r="O1438" s="5" t="str">
        <f>IFERROR(VLOOKUP(E1438,Specifications!$A$2:$D$9,4,FALSE),"")</f>
        <v/>
      </c>
      <c r="P1438" s="8" t="str">
        <f t="shared" si="69"/>
        <v/>
      </c>
      <c r="Q1438" s="9"/>
    </row>
    <row r="1439" spans="1:17" ht="15">
      <c r="A1439" s="5" t="str">
        <f t="shared" si="67"/>
        <v/>
      </c>
      <c r="B1439" s="6"/>
      <c r="C1439" s="5" t="str">
        <f>IFERROR(VLOOKUP(B1439,Lists!$A$2:$B$25,2,FALSE),"")</f>
        <v/>
      </c>
      <c r="D1439" s="7"/>
      <c r="E1439" s="6"/>
      <c r="F1439" s="6" t="str">
        <f t="shared" si="68"/>
        <v/>
      </c>
      <c r="G1439" s="6"/>
      <c r="H1439" s="6"/>
      <c r="I1439" s="6"/>
      <c r="J1439" s="7"/>
      <c r="K1439" s="5" t="str" cm="1">
        <f t="array" ref="K1439">IF(OR(A1439="",B1439="",D1439="",E1439=""),"",A1439&amp;"_"&amp;SUBSTITUTE(B1439," ","-")&amp;"_"&amp;D1439&amp;"_"&amp;SUBSTITUTE(SUBSTITUTE(E1439," ",""),"€","Euro")&amp;"_"&amp;IF(F1439="","Unknown",F1439)&amp;IF(F1439="Commemorative",IF(G1439="","","_"&amp;SUBSTITUTE(SUBSTITUTE(SUBSTITUTE(G1439," ","-"),"/","-"),CHAR(39),"")),"")&amp;IF(I1439="Duplicate","_Dub"&amp;IF(SUMPRODUCT(($B$2:B1439=B1439)*($D$2:D1439=D1439)*($E$2:E1439=E1439)*($F$2:F1439=F1439)*($G$2:G1439=G1439)*($I$2:I1439="Duplicate"))&lt;=1,"",SUMPRODUCT(($B$2:B1439=B1439)*($D$2:D1439=D1439)*($E$2:E1439=E1439)*($F$2:F1439=F1439)*($G$2:G1439=G1439)*($I$2:I1439="Duplicate"))-1),"")&amp;".jpeg")</f>
        <v/>
      </c>
      <c r="L1439" s="6"/>
      <c r="M1439" s="5" t="str">
        <f>IFERROR(VLOOKUP(E1439,Specifications!$A$2:$D$9,2,FALSE),"")</f>
        <v/>
      </c>
      <c r="N1439" s="5" t="str">
        <f>IFERROR(VLOOKUP(E1439,Specifications!$A$2:$D$9,3,FALSE),"")</f>
        <v/>
      </c>
      <c r="O1439" s="5" t="str">
        <f>IFERROR(VLOOKUP(E1439,Specifications!$A$2:$D$9,4,FALSE),"")</f>
        <v/>
      </c>
      <c r="P1439" s="8" t="str">
        <f t="shared" si="69"/>
        <v/>
      </c>
      <c r="Q1439" s="9"/>
    </row>
    <row r="1440" spans="1:17" ht="15">
      <c r="A1440" s="5" t="str">
        <f t="shared" si="67"/>
        <v/>
      </c>
      <c r="B1440" s="6"/>
      <c r="C1440" s="5" t="str">
        <f>IFERROR(VLOOKUP(B1440,Lists!$A$2:$B$25,2,FALSE),"")</f>
        <v/>
      </c>
      <c r="D1440" s="7"/>
      <c r="E1440" s="6"/>
      <c r="F1440" s="6" t="str">
        <f t="shared" si="68"/>
        <v/>
      </c>
      <c r="G1440" s="6"/>
      <c r="H1440" s="6"/>
      <c r="I1440" s="6"/>
      <c r="J1440" s="7"/>
      <c r="K1440" s="5" t="str" cm="1">
        <f t="array" ref="K1440">IF(OR(A1440="",B1440="",D1440="",E1440=""),"",A1440&amp;"_"&amp;SUBSTITUTE(B1440," ","-")&amp;"_"&amp;D1440&amp;"_"&amp;SUBSTITUTE(SUBSTITUTE(E1440," ",""),"€","Euro")&amp;"_"&amp;IF(F1440="","Unknown",F1440)&amp;IF(F1440="Commemorative",IF(G1440="","","_"&amp;SUBSTITUTE(SUBSTITUTE(SUBSTITUTE(G1440," ","-"),"/","-"),CHAR(39),"")),"")&amp;IF(I1440="Duplicate","_Dub"&amp;IF(SUMPRODUCT(($B$2:B1440=B1440)*($D$2:D1440=D1440)*($E$2:E1440=E1440)*($F$2:F1440=F1440)*($G$2:G1440=G1440)*($I$2:I1440="Duplicate"))&lt;=1,"",SUMPRODUCT(($B$2:B1440=B1440)*($D$2:D1440=D1440)*($E$2:E1440=E1440)*($F$2:F1440=F1440)*($G$2:G1440=G1440)*($I$2:I1440="Duplicate"))-1),"")&amp;".jpeg")</f>
        <v/>
      </c>
      <c r="L1440" s="6"/>
      <c r="M1440" s="5" t="str">
        <f>IFERROR(VLOOKUP(E1440,Specifications!$A$2:$D$9,2,FALSE),"")</f>
        <v/>
      </c>
      <c r="N1440" s="5" t="str">
        <f>IFERROR(VLOOKUP(E1440,Specifications!$A$2:$D$9,3,FALSE),"")</f>
        <v/>
      </c>
      <c r="O1440" s="5" t="str">
        <f>IFERROR(VLOOKUP(E1440,Specifications!$A$2:$D$9,4,FALSE),"")</f>
        <v/>
      </c>
      <c r="P1440" s="8" t="str">
        <f t="shared" si="69"/>
        <v/>
      </c>
      <c r="Q1440" s="9"/>
    </row>
    <row r="1441" spans="1:17" ht="15">
      <c r="A1441" s="5" t="str">
        <f t="shared" si="67"/>
        <v/>
      </c>
      <c r="B1441" s="6"/>
      <c r="C1441" s="5" t="str">
        <f>IFERROR(VLOOKUP(B1441,Lists!$A$2:$B$25,2,FALSE),"")</f>
        <v/>
      </c>
      <c r="D1441" s="7"/>
      <c r="E1441" s="6"/>
      <c r="F1441" s="6" t="str">
        <f t="shared" si="68"/>
        <v/>
      </c>
      <c r="G1441" s="6"/>
      <c r="H1441" s="6"/>
      <c r="I1441" s="6"/>
      <c r="J1441" s="7"/>
      <c r="K1441" s="5" t="str" cm="1">
        <f t="array" ref="K1441">IF(OR(A1441="",B1441="",D1441="",E1441=""),"",A1441&amp;"_"&amp;SUBSTITUTE(B1441," ","-")&amp;"_"&amp;D1441&amp;"_"&amp;SUBSTITUTE(SUBSTITUTE(E1441," ",""),"€","Euro")&amp;"_"&amp;IF(F1441="","Unknown",F1441)&amp;IF(F1441="Commemorative",IF(G1441="","","_"&amp;SUBSTITUTE(SUBSTITUTE(SUBSTITUTE(G1441," ","-"),"/","-"),CHAR(39),"")),"")&amp;IF(I1441="Duplicate","_Dub"&amp;IF(SUMPRODUCT(($B$2:B1441=B1441)*($D$2:D1441=D1441)*($E$2:E1441=E1441)*($F$2:F1441=F1441)*($G$2:G1441=G1441)*($I$2:I1441="Duplicate"))&lt;=1,"",SUMPRODUCT(($B$2:B1441=B1441)*($D$2:D1441=D1441)*($E$2:E1441=E1441)*($F$2:F1441=F1441)*($G$2:G1441=G1441)*($I$2:I1441="Duplicate"))-1),"")&amp;".jpeg")</f>
        <v/>
      </c>
      <c r="L1441" s="6"/>
      <c r="M1441" s="5" t="str">
        <f>IFERROR(VLOOKUP(E1441,Specifications!$A$2:$D$9,2,FALSE),"")</f>
        <v/>
      </c>
      <c r="N1441" s="5" t="str">
        <f>IFERROR(VLOOKUP(E1441,Specifications!$A$2:$D$9,3,FALSE),"")</f>
        <v/>
      </c>
      <c r="O1441" s="5" t="str">
        <f>IFERROR(VLOOKUP(E1441,Specifications!$A$2:$D$9,4,FALSE),"")</f>
        <v/>
      </c>
      <c r="P1441" s="8" t="str">
        <f t="shared" si="69"/>
        <v/>
      </c>
      <c r="Q1441" s="9"/>
    </row>
    <row r="1442" spans="1:17" ht="15">
      <c r="A1442" s="5" t="str">
        <f t="shared" si="67"/>
        <v/>
      </c>
      <c r="B1442" s="6"/>
      <c r="C1442" s="5" t="str">
        <f>IFERROR(VLOOKUP(B1442,Lists!$A$2:$B$25,2,FALSE),"")</f>
        <v/>
      </c>
      <c r="D1442" s="7"/>
      <c r="E1442" s="6"/>
      <c r="F1442" s="6" t="str">
        <f t="shared" si="68"/>
        <v/>
      </c>
      <c r="G1442" s="6"/>
      <c r="H1442" s="6"/>
      <c r="I1442" s="6"/>
      <c r="J1442" s="7"/>
      <c r="K1442" s="5" t="str" cm="1">
        <f t="array" ref="K1442">IF(OR(A1442="",B1442="",D1442="",E1442=""),"",A1442&amp;"_"&amp;SUBSTITUTE(B1442," ","-")&amp;"_"&amp;D1442&amp;"_"&amp;SUBSTITUTE(SUBSTITUTE(E1442," ",""),"€","Euro")&amp;"_"&amp;IF(F1442="","Unknown",F1442)&amp;IF(F1442="Commemorative",IF(G1442="","","_"&amp;SUBSTITUTE(SUBSTITUTE(SUBSTITUTE(G1442," ","-"),"/","-"),CHAR(39),"")),"")&amp;IF(I1442="Duplicate","_Dub"&amp;IF(SUMPRODUCT(($B$2:B1442=B1442)*($D$2:D1442=D1442)*($E$2:E1442=E1442)*($F$2:F1442=F1442)*($G$2:G1442=G1442)*($I$2:I1442="Duplicate"))&lt;=1,"",SUMPRODUCT(($B$2:B1442=B1442)*($D$2:D1442=D1442)*($E$2:E1442=E1442)*($F$2:F1442=F1442)*($G$2:G1442=G1442)*($I$2:I1442="Duplicate"))-1),"")&amp;".jpeg")</f>
        <v/>
      </c>
      <c r="L1442" s="6"/>
      <c r="M1442" s="5" t="str">
        <f>IFERROR(VLOOKUP(E1442,Specifications!$A$2:$D$9,2,FALSE),"")</f>
        <v/>
      </c>
      <c r="N1442" s="5" t="str">
        <f>IFERROR(VLOOKUP(E1442,Specifications!$A$2:$D$9,3,FALSE),"")</f>
        <v/>
      </c>
      <c r="O1442" s="5" t="str">
        <f>IFERROR(VLOOKUP(E1442,Specifications!$A$2:$D$9,4,FALSE),"")</f>
        <v/>
      </c>
      <c r="P1442" s="8" t="str">
        <f t="shared" si="69"/>
        <v/>
      </c>
      <c r="Q1442" s="9"/>
    </row>
    <row r="1443" spans="1:17" ht="15">
      <c r="A1443" s="5" t="str">
        <f t="shared" si="67"/>
        <v/>
      </c>
      <c r="B1443" s="6"/>
      <c r="C1443" s="5" t="str">
        <f>IFERROR(VLOOKUP(B1443,Lists!$A$2:$B$25,2,FALSE),"")</f>
        <v/>
      </c>
      <c r="D1443" s="7"/>
      <c r="E1443" s="6"/>
      <c r="F1443" s="6" t="str">
        <f t="shared" si="68"/>
        <v/>
      </c>
      <c r="G1443" s="6"/>
      <c r="H1443" s="6"/>
      <c r="I1443" s="6"/>
      <c r="J1443" s="7"/>
      <c r="K1443" s="5" t="str" cm="1">
        <f t="array" ref="K1443">IF(OR(A1443="",B1443="",D1443="",E1443=""),"",A1443&amp;"_"&amp;SUBSTITUTE(B1443," ","-")&amp;"_"&amp;D1443&amp;"_"&amp;SUBSTITUTE(SUBSTITUTE(E1443," ",""),"€","Euro")&amp;"_"&amp;IF(F1443="","Unknown",F1443)&amp;IF(F1443="Commemorative",IF(G1443="","","_"&amp;SUBSTITUTE(SUBSTITUTE(SUBSTITUTE(G1443," ","-"),"/","-"),CHAR(39),"")),"")&amp;IF(I1443="Duplicate","_Dub"&amp;IF(SUMPRODUCT(($B$2:B1443=B1443)*($D$2:D1443=D1443)*($E$2:E1443=E1443)*($F$2:F1443=F1443)*($G$2:G1443=G1443)*($I$2:I1443="Duplicate"))&lt;=1,"",SUMPRODUCT(($B$2:B1443=B1443)*($D$2:D1443=D1443)*($E$2:E1443=E1443)*($F$2:F1443=F1443)*($G$2:G1443=G1443)*($I$2:I1443="Duplicate"))-1),"")&amp;".jpeg")</f>
        <v/>
      </c>
      <c r="L1443" s="6"/>
      <c r="M1443" s="5" t="str">
        <f>IFERROR(VLOOKUP(E1443,Specifications!$A$2:$D$9,2,FALSE),"")</f>
        <v/>
      </c>
      <c r="N1443" s="5" t="str">
        <f>IFERROR(VLOOKUP(E1443,Specifications!$A$2:$D$9,3,FALSE),"")</f>
        <v/>
      </c>
      <c r="O1443" s="5" t="str">
        <f>IFERROR(VLOOKUP(E1443,Specifications!$A$2:$D$9,4,FALSE),"")</f>
        <v/>
      </c>
      <c r="P1443" s="8" t="str">
        <f t="shared" si="69"/>
        <v/>
      </c>
      <c r="Q1443" s="9"/>
    </row>
    <row r="1444" spans="1:17" ht="15">
      <c r="A1444" s="5" t="str">
        <f t="shared" si="67"/>
        <v/>
      </c>
      <c r="B1444" s="6"/>
      <c r="C1444" s="5" t="str">
        <f>IFERROR(VLOOKUP(B1444,Lists!$A$2:$B$25,2,FALSE),"")</f>
        <v/>
      </c>
      <c r="D1444" s="7"/>
      <c r="E1444" s="6"/>
      <c r="F1444" s="6" t="str">
        <f t="shared" si="68"/>
        <v/>
      </c>
      <c r="G1444" s="6"/>
      <c r="H1444" s="6"/>
      <c r="I1444" s="6"/>
      <c r="J1444" s="7"/>
      <c r="K1444" s="5" t="str" cm="1">
        <f t="array" ref="K1444">IF(OR(A1444="",B1444="",D1444="",E1444=""),"",A1444&amp;"_"&amp;SUBSTITUTE(B1444," ","-")&amp;"_"&amp;D1444&amp;"_"&amp;SUBSTITUTE(SUBSTITUTE(E1444," ",""),"€","Euro")&amp;"_"&amp;IF(F1444="","Unknown",F1444)&amp;IF(F1444="Commemorative",IF(G1444="","","_"&amp;SUBSTITUTE(SUBSTITUTE(SUBSTITUTE(G1444," ","-"),"/","-"),CHAR(39),"")),"")&amp;IF(I1444="Duplicate","_Dub"&amp;IF(SUMPRODUCT(($B$2:B1444=B1444)*($D$2:D1444=D1444)*($E$2:E1444=E1444)*($F$2:F1444=F1444)*($G$2:G1444=G1444)*($I$2:I1444="Duplicate"))&lt;=1,"",SUMPRODUCT(($B$2:B1444=B1444)*($D$2:D1444=D1444)*($E$2:E1444=E1444)*($F$2:F1444=F1444)*($G$2:G1444=G1444)*($I$2:I1444="Duplicate"))-1),"")&amp;".jpeg")</f>
        <v/>
      </c>
      <c r="L1444" s="6"/>
      <c r="M1444" s="5" t="str">
        <f>IFERROR(VLOOKUP(E1444,Specifications!$A$2:$D$9,2,FALSE),"")</f>
        <v/>
      </c>
      <c r="N1444" s="5" t="str">
        <f>IFERROR(VLOOKUP(E1444,Specifications!$A$2:$D$9,3,FALSE),"")</f>
        <v/>
      </c>
      <c r="O1444" s="5" t="str">
        <f>IFERROR(VLOOKUP(E1444,Specifications!$A$2:$D$9,4,FALSE),"")</f>
        <v/>
      </c>
      <c r="P1444" s="8" t="str">
        <f t="shared" si="69"/>
        <v/>
      </c>
      <c r="Q1444" s="9"/>
    </row>
    <row r="1445" spans="1:17" ht="15">
      <c r="A1445" s="5" t="str">
        <f t="shared" si="67"/>
        <v/>
      </c>
      <c r="B1445" s="6"/>
      <c r="C1445" s="5" t="str">
        <f>IFERROR(VLOOKUP(B1445,Lists!$A$2:$B$25,2,FALSE),"")</f>
        <v/>
      </c>
      <c r="D1445" s="7"/>
      <c r="E1445" s="6"/>
      <c r="F1445" s="6" t="str">
        <f t="shared" si="68"/>
        <v/>
      </c>
      <c r="G1445" s="6"/>
      <c r="H1445" s="6"/>
      <c r="I1445" s="6"/>
      <c r="J1445" s="7"/>
      <c r="K1445" s="5" t="str" cm="1">
        <f t="array" ref="K1445">IF(OR(A1445="",B1445="",D1445="",E1445=""),"",A1445&amp;"_"&amp;SUBSTITUTE(B1445," ","-")&amp;"_"&amp;D1445&amp;"_"&amp;SUBSTITUTE(SUBSTITUTE(E1445," ",""),"€","Euro")&amp;"_"&amp;IF(F1445="","Unknown",F1445)&amp;IF(F1445="Commemorative",IF(G1445="","","_"&amp;SUBSTITUTE(SUBSTITUTE(SUBSTITUTE(G1445," ","-"),"/","-"),CHAR(39),"")),"")&amp;IF(I1445="Duplicate","_Dub"&amp;IF(SUMPRODUCT(($B$2:B1445=B1445)*($D$2:D1445=D1445)*($E$2:E1445=E1445)*($F$2:F1445=F1445)*($G$2:G1445=G1445)*($I$2:I1445="Duplicate"))&lt;=1,"",SUMPRODUCT(($B$2:B1445=B1445)*($D$2:D1445=D1445)*($E$2:E1445=E1445)*($F$2:F1445=F1445)*($G$2:G1445=G1445)*($I$2:I1445="Duplicate"))-1),"")&amp;".jpeg")</f>
        <v/>
      </c>
      <c r="L1445" s="6"/>
      <c r="M1445" s="5" t="str">
        <f>IFERROR(VLOOKUP(E1445,Specifications!$A$2:$D$9,2,FALSE),"")</f>
        <v/>
      </c>
      <c r="N1445" s="5" t="str">
        <f>IFERROR(VLOOKUP(E1445,Specifications!$A$2:$D$9,3,FALSE),"")</f>
        <v/>
      </c>
      <c r="O1445" s="5" t="str">
        <f>IFERROR(VLOOKUP(E1445,Specifications!$A$2:$D$9,4,FALSE),"")</f>
        <v/>
      </c>
      <c r="P1445" s="8" t="str">
        <f t="shared" si="69"/>
        <v/>
      </c>
      <c r="Q1445" s="9"/>
    </row>
    <row r="1446" spans="1:17" ht="15">
      <c r="A1446" s="5" t="str">
        <f t="shared" si="67"/>
        <v/>
      </c>
      <c r="B1446" s="6"/>
      <c r="C1446" s="5" t="str">
        <f>IFERROR(VLOOKUP(B1446,Lists!$A$2:$B$25,2,FALSE),"")</f>
        <v/>
      </c>
      <c r="D1446" s="7"/>
      <c r="E1446" s="6"/>
      <c r="F1446" s="6" t="str">
        <f t="shared" si="68"/>
        <v/>
      </c>
      <c r="G1446" s="6"/>
      <c r="H1446" s="6"/>
      <c r="I1446" s="6"/>
      <c r="J1446" s="7"/>
      <c r="K1446" s="5" t="str" cm="1">
        <f t="array" ref="K1446">IF(OR(A1446="",B1446="",D1446="",E1446=""),"",A1446&amp;"_"&amp;SUBSTITUTE(B1446," ","-")&amp;"_"&amp;D1446&amp;"_"&amp;SUBSTITUTE(SUBSTITUTE(E1446," ",""),"€","Euro")&amp;"_"&amp;IF(F1446="","Unknown",F1446)&amp;IF(F1446="Commemorative",IF(G1446="","","_"&amp;SUBSTITUTE(SUBSTITUTE(SUBSTITUTE(G1446," ","-"),"/","-"),CHAR(39),"")),"")&amp;IF(I1446="Duplicate","_Dub"&amp;IF(SUMPRODUCT(($B$2:B1446=B1446)*($D$2:D1446=D1446)*($E$2:E1446=E1446)*($F$2:F1446=F1446)*($G$2:G1446=G1446)*($I$2:I1446="Duplicate"))&lt;=1,"",SUMPRODUCT(($B$2:B1446=B1446)*($D$2:D1446=D1446)*($E$2:E1446=E1446)*($F$2:F1446=F1446)*($G$2:G1446=G1446)*($I$2:I1446="Duplicate"))-1),"")&amp;".jpeg")</f>
        <v/>
      </c>
      <c r="L1446" s="6"/>
      <c r="M1446" s="5" t="str">
        <f>IFERROR(VLOOKUP(E1446,Specifications!$A$2:$D$9,2,FALSE),"")</f>
        <v/>
      </c>
      <c r="N1446" s="5" t="str">
        <f>IFERROR(VLOOKUP(E1446,Specifications!$A$2:$D$9,3,FALSE),"")</f>
        <v/>
      </c>
      <c r="O1446" s="5" t="str">
        <f>IFERROR(VLOOKUP(E1446,Specifications!$A$2:$D$9,4,FALSE),"")</f>
        <v/>
      </c>
      <c r="P1446" s="8" t="str">
        <f t="shared" si="69"/>
        <v/>
      </c>
      <c r="Q1446" s="9"/>
    </row>
    <row r="1447" spans="1:17" ht="15">
      <c r="A1447" s="5" t="str">
        <f t="shared" si="67"/>
        <v/>
      </c>
      <c r="B1447" s="6"/>
      <c r="C1447" s="5" t="str">
        <f>IFERROR(VLOOKUP(B1447,Lists!$A$2:$B$25,2,FALSE),"")</f>
        <v/>
      </c>
      <c r="D1447" s="7"/>
      <c r="E1447" s="6"/>
      <c r="F1447" s="6" t="str">
        <f t="shared" si="68"/>
        <v/>
      </c>
      <c r="G1447" s="6"/>
      <c r="H1447" s="6"/>
      <c r="I1447" s="6"/>
      <c r="J1447" s="7"/>
      <c r="K1447" s="5" t="str" cm="1">
        <f t="array" ref="K1447">IF(OR(A1447="",B1447="",D1447="",E1447=""),"",A1447&amp;"_"&amp;SUBSTITUTE(B1447," ","-")&amp;"_"&amp;D1447&amp;"_"&amp;SUBSTITUTE(SUBSTITUTE(E1447," ",""),"€","Euro")&amp;"_"&amp;IF(F1447="","Unknown",F1447)&amp;IF(F1447="Commemorative",IF(G1447="","","_"&amp;SUBSTITUTE(SUBSTITUTE(SUBSTITUTE(G1447," ","-"),"/","-"),CHAR(39),"")),"")&amp;IF(I1447="Duplicate","_Dub"&amp;IF(SUMPRODUCT(($B$2:B1447=B1447)*($D$2:D1447=D1447)*($E$2:E1447=E1447)*($F$2:F1447=F1447)*($G$2:G1447=G1447)*($I$2:I1447="Duplicate"))&lt;=1,"",SUMPRODUCT(($B$2:B1447=B1447)*($D$2:D1447=D1447)*($E$2:E1447=E1447)*($F$2:F1447=F1447)*($G$2:G1447=G1447)*($I$2:I1447="Duplicate"))-1),"")&amp;".jpeg")</f>
        <v/>
      </c>
      <c r="L1447" s="6"/>
      <c r="M1447" s="5" t="str">
        <f>IFERROR(VLOOKUP(E1447,Specifications!$A$2:$D$9,2,FALSE),"")</f>
        <v/>
      </c>
      <c r="N1447" s="5" t="str">
        <f>IFERROR(VLOOKUP(E1447,Specifications!$A$2:$D$9,3,FALSE),"")</f>
        <v/>
      </c>
      <c r="O1447" s="5" t="str">
        <f>IFERROR(VLOOKUP(E1447,Specifications!$A$2:$D$9,4,FALSE),"")</f>
        <v/>
      </c>
      <c r="P1447" s="8" t="str">
        <f t="shared" si="69"/>
        <v/>
      </c>
      <c r="Q1447" s="9"/>
    </row>
    <row r="1448" spans="1:17" ht="15">
      <c r="A1448" s="5" t="str">
        <f t="shared" si="67"/>
        <v/>
      </c>
      <c r="B1448" s="6"/>
      <c r="C1448" s="5" t="str">
        <f>IFERROR(VLOOKUP(B1448,Lists!$A$2:$B$25,2,FALSE),"")</f>
        <v/>
      </c>
      <c r="D1448" s="7"/>
      <c r="E1448" s="6"/>
      <c r="F1448" s="6" t="str">
        <f t="shared" si="68"/>
        <v/>
      </c>
      <c r="G1448" s="6"/>
      <c r="H1448" s="6"/>
      <c r="I1448" s="6"/>
      <c r="J1448" s="7"/>
      <c r="K1448" s="5" t="str" cm="1">
        <f t="array" ref="K1448">IF(OR(A1448="",B1448="",D1448="",E1448=""),"",A1448&amp;"_"&amp;SUBSTITUTE(B1448," ","-")&amp;"_"&amp;D1448&amp;"_"&amp;SUBSTITUTE(SUBSTITUTE(E1448," ",""),"€","Euro")&amp;"_"&amp;IF(F1448="","Unknown",F1448)&amp;IF(F1448="Commemorative",IF(G1448="","","_"&amp;SUBSTITUTE(SUBSTITUTE(SUBSTITUTE(G1448," ","-"),"/","-"),CHAR(39),"")),"")&amp;IF(I1448="Duplicate","_Dub"&amp;IF(SUMPRODUCT(($B$2:B1448=B1448)*($D$2:D1448=D1448)*($E$2:E1448=E1448)*($F$2:F1448=F1448)*($G$2:G1448=G1448)*($I$2:I1448="Duplicate"))&lt;=1,"",SUMPRODUCT(($B$2:B1448=B1448)*($D$2:D1448=D1448)*($E$2:E1448=E1448)*($F$2:F1448=F1448)*($G$2:G1448=G1448)*($I$2:I1448="Duplicate"))-1),"")&amp;".jpeg")</f>
        <v/>
      </c>
      <c r="L1448" s="6"/>
      <c r="M1448" s="5" t="str">
        <f>IFERROR(VLOOKUP(E1448,Specifications!$A$2:$D$9,2,FALSE),"")</f>
        <v/>
      </c>
      <c r="N1448" s="5" t="str">
        <f>IFERROR(VLOOKUP(E1448,Specifications!$A$2:$D$9,3,FALSE),"")</f>
        <v/>
      </c>
      <c r="O1448" s="5" t="str">
        <f>IFERROR(VLOOKUP(E1448,Specifications!$A$2:$D$9,4,FALSE),"")</f>
        <v/>
      </c>
      <c r="P1448" s="8" t="str">
        <f t="shared" si="69"/>
        <v/>
      </c>
      <c r="Q1448" s="9"/>
    </row>
    <row r="1449" spans="1:17" ht="15">
      <c r="A1449" s="5" t="str">
        <f t="shared" si="67"/>
        <v/>
      </c>
      <c r="B1449" s="6"/>
      <c r="C1449" s="5" t="str">
        <f>IFERROR(VLOOKUP(B1449,Lists!$A$2:$B$25,2,FALSE),"")</f>
        <v/>
      </c>
      <c r="D1449" s="7"/>
      <c r="E1449" s="6"/>
      <c r="F1449" s="6" t="str">
        <f t="shared" si="68"/>
        <v/>
      </c>
      <c r="G1449" s="6"/>
      <c r="H1449" s="6"/>
      <c r="I1449" s="6"/>
      <c r="J1449" s="7"/>
      <c r="K1449" s="5" t="str" cm="1">
        <f t="array" ref="K1449">IF(OR(A1449="",B1449="",D1449="",E1449=""),"",A1449&amp;"_"&amp;SUBSTITUTE(B1449," ","-")&amp;"_"&amp;D1449&amp;"_"&amp;SUBSTITUTE(SUBSTITUTE(E1449," ",""),"€","Euro")&amp;"_"&amp;IF(F1449="","Unknown",F1449)&amp;IF(F1449="Commemorative",IF(G1449="","","_"&amp;SUBSTITUTE(SUBSTITUTE(SUBSTITUTE(G1449," ","-"),"/","-"),CHAR(39),"")),"")&amp;IF(I1449="Duplicate","_Dub"&amp;IF(SUMPRODUCT(($B$2:B1449=B1449)*($D$2:D1449=D1449)*($E$2:E1449=E1449)*($F$2:F1449=F1449)*($G$2:G1449=G1449)*($I$2:I1449="Duplicate"))&lt;=1,"",SUMPRODUCT(($B$2:B1449=B1449)*($D$2:D1449=D1449)*($E$2:E1449=E1449)*($F$2:F1449=F1449)*($G$2:G1449=G1449)*($I$2:I1449="Duplicate"))-1),"")&amp;".jpeg")</f>
        <v/>
      </c>
      <c r="L1449" s="6"/>
      <c r="M1449" s="5" t="str">
        <f>IFERROR(VLOOKUP(E1449,Specifications!$A$2:$D$9,2,FALSE),"")</f>
        <v/>
      </c>
      <c r="N1449" s="5" t="str">
        <f>IFERROR(VLOOKUP(E1449,Specifications!$A$2:$D$9,3,FALSE),"")</f>
        <v/>
      </c>
      <c r="O1449" s="5" t="str">
        <f>IFERROR(VLOOKUP(E1449,Specifications!$A$2:$D$9,4,FALSE),"")</f>
        <v/>
      </c>
      <c r="P1449" s="8" t="str">
        <f t="shared" si="69"/>
        <v/>
      </c>
      <c r="Q1449" s="9"/>
    </row>
    <row r="1450" spans="1:17" ht="15">
      <c r="A1450" s="5" t="str">
        <f t="shared" si="67"/>
        <v/>
      </c>
      <c r="B1450" s="6"/>
      <c r="C1450" s="5" t="str">
        <f>IFERROR(VLOOKUP(B1450,Lists!$A$2:$B$25,2,FALSE),"")</f>
        <v/>
      </c>
      <c r="D1450" s="7"/>
      <c r="E1450" s="6"/>
      <c r="F1450" s="6" t="str">
        <f t="shared" si="68"/>
        <v/>
      </c>
      <c r="G1450" s="6"/>
      <c r="H1450" s="6"/>
      <c r="I1450" s="6"/>
      <c r="J1450" s="7"/>
      <c r="K1450" s="5" t="str" cm="1">
        <f t="array" ref="K1450">IF(OR(A1450="",B1450="",D1450="",E1450=""),"",A1450&amp;"_"&amp;SUBSTITUTE(B1450," ","-")&amp;"_"&amp;D1450&amp;"_"&amp;SUBSTITUTE(SUBSTITUTE(E1450," ",""),"€","Euro")&amp;"_"&amp;IF(F1450="","Unknown",F1450)&amp;IF(F1450="Commemorative",IF(G1450="","","_"&amp;SUBSTITUTE(SUBSTITUTE(SUBSTITUTE(G1450," ","-"),"/","-"),CHAR(39),"")),"")&amp;IF(I1450="Duplicate","_Dub"&amp;IF(SUMPRODUCT(($B$2:B1450=B1450)*($D$2:D1450=D1450)*($E$2:E1450=E1450)*($F$2:F1450=F1450)*($G$2:G1450=G1450)*($I$2:I1450="Duplicate"))&lt;=1,"",SUMPRODUCT(($B$2:B1450=B1450)*($D$2:D1450=D1450)*($E$2:E1450=E1450)*($F$2:F1450=F1450)*($G$2:G1450=G1450)*($I$2:I1450="Duplicate"))-1),"")&amp;".jpeg")</f>
        <v/>
      </c>
      <c r="L1450" s="6"/>
      <c r="M1450" s="5" t="str">
        <f>IFERROR(VLOOKUP(E1450,Specifications!$A$2:$D$9,2,FALSE),"")</f>
        <v/>
      </c>
      <c r="N1450" s="5" t="str">
        <f>IFERROR(VLOOKUP(E1450,Specifications!$A$2:$D$9,3,FALSE),"")</f>
        <v/>
      </c>
      <c r="O1450" s="5" t="str">
        <f>IFERROR(VLOOKUP(E1450,Specifications!$A$2:$D$9,4,FALSE),"")</f>
        <v/>
      </c>
      <c r="P1450" s="8" t="str">
        <f t="shared" si="69"/>
        <v/>
      </c>
      <c r="Q1450" s="9"/>
    </row>
    <row r="1451" spans="1:17" ht="15">
      <c r="A1451" s="5" t="str">
        <f t="shared" si="67"/>
        <v/>
      </c>
      <c r="B1451" s="6"/>
      <c r="C1451" s="5" t="str">
        <f>IFERROR(VLOOKUP(B1451,Lists!$A$2:$B$25,2,FALSE),"")</f>
        <v/>
      </c>
      <c r="D1451" s="7"/>
      <c r="E1451" s="6"/>
      <c r="F1451" s="6" t="str">
        <f t="shared" si="68"/>
        <v/>
      </c>
      <c r="G1451" s="6"/>
      <c r="H1451" s="6"/>
      <c r="I1451" s="6"/>
      <c r="J1451" s="7"/>
      <c r="K1451" s="5" t="str" cm="1">
        <f t="array" ref="K1451">IF(OR(A1451="",B1451="",D1451="",E1451=""),"",A1451&amp;"_"&amp;SUBSTITUTE(B1451," ","-")&amp;"_"&amp;D1451&amp;"_"&amp;SUBSTITUTE(SUBSTITUTE(E1451," ",""),"€","Euro")&amp;"_"&amp;IF(F1451="","Unknown",F1451)&amp;IF(F1451="Commemorative",IF(G1451="","","_"&amp;SUBSTITUTE(SUBSTITUTE(SUBSTITUTE(G1451," ","-"),"/","-"),CHAR(39),"")),"")&amp;IF(I1451="Duplicate","_Dub"&amp;IF(SUMPRODUCT(($B$2:B1451=B1451)*($D$2:D1451=D1451)*($E$2:E1451=E1451)*($F$2:F1451=F1451)*($G$2:G1451=G1451)*($I$2:I1451="Duplicate"))&lt;=1,"",SUMPRODUCT(($B$2:B1451=B1451)*($D$2:D1451=D1451)*($E$2:E1451=E1451)*($F$2:F1451=F1451)*($G$2:G1451=G1451)*($I$2:I1451="Duplicate"))-1),"")&amp;".jpeg")</f>
        <v/>
      </c>
      <c r="L1451" s="6"/>
      <c r="M1451" s="5" t="str">
        <f>IFERROR(VLOOKUP(E1451,Specifications!$A$2:$D$9,2,FALSE),"")</f>
        <v/>
      </c>
      <c r="N1451" s="5" t="str">
        <f>IFERROR(VLOOKUP(E1451,Specifications!$A$2:$D$9,3,FALSE),"")</f>
        <v/>
      </c>
      <c r="O1451" s="5" t="str">
        <f>IFERROR(VLOOKUP(E1451,Specifications!$A$2:$D$9,4,FALSE),"")</f>
        <v/>
      </c>
      <c r="P1451" s="8" t="str">
        <f t="shared" si="69"/>
        <v/>
      </c>
      <c r="Q1451" s="9"/>
    </row>
    <row r="1452" spans="1:17" ht="15">
      <c r="A1452" s="5" t="str">
        <f t="shared" si="67"/>
        <v/>
      </c>
      <c r="B1452" s="6"/>
      <c r="C1452" s="5" t="str">
        <f>IFERROR(VLOOKUP(B1452,Lists!$A$2:$B$25,2,FALSE),"")</f>
        <v/>
      </c>
      <c r="D1452" s="7"/>
      <c r="E1452" s="6"/>
      <c r="F1452" s="6" t="str">
        <f t="shared" si="68"/>
        <v/>
      </c>
      <c r="G1452" s="6"/>
      <c r="H1452" s="6"/>
      <c r="I1452" s="6"/>
      <c r="J1452" s="7"/>
      <c r="K1452" s="5" t="str" cm="1">
        <f t="array" ref="K1452">IF(OR(A1452="",B1452="",D1452="",E1452=""),"",A1452&amp;"_"&amp;SUBSTITUTE(B1452," ","-")&amp;"_"&amp;D1452&amp;"_"&amp;SUBSTITUTE(SUBSTITUTE(E1452," ",""),"€","Euro")&amp;"_"&amp;IF(F1452="","Unknown",F1452)&amp;IF(F1452="Commemorative",IF(G1452="","","_"&amp;SUBSTITUTE(SUBSTITUTE(SUBSTITUTE(G1452," ","-"),"/","-"),CHAR(39),"")),"")&amp;IF(I1452="Duplicate","_Dub"&amp;IF(SUMPRODUCT(($B$2:B1452=B1452)*($D$2:D1452=D1452)*($E$2:E1452=E1452)*($F$2:F1452=F1452)*($G$2:G1452=G1452)*($I$2:I1452="Duplicate"))&lt;=1,"",SUMPRODUCT(($B$2:B1452=B1452)*($D$2:D1452=D1452)*($E$2:E1452=E1452)*($F$2:F1452=F1452)*($G$2:G1452=G1452)*($I$2:I1452="Duplicate"))-1),"")&amp;".jpeg")</f>
        <v/>
      </c>
      <c r="L1452" s="6"/>
      <c r="M1452" s="5" t="str">
        <f>IFERROR(VLOOKUP(E1452,Specifications!$A$2:$D$9,2,FALSE),"")</f>
        <v/>
      </c>
      <c r="N1452" s="5" t="str">
        <f>IFERROR(VLOOKUP(E1452,Specifications!$A$2:$D$9,3,FALSE),"")</f>
        <v/>
      </c>
      <c r="O1452" s="5" t="str">
        <f>IFERROR(VLOOKUP(E1452,Specifications!$A$2:$D$9,4,FALSE),"")</f>
        <v/>
      </c>
      <c r="P1452" s="8" t="str">
        <f t="shared" si="69"/>
        <v/>
      </c>
      <c r="Q1452" s="9"/>
    </row>
    <row r="1453" spans="1:17" ht="15">
      <c r="A1453" s="5" t="str">
        <f t="shared" si="67"/>
        <v/>
      </c>
      <c r="B1453" s="6"/>
      <c r="C1453" s="5" t="str">
        <f>IFERROR(VLOOKUP(B1453,Lists!$A$2:$B$25,2,FALSE),"")</f>
        <v/>
      </c>
      <c r="D1453" s="7"/>
      <c r="E1453" s="6"/>
      <c r="F1453" s="6" t="str">
        <f t="shared" si="68"/>
        <v/>
      </c>
      <c r="G1453" s="6"/>
      <c r="H1453" s="6"/>
      <c r="I1453" s="6"/>
      <c r="J1453" s="7"/>
      <c r="K1453" s="5" t="str" cm="1">
        <f t="array" ref="K1453">IF(OR(A1453="",B1453="",D1453="",E1453=""),"",A1453&amp;"_"&amp;SUBSTITUTE(B1453," ","-")&amp;"_"&amp;D1453&amp;"_"&amp;SUBSTITUTE(SUBSTITUTE(E1453," ",""),"€","Euro")&amp;"_"&amp;IF(F1453="","Unknown",F1453)&amp;IF(F1453="Commemorative",IF(G1453="","","_"&amp;SUBSTITUTE(SUBSTITUTE(SUBSTITUTE(G1453," ","-"),"/","-"),CHAR(39),"")),"")&amp;IF(I1453="Duplicate","_Dub"&amp;IF(SUMPRODUCT(($B$2:B1453=B1453)*($D$2:D1453=D1453)*($E$2:E1453=E1453)*($F$2:F1453=F1453)*($G$2:G1453=G1453)*($I$2:I1453="Duplicate"))&lt;=1,"",SUMPRODUCT(($B$2:B1453=B1453)*($D$2:D1453=D1453)*($E$2:E1453=E1453)*($F$2:F1453=F1453)*($G$2:G1453=G1453)*($I$2:I1453="Duplicate"))-1),"")&amp;".jpeg")</f>
        <v/>
      </c>
      <c r="L1453" s="6"/>
      <c r="M1453" s="5" t="str">
        <f>IFERROR(VLOOKUP(E1453,Specifications!$A$2:$D$9,2,FALSE),"")</f>
        <v/>
      </c>
      <c r="N1453" s="5" t="str">
        <f>IFERROR(VLOOKUP(E1453,Specifications!$A$2:$D$9,3,FALSE),"")</f>
        <v/>
      </c>
      <c r="O1453" s="5" t="str">
        <f>IFERROR(VLOOKUP(E1453,Specifications!$A$2:$D$9,4,FALSE),"")</f>
        <v/>
      </c>
      <c r="P1453" s="8" t="str">
        <f t="shared" si="69"/>
        <v/>
      </c>
      <c r="Q1453" s="9"/>
    </row>
    <row r="1454" spans="1:17" ht="15">
      <c r="A1454" s="5" t="str">
        <f t="shared" si="67"/>
        <v/>
      </c>
      <c r="B1454" s="6"/>
      <c r="C1454" s="5" t="str">
        <f>IFERROR(VLOOKUP(B1454,Lists!$A$2:$B$25,2,FALSE),"")</f>
        <v/>
      </c>
      <c r="D1454" s="7"/>
      <c r="E1454" s="6"/>
      <c r="F1454" s="6" t="str">
        <f t="shared" si="68"/>
        <v/>
      </c>
      <c r="G1454" s="6"/>
      <c r="H1454" s="6"/>
      <c r="I1454" s="6"/>
      <c r="J1454" s="7"/>
      <c r="K1454" s="5" t="str" cm="1">
        <f t="array" ref="K1454">IF(OR(A1454="",B1454="",D1454="",E1454=""),"",A1454&amp;"_"&amp;SUBSTITUTE(B1454," ","-")&amp;"_"&amp;D1454&amp;"_"&amp;SUBSTITUTE(SUBSTITUTE(E1454," ",""),"€","Euro")&amp;"_"&amp;IF(F1454="","Unknown",F1454)&amp;IF(F1454="Commemorative",IF(G1454="","","_"&amp;SUBSTITUTE(SUBSTITUTE(SUBSTITUTE(G1454," ","-"),"/","-"),CHAR(39),"")),"")&amp;IF(I1454="Duplicate","_Dub"&amp;IF(SUMPRODUCT(($B$2:B1454=B1454)*($D$2:D1454=D1454)*($E$2:E1454=E1454)*($F$2:F1454=F1454)*($G$2:G1454=G1454)*($I$2:I1454="Duplicate"))&lt;=1,"",SUMPRODUCT(($B$2:B1454=B1454)*($D$2:D1454=D1454)*($E$2:E1454=E1454)*($F$2:F1454=F1454)*($G$2:G1454=G1454)*($I$2:I1454="Duplicate"))-1),"")&amp;".jpeg")</f>
        <v/>
      </c>
      <c r="L1454" s="6"/>
      <c r="M1454" s="5" t="str">
        <f>IFERROR(VLOOKUP(E1454,Specifications!$A$2:$D$9,2,FALSE),"")</f>
        <v/>
      </c>
      <c r="N1454" s="5" t="str">
        <f>IFERROR(VLOOKUP(E1454,Specifications!$A$2:$D$9,3,FALSE),"")</f>
        <v/>
      </c>
      <c r="O1454" s="5" t="str">
        <f>IFERROR(VLOOKUP(E1454,Specifications!$A$2:$D$9,4,FALSE),"")</f>
        <v/>
      </c>
      <c r="P1454" s="8" t="str">
        <f t="shared" si="69"/>
        <v/>
      </c>
      <c r="Q1454" s="9"/>
    </row>
    <row r="1455" spans="1:17" ht="15">
      <c r="A1455" s="5" t="str">
        <f t="shared" si="67"/>
        <v/>
      </c>
      <c r="B1455" s="6"/>
      <c r="C1455" s="5" t="str">
        <f>IFERROR(VLOOKUP(B1455,Lists!$A$2:$B$25,2,FALSE),"")</f>
        <v/>
      </c>
      <c r="D1455" s="7"/>
      <c r="E1455" s="6"/>
      <c r="F1455" s="6" t="str">
        <f t="shared" si="68"/>
        <v/>
      </c>
      <c r="G1455" s="6"/>
      <c r="H1455" s="6"/>
      <c r="I1455" s="6"/>
      <c r="J1455" s="7"/>
      <c r="K1455" s="5" t="str" cm="1">
        <f t="array" ref="K1455">IF(OR(A1455="",B1455="",D1455="",E1455=""),"",A1455&amp;"_"&amp;SUBSTITUTE(B1455," ","-")&amp;"_"&amp;D1455&amp;"_"&amp;SUBSTITUTE(SUBSTITUTE(E1455," ",""),"€","Euro")&amp;"_"&amp;IF(F1455="","Unknown",F1455)&amp;IF(F1455="Commemorative",IF(G1455="","","_"&amp;SUBSTITUTE(SUBSTITUTE(SUBSTITUTE(G1455," ","-"),"/","-"),CHAR(39),"")),"")&amp;IF(I1455="Duplicate","_Dub"&amp;IF(SUMPRODUCT(($B$2:B1455=B1455)*($D$2:D1455=D1455)*($E$2:E1455=E1455)*($F$2:F1455=F1455)*($G$2:G1455=G1455)*($I$2:I1455="Duplicate"))&lt;=1,"",SUMPRODUCT(($B$2:B1455=B1455)*($D$2:D1455=D1455)*($E$2:E1455=E1455)*($F$2:F1455=F1455)*($G$2:G1455=G1455)*($I$2:I1455="Duplicate"))-1),"")&amp;".jpeg")</f>
        <v/>
      </c>
      <c r="L1455" s="6"/>
      <c r="M1455" s="5" t="str">
        <f>IFERROR(VLOOKUP(E1455,Specifications!$A$2:$D$9,2,FALSE),"")</f>
        <v/>
      </c>
      <c r="N1455" s="5" t="str">
        <f>IFERROR(VLOOKUP(E1455,Specifications!$A$2:$D$9,3,FALSE),"")</f>
        <v/>
      </c>
      <c r="O1455" s="5" t="str">
        <f>IFERROR(VLOOKUP(E1455,Specifications!$A$2:$D$9,4,FALSE),"")</f>
        <v/>
      </c>
      <c r="P1455" s="8" t="str">
        <f t="shared" si="69"/>
        <v/>
      </c>
      <c r="Q1455" s="9"/>
    </row>
    <row r="1456" spans="1:17" ht="15">
      <c r="A1456" s="5" t="str">
        <f t="shared" si="67"/>
        <v/>
      </c>
      <c r="B1456" s="6"/>
      <c r="C1456" s="5" t="str">
        <f>IFERROR(VLOOKUP(B1456,Lists!$A$2:$B$25,2,FALSE),"")</f>
        <v/>
      </c>
      <c r="D1456" s="7"/>
      <c r="E1456" s="6"/>
      <c r="F1456" s="6" t="str">
        <f t="shared" si="68"/>
        <v/>
      </c>
      <c r="G1456" s="6"/>
      <c r="H1456" s="6"/>
      <c r="I1456" s="6"/>
      <c r="J1456" s="7"/>
      <c r="K1456" s="5" t="str" cm="1">
        <f t="array" ref="K1456">IF(OR(A1456="",B1456="",D1456="",E1456=""),"",A1456&amp;"_"&amp;SUBSTITUTE(B1456," ","-")&amp;"_"&amp;D1456&amp;"_"&amp;SUBSTITUTE(SUBSTITUTE(E1456," ",""),"€","Euro")&amp;"_"&amp;IF(F1456="","Unknown",F1456)&amp;IF(F1456="Commemorative",IF(G1456="","","_"&amp;SUBSTITUTE(SUBSTITUTE(SUBSTITUTE(G1456," ","-"),"/","-"),CHAR(39),"")),"")&amp;IF(I1456="Duplicate","_Dub"&amp;IF(SUMPRODUCT(($B$2:B1456=B1456)*($D$2:D1456=D1456)*($E$2:E1456=E1456)*($F$2:F1456=F1456)*($G$2:G1456=G1456)*($I$2:I1456="Duplicate"))&lt;=1,"",SUMPRODUCT(($B$2:B1456=B1456)*($D$2:D1456=D1456)*($E$2:E1456=E1456)*($F$2:F1456=F1456)*($G$2:G1456=G1456)*($I$2:I1456="Duplicate"))-1),"")&amp;".jpeg")</f>
        <v/>
      </c>
      <c r="L1456" s="6"/>
      <c r="M1456" s="5" t="str">
        <f>IFERROR(VLOOKUP(E1456,Specifications!$A$2:$D$9,2,FALSE),"")</f>
        <v/>
      </c>
      <c r="N1456" s="5" t="str">
        <f>IFERROR(VLOOKUP(E1456,Specifications!$A$2:$D$9,3,FALSE),"")</f>
        <v/>
      </c>
      <c r="O1456" s="5" t="str">
        <f>IFERROR(VLOOKUP(E1456,Specifications!$A$2:$D$9,4,FALSE),"")</f>
        <v/>
      </c>
      <c r="P1456" s="8" t="str">
        <f t="shared" si="69"/>
        <v/>
      </c>
      <c r="Q1456" s="9"/>
    </row>
    <row r="1457" spans="1:17" ht="15">
      <c r="A1457" s="5" t="str">
        <f t="shared" si="67"/>
        <v/>
      </c>
      <c r="B1457" s="6"/>
      <c r="C1457" s="5" t="str">
        <f>IFERROR(VLOOKUP(B1457,Lists!$A$2:$B$25,2,FALSE),"")</f>
        <v/>
      </c>
      <c r="D1457" s="7"/>
      <c r="E1457" s="6"/>
      <c r="F1457" s="6" t="str">
        <f t="shared" si="68"/>
        <v/>
      </c>
      <c r="G1457" s="6"/>
      <c r="H1457" s="6"/>
      <c r="I1457" s="6"/>
      <c r="J1457" s="7"/>
      <c r="K1457" s="5" t="str" cm="1">
        <f t="array" ref="K1457">IF(OR(A1457="",B1457="",D1457="",E1457=""),"",A1457&amp;"_"&amp;SUBSTITUTE(B1457," ","-")&amp;"_"&amp;D1457&amp;"_"&amp;SUBSTITUTE(SUBSTITUTE(E1457," ",""),"€","Euro")&amp;"_"&amp;IF(F1457="","Unknown",F1457)&amp;IF(F1457="Commemorative",IF(G1457="","","_"&amp;SUBSTITUTE(SUBSTITUTE(SUBSTITUTE(G1457," ","-"),"/","-"),CHAR(39),"")),"")&amp;IF(I1457="Duplicate","_Dub"&amp;IF(SUMPRODUCT(($B$2:B1457=B1457)*($D$2:D1457=D1457)*($E$2:E1457=E1457)*($F$2:F1457=F1457)*($G$2:G1457=G1457)*($I$2:I1457="Duplicate"))&lt;=1,"",SUMPRODUCT(($B$2:B1457=B1457)*($D$2:D1457=D1457)*($E$2:E1457=E1457)*($F$2:F1457=F1457)*($G$2:G1457=G1457)*($I$2:I1457="Duplicate"))-1),"")&amp;".jpeg")</f>
        <v/>
      </c>
      <c r="L1457" s="6"/>
      <c r="M1457" s="5" t="str">
        <f>IFERROR(VLOOKUP(E1457,Specifications!$A$2:$D$9,2,FALSE),"")</f>
        <v/>
      </c>
      <c r="N1457" s="5" t="str">
        <f>IFERROR(VLOOKUP(E1457,Specifications!$A$2:$D$9,3,FALSE),"")</f>
        <v/>
      </c>
      <c r="O1457" s="5" t="str">
        <f>IFERROR(VLOOKUP(E1457,Specifications!$A$2:$D$9,4,FALSE),"")</f>
        <v/>
      </c>
      <c r="P1457" s="8" t="str">
        <f t="shared" si="69"/>
        <v/>
      </c>
      <c r="Q1457" s="9"/>
    </row>
    <row r="1458" spans="1:17" ht="15">
      <c r="A1458" s="5" t="str">
        <f t="shared" si="67"/>
        <v/>
      </c>
      <c r="B1458" s="6"/>
      <c r="C1458" s="5" t="str">
        <f>IFERROR(VLOOKUP(B1458,Lists!$A$2:$B$25,2,FALSE),"")</f>
        <v/>
      </c>
      <c r="D1458" s="7"/>
      <c r="E1458" s="6"/>
      <c r="F1458" s="6" t="str">
        <f t="shared" si="68"/>
        <v/>
      </c>
      <c r="G1458" s="6"/>
      <c r="H1458" s="6"/>
      <c r="I1458" s="6"/>
      <c r="J1458" s="7"/>
      <c r="K1458" s="5" t="str" cm="1">
        <f t="array" ref="K1458">IF(OR(A1458="",B1458="",D1458="",E1458=""),"",A1458&amp;"_"&amp;SUBSTITUTE(B1458," ","-")&amp;"_"&amp;D1458&amp;"_"&amp;SUBSTITUTE(SUBSTITUTE(E1458," ",""),"€","Euro")&amp;"_"&amp;IF(F1458="","Unknown",F1458)&amp;IF(F1458="Commemorative",IF(G1458="","","_"&amp;SUBSTITUTE(SUBSTITUTE(SUBSTITUTE(G1458," ","-"),"/","-"),CHAR(39),"")),"")&amp;IF(I1458="Duplicate","_Dub"&amp;IF(SUMPRODUCT(($B$2:B1458=B1458)*($D$2:D1458=D1458)*($E$2:E1458=E1458)*($F$2:F1458=F1458)*($G$2:G1458=G1458)*($I$2:I1458="Duplicate"))&lt;=1,"",SUMPRODUCT(($B$2:B1458=B1458)*($D$2:D1458=D1458)*($E$2:E1458=E1458)*($F$2:F1458=F1458)*($G$2:G1458=G1458)*($I$2:I1458="Duplicate"))-1),"")&amp;".jpeg")</f>
        <v/>
      </c>
      <c r="L1458" s="6"/>
      <c r="M1458" s="5" t="str">
        <f>IFERROR(VLOOKUP(E1458,Specifications!$A$2:$D$9,2,FALSE),"")</f>
        <v/>
      </c>
      <c r="N1458" s="5" t="str">
        <f>IFERROR(VLOOKUP(E1458,Specifications!$A$2:$D$9,3,FALSE),"")</f>
        <v/>
      </c>
      <c r="O1458" s="5" t="str">
        <f>IFERROR(VLOOKUP(E1458,Specifications!$A$2:$D$9,4,FALSE),"")</f>
        <v/>
      </c>
      <c r="P1458" s="8" t="str">
        <f t="shared" si="69"/>
        <v/>
      </c>
      <c r="Q1458" s="9"/>
    </row>
    <row r="1459" spans="1:17" ht="15">
      <c r="A1459" s="5" t="str">
        <f t="shared" si="67"/>
        <v/>
      </c>
      <c r="B1459" s="6"/>
      <c r="C1459" s="5" t="str">
        <f>IFERROR(VLOOKUP(B1459,Lists!$A$2:$B$25,2,FALSE),"")</f>
        <v/>
      </c>
      <c r="D1459" s="7"/>
      <c r="E1459" s="6"/>
      <c r="F1459" s="6" t="str">
        <f t="shared" si="68"/>
        <v/>
      </c>
      <c r="G1459" s="6"/>
      <c r="H1459" s="6"/>
      <c r="I1459" s="6"/>
      <c r="J1459" s="7"/>
      <c r="K1459" s="5" t="str" cm="1">
        <f t="array" ref="K1459">IF(OR(A1459="",B1459="",D1459="",E1459=""),"",A1459&amp;"_"&amp;SUBSTITUTE(B1459," ","-")&amp;"_"&amp;D1459&amp;"_"&amp;SUBSTITUTE(SUBSTITUTE(E1459," ",""),"€","Euro")&amp;"_"&amp;IF(F1459="","Unknown",F1459)&amp;IF(F1459="Commemorative",IF(G1459="","","_"&amp;SUBSTITUTE(SUBSTITUTE(SUBSTITUTE(G1459," ","-"),"/","-"),CHAR(39),"")),"")&amp;IF(I1459="Duplicate","_Dub"&amp;IF(SUMPRODUCT(($B$2:B1459=B1459)*($D$2:D1459=D1459)*($E$2:E1459=E1459)*($F$2:F1459=F1459)*($G$2:G1459=G1459)*($I$2:I1459="Duplicate"))&lt;=1,"",SUMPRODUCT(($B$2:B1459=B1459)*($D$2:D1459=D1459)*($E$2:E1459=E1459)*($F$2:F1459=F1459)*($G$2:G1459=G1459)*($I$2:I1459="Duplicate"))-1),"")&amp;".jpeg")</f>
        <v/>
      </c>
      <c r="L1459" s="6"/>
      <c r="M1459" s="5" t="str">
        <f>IFERROR(VLOOKUP(E1459,Specifications!$A$2:$D$9,2,FALSE),"")</f>
        <v/>
      </c>
      <c r="N1459" s="5" t="str">
        <f>IFERROR(VLOOKUP(E1459,Specifications!$A$2:$D$9,3,FALSE),"")</f>
        <v/>
      </c>
      <c r="O1459" s="5" t="str">
        <f>IFERROR(VLOOKUP(E1459,Specifications!$A$2:$D$9,4,FALSE),"")</f>
        <v/>
      </c>
      <c r="P1459" s="8" t="str">
        <f t="shared" si="69"/>
        <v/>
      </c>
      <c r="Q1459" s="9"/>
    </row>
    <row r="1460" spans="1:17" ht="15">
      <c r="A1460" s="5" t="str">
        <f t="shared" si="67"/>
        <v/>
      </c>
      <c r="B1460" s="6"/>
      <c r="C1460" s="5" t="str">
        <f>IFERROR(VLOOKUP(B1460,Lists!$A$2:$B$25,2,FALSE),"")</f>
        <v/>
      </c>
      <c r="D1460" s="7"/>
      <c r="E1460" s="6"/>
      <c r="F1460" s="6" t="str">
        <f t="shared" si="68"/>
        <v/>
      </c>
      <c r="G1460" s="6"/>
      <c r="H1460" s="6"/>
      <c r="I1460" s="6"/>
      <c r="J1460" s="7"/>
      <c r="K1460" s="5" t="str" cm="1">
        <f t="array" ref="K1460">IF(OR(A1460="",B1460="",D1460="",E1460=""),"",A1460&amp;"_"&amp;SUBSTITUTE(B1460," ","-")&amp;"_"&amp;D1460&amp;"_"&amp;SUBSTITUTE(SUBSTITUTE(E1460," ",""),"€","Euro")&amp;"_"&amp;IF(F1460="","Unknown",F1460)&amp;IF(F1460="Commemorative",IF(G1460="","","_"&amp;SUBSTITUTE(SUBSTITUTE(SUBSTITUTE(G1460," ","-"),"/","-"),CHAR(39),"")),"")&amp;IF(I1460="Duplicate","_Dub"&amp;IF(SUMPRODUCT(($B$2:B1460=B1460)*($D$2:D1460=D1460)*($E$2:E1460=E1460)*($F$2:F1460=F1460)*($G$2:G1460=G1460)*($I$2:I1460="Duplicate"))&lt;=1,"",SUMPRODUCT(($B$2:B1460=B1460)*($D$2:D1460=D1460)*($E$2:E1460=E1460)*($F$2:F1460=F1460)*($G$2:G1460=G1460)*($I$2:I1460="Duplicate"))-1),"")&amp;".jpeg")</f>
        <v/>
      </c>
      <c r="L1460" s="6"/>
      <c r="M1460" s="5" t="str">
        <f>IFERROR(VLOOKUP(E1460,Specifications!$A$2:$D$9,2,FALSE),"")</f>
        <v/>
      </c>
      <c r="N1460" s="5" t="str">
        <f>IFERROR(VLOOKUP(E1460,Specifications!$A$2:$D$9,3,FALSE),"")</f>
        <v/>
      </c>
      <c r="O1460" s="5" t="str">
        <f>IFERROR(VLOOKUP(E1460,Specifications!$A$2:$D$9,4,FALSE),"")</f>
        <v/>
      </c>
      <c r="P1460" s="8" t="str">
        <f t="shared" si="69"/>
        <v/>
      </c>
      <c r="Q1460" s="9"/>
    </row>
    <row r="1461" spans="1:17" ht="15">
      <c r="A1461" s="5" t="str">
        <f t="shared" si="67"/>
        <v/>
      </c>
      <c r="B1461" s="6"/>
      <c r="C1461" s="5" t="str">
        <f>IFERROR(VLOOKUP(B1461,Lists!$A$2:$B$25,2,FALSE),"")</f>
        <v/>
      </c>
      <c r="D1461" s="7"/>
      <c r="E1461" s="6"/>
      <c r="F1461" s="6" t="str">
        <f t="shared" si="68"/>
        <v/>
      </c>
      <c r="G1461" s="6"/>
      <c r="H1461" s="6"/>
      <c r="I1461" s="6"/>
      <c r="J1461" s="7"/>
      <c r="K1461" s="5" t="str" cm="1">
        <f t="array" ref="K1461">IF(OR(A1461="",B1461="",D1461="",E1461=""),"",A1461&amp;"_"&amp;SUBSTITUTE(B1461," ","-")&amp;"_"&amp;D1461&amp;"_"&amp;SUBSTITUTE(SUBSTITUTE(E1461," ",""),"€","Euro")&amp;"_"&amp;IF(F1461="","Unknown",F1461)&amp;IF(F1461="Commemorative",IF(G1461="","","_"&amp;SUBSTITUTE(SUBSTITUTE(SUBSTITUTE(G1461," ","-"),"/","-"),CHAR(39),"")),"")&amp;IF(I1461="Duplicate","_Dub"&amp;IF(SUMPRODUCT(($B$2:B1461=B1461)*($D$2:D1461=D1461)*($E$2:E1461=E1461)*($F$2:F1461=F1461)*($G$2:G1461=G1461)*($I$2:I1461="Duplicate"))&lt;=1,"",SUMPRODUCT(($B$2:B1461=B1461)*($D$2:D1461=D1461)*($E$2:E1461=E1461)*($F$2:F1461=F1461)*($G$2:G1461=G1461)*($I$2:I1461="Duplicate"))-1),"")&amp;".jpeg")</f>
        <v/>
      </c>
      <c r="L1461" s="6"/>
      <c r="M1461" s="5" t="str">
        <f>IFERROR(VLOOKUP(E1461,Specifications!$A$2:$D$9,2,FALSE),"")</f>
        <v/>
      </c>
      <c r="N1461" s="5" t="str">
        <f>IFERROR(VLOOKUP(E1461,Specifications!$A$2:$D$9,3,FALSE),"")</f>
        <v/>
      </c>
      <c r="O1461" s="5" t="str">
        <f>IFERROR(VLOOKUP(E1461,Specifications!$A$2:$D$9,4,FALSE),"")</f>
        <v/>
      </c>
      <c r="P1461" s="8" t="str">
        <f t="shared" si="69"/>
        <v/>
      </c>
      <c r="Q1461" s="9"/>
    </row>
    <row r="1462" spans="1:17" ht="15">
      <c r="A1462" s="5" t="str">
        <f t="shared" si="67"/>
        <v/>
      </c>
      <c r="B1462" s="6"/>
      <c r="C1462" s="5" t="str">
        <f>IFERROR(VLOOKUP(B1462,Lists!$A$2:$B$25,2,FALSE),"")</f>
        <v/>
      </c>
      <c r="D1462" s="7"/>
      <c r="E1462" s="6"/>
      <c r="F1462" s="6" t="str">
        <f t="shared" si="68"/>
        <v/>
      </c>
      <c r="G1462" s="6"/>
      <c r="H1462" s="6"/>
      <c r="I1462" s="6"/>
      <c r="J1462" s="7"/>
      <c r="K1462" s="5" t="str" cm="1">
        <f t="array" ref="K1462">IF(OR(A1462="",B1462="",D1462="",E1462=""),"",A1462&amp;"_"&amp;SUBSTITUTE(B1462," ","-")&amp;"_"&amp;D1462&amp;"_"&amp;SUBSTITUTE(SUBSTITUTE(E1462," ",""),"€","Euro")&amp;"_"&amp;IF(F1462="","Unknown",F1462)&amp;IF(F1462="Commemorative",IF(G1462="","","_"&amp;SUBSTITUTE(SUBSTITUTE(SUBSTITUTE(G1462," ","-"),"/","-"),CHAR(39),"")),"")&amp;IF(I1462="Duplicate","_Dub"&amp;IF(SUMPRODUCT(($B$2:B1462=B1462)*($D$2:D1462=D1462)*($E$2:E1462=E1462)*($F$2:F1462=F1462)*($G$2:G1462=G1462)*($I$2:I1462="Duplicate"))&lt;=1,"",SUMPRODUCT(($B$2:B1462=B1462)*($D$2:D1462=D1462)*($E$2:E1462=E1462)*($F$2:F1462=F1462)*($G$2:G1462=G1462)*($I$2:I1462="Duplicate"))-1),"")&amp;".jpeg")</f>
        <v/>
      </c>
      <c r="L1462" s="6"/>
      <c r="M1462" s="5" t="str">
        <f>IFERROR(VLOOKUP(E1462,Specifications!$A$2:$D$9,2,FALSE),"")</f>
        <v/>
      </c>
      <c r="N1462" s="5" t="str">
        <f>IFERROR(VLOOKUP(E1462,Specifications!$A$2:$D$9,3,FALSE),"")</f>
        <v/>
      </c>
      <c r="O1462" s="5" t="str">
        <f>IFERROR(VLOOKUP(E1462,Specifications!$A$2:$D$9,4,FALSE),"")</f>
        <v/>
      </c>
      <c r="P1462" s="8" t="str">
        <f t="shared" si="69"/>
        <v/>
      </c>
      <c r="Q1462" s="9"/>
    </row>
    <row r="1463" spans="1:17" ht="15">
      <c r="A1463" s="5" t="str">
        <f t="shared" si="67"/>
        <v/>
      </c>
      <c r="B1463" s="6"/>
      <c r="C1463" s="5" t="str">
        <f>IFERROR(VLOOKUP(B1463,Lists!$A$2:$B$25,2,FALSE),"")</f>
        <v/>
      </c>
      <c r="D1463" s="7"/>
      <c r="E1463" s="6"/>
      <c r="F1463" s="6" t="str">
        <f t="shared" si="68"/>
        <v/>
      </c>
      <c r="G1463" s="6"/>
      <c r="H1463" s="6"/>
      <c r="I1463" s="6"/>
      <c r="J1463" s="7"/>
      <c r="K1463" s="5" t="str" cm="1">
        <f t="array" ref="K1463">IF(OR(A1463="",B1463="",D1463="",E1463=""),"",A1463&amp;"_"&amp;SUBSTITUTE(B1463," ","-")&amp;"_"&amp;D1463&amp;"_"&amp;SUBSTITUTE(SUBSTITUTE(E1463," ",""),"€","Euro")&amp;"_"&amp;IF(F1463="","Unknown",F1463)&amp;IF(F1463="Commemorative",IF(G1463="","","_"&amp;SUBSTITUTE(SUBSTITUTE(SUBSTITUTE(G1463," ","-"),"/","-"),CHAR(39),"")),"")&amp;IF(I1463="Duplicate","_Dub"&amp;IF(SUMPRODUCT(($B$2:B1463=B1463)*($D$2:D1463=D1463)*($E$2:E1463=E1463)*($F$2:F1463=F1463)*($G$2:G1463=G1463)*($I$2:I1463="Duplicate"))&lt;=1,"",SUMPRODUCT(($B$2:B1463=B1463)*($D$2:D1463=D1463)*($E$2:E1463=E1463)*($F$2:F1463=F1463)*($G$2:G1463=G1463)*($I$2:I1463="Duplicate"))-1),"")&amp;".jpeg")</f>
        <v/>
      </c>
      <c r="L1463" s="6"/>
      <c r="M1463" s="5" t="str">
        <f>IFERROR(VLOOKUP(E1463,Specifications!$A$2:$D$9,2,FALSE),"")</f>
        <v/>
      </c>
      <c r="N1463" s="5" t="str">
        <f>IFERROR(VLOOKUP(E1463,Specifications!$A$2:$D$9,3,FALSE),"")</f>
        <v/>
      </c>
      <c r="O1463" s="5" t="str">
        <f>IFERROR(VLOOKUP(E1463,Specifications!$A$2:$D$9,4,FALSE),"")</f>
        <v/>
      </c>
      <c r="P1463" s="8" t="str">
        <f t="shared" si="69"/>
        <v/>
      </c>
      <c r="Q1463" s="9"/>
    </row>
    <row r="1464" spans="1:17" ht="15">
      <c r="A1464" s="5" t="str">
        <f t="shared" si="67"/>
        <v/>
      </c>
      <c r="B1464" s="6"/>
      <c r="C1464" s="5" t="str">
        <f>IFERROR(VLOOKUP(B1464,Lists!$A$2:$B$25,2,FALSE),"")</f>
        <v/>
      </c>
      <c r="D1464" s="7"/>
      <c r="E1464" s="6"/>
      <c r="F1464" s="6" t="str">
        <f t="shared" si="68"/>
        <v/>
      </c>
      <c r="G1464" s="6"/>
      <c r="H1464" s="6"/>
      <c r="I1464" s="6"/>
      <c r="J1464" s="7"/>
      <c r="K1464" s="5" t="str" cm="1">
        <f t="array" ref="K1464">IF(OR(A1464="",B1464="",D1464="",E1464=""),"",A1464&amp;"_"&amp;SUBSTITUTE(B1464," ","-")&amp;"_"&amp;D1464&amp;"_"&amp;SUBSTITUTE(SUBSTITUTE(E1464," ",""),"€","Euro")&amp;"_"&amp;IF(F1464="","Unknown",F1464)&amp;IF(F1464="Commemorative",IF(G1464="","","_"&amp;SUBSTITUTE(SUBSTITUTE(SUBSTITUTE(G1464," ","-"),"/","-"),CHAR(39),"")),"")&amp;IF(I1464="Duplicate","_Dub"&amp;IF(SUMPRODUCT(($B$2:B1464=B1464)*($D$2:D1464=D1464)*($E$2:E1464=E1464)*($F$2:F1464=F1464)*($G$2:G1464=G1464)*($I$2:I1464="Duplicate"))&lt;=1,"",SUMPRODUCT(($B$2:B1464=B1464)*($D$2:D1464=D1464)*($E$2:E1464=E1464)*($F$2:F1464=F1464)*($G$2:G1464=G1464)*($I$2:I1464="Duplicate"))-1),"")&amp;".jpeg")</f>
        <v/>
      </c>
      <c r="L1464" s="6"/>
      <c r="M1464" s="5" t="str">
        <f>IFERROR(VLOOKUP(E1464,Specifications!$A$2:$D$9,2,FALSE),"")</f>
        <v/>
      </c>
      <c r="N1464" s="5" t="str">
        <f>IFERROR(VLOOKUP(E1464,Specifications!$A$2:$D$9,3,FALSE),"")</f>
        <v/>
      </c>
      <c r="O1464" s="5" t="str">
        <f>IFERROR(VLOOKUP(E1464,Specifications!$A$2:$D$9,4,FALSE),"")</f>
        <v/>
      </c>
      <c r="P1464" s="8" t="str">
        <f t="shared" si="69"/>
        <v/>
      </c>
      <c r="Q1464" s="9"/>
    </row>
    <row r="1465" spans="1:17" ht="15">
      <c r="A1465" s="5" t="str">
        <f t="shared" si="67"/>
        <v/>
      </c>
      <c r="B1465" s="6"/>
      <c r="C1465" s="5" t="str">
        <f>IFERROR(VLOOKUP(B1465,Lists!$A$2:$B$25,2,FALSE),"")</f>
        <v/>
      </c>
      <c r="D1465" s="7"/>
      <c r="E1465" s="6"/>
      <c r="F1465" s="6" t="str">
        <f t="shared" si="68"/>
        <v/>
      </c>
      <c r="G1465" s="6"/>
      <c r="H1465" s="6"/>
      <c r="I1465" s="6"/>
      <c r="J1465" s="7"/>
      <c r="K1465" s="5" t="str" cm="1">
        <f t="array" ref="K1465">IF(OR(A1465="",B1465="",D1465="",E1465=""),"",A1465&amp;"_"&amp;SUBSTITUTE(B1465," ","-")&amp;"_"&amp;D1465&amp;"_"&amp;SUBSTITUTE(SUBSTITUTE(E1465," ",""),"€","Euro")&amp;"_"&amp;IF(F1465="","Unknown",F1465)&amp;IF(F1465="Commemorative",IF(G1465="","","_"&amp;SUBSTITUTE(SUBSTITUTE(SUBSTITUTE(G1465," ","-"),"/","-"),CHAR(39),"")),"")&amp;IF(I1465="Duplicate","_Dub"&amp;IF(SUMPRODUCT(($B$2:B1465=B1465)*($D$2:D1465=D1465)*($E$2:E1465=E1465)*($F$2:F1465=F1465)*($G$2:G1465=G1465)*($I$2:I1465="Duplicate"))&lt;=1,"",SUMPRODUCT(($B$2:B1465=B1465)*($D$2:D1465=D1465)*($E$2:E1465=E1465)*($F$2:F1465=F1465)*($G$2:G1465=G1465)*($I$2:I1465="Duplicate"))-1),"")&amp;".jpeg")</f>
        <v/>
      </c>
      <c r="L1465" s="6"/>
      <c r="M1465" s="5" t="str">
        <f>IFERROR(VLOOKUP(E1465,Specifications!$A$2:$D$9,2,FALSE),"")</f>
        <v/>
      </c>
      <c r="N1465" s="5" t="str">
        <f>IFERROR(VLOOKUP(E1465,Specifications!$A$2:$D$9,3,FALSE),"")</f>
        <v/>
      </c>
      <c r="O1465" s="5" t="str">
        <f>IFERROR(VLOOKUP(E1465,Specifications!$A$2:$D$9,4,FALSE),"")</f>
        <v/>
      </c>
      <c r="P1465" s="8" t="str">
        <f t="shared" si="69"/>
        <v/>
      </c>
      <c r="Q1465" s="9"/>
    </row>
    <row r="1466" spans="1:17" ht="15">
      <c r="A1466" s="5" t="str">
        <f t="shared" si="67"/>
        <v/>
      </c>
      <c r="B1466" s="6"/>
      <c r="C1466" s="5" t="str">
        <f>IFERROR(VLOOKUP(B1466,Lists!$A$2:$B$25,2,FALSE),"")</f>
        <v/>
      </c>
      <c r="D1466" s="7"/>
      <c r="E1466" s="6"/>
      <c r="F1466" s="6" t="str">
        <f t="shared" si="68"/>
        <v/>
      </c>
      <c r="G1466" s="6"/>
      <c r="H1466" s="6"/>
      <c r="I1466" s="6"/>
      <c r="J1466" s="7"/>
      <c r="K1466" s="5" t="str" cm="1">
        <f t="array" ref="K1466">IF(OR(A1466="",B1466="",D1466="",E1466=""),"",A1466&amp;"_"&amp;SUBSTITUTE(B1466," ","-")&amp;"_"&amp;D1466&amp;"_"&amp;SUBSTITUTE(SUBSTITUTE(E1466," ",""),"€","Euro")&amp;"_"&amp;IF(F1466="","Unknown",F1466)&amp;IF(F1466="Commemorative",IF(G1466="","","_"&amp;SUBSTITUTE(SUBSTITUTE(SUBSTITUTE(G1466," ","-"),"/","-"),CHAR(39),"")),"")&amp;IF(I1466="Duplicate","_Dub"&amp;IF(SUMPRODUCT(($B$2:B1466=B1466)*($D$2:D1466=D1466)*($E$2:E1466=E1466)*($F$2:F1466=F1466)*($G$2:G1466=G1466)*($I$2:I1466="Duplicate"))&lt;=1,"",SUMPRODUCT(($B$2:B1466=B1466)*($D$2:D1466=D1466)*($E$2:E1466=E1466)*($F$2:F1466=F1466)*($G$2:G1466=G1466)*($I$2:I1466="Duplicate"))-1),"")&amp;".jpeg")</f>
        <v/>
      </c>
      <c r="L1466" s="6"/>
      <c r="M1466" s="5" t="str">
        <f>IFERROR(VLOOKUP(E1466,Specifications!$A$2:$D$9,2,FALSE),"")</f>
        <v/>
      </c>
      <c r="N1466" s="5" t="str">
        <f>IFERROR(VLOOKUP(E1466,Specifications!$A$2:$D$9,3,FALSE),"")</f>
        <v/>
      </c>
      <c r="O1466" s="5" t="str">
        <f>IFERROR(VLOOKUP(E1466,Specifications!$A$2:$D$9,4,FALSE),"")</f>
        <v/>
      </c>
      <c r="P1466" s="8" t="str">
        <f t="shared" si="69"/>
        <v/>
      </c>
      <c r="Q1466" s="9"/>
    </row>
    <row r="1467" spans="1:17" ht="15">
      <c r="A1467" s="5" t="str">
        <f t="shared" si="67"/>
        <v/>
      </c>
      <c r="B1467" s="6"/>
      <c r="C1467" s="5" t="str">
        <f>IFERROR(VLOOKUP(B1467,Lists!$A$2:$B$25,2,FALSE),"")</f>
        <v/>
      </c>
      <c r="D1467" s="7"/>
      <c r="E1467" s="6"/>
      <c r="F1467" s="6" t="str">
        <f t="shared" si="68"/>
        <v/>
      </c>
      <c r="G1467" s="6"/>
      <c r="H1467" s="6"/>
      <c r="I1467" s="6"/>
      <c r="J1467" s="7"/>
      <c r="K1467" s="5" t="str" cm="1">
        <f t="array" ref="K1467">IF(OR(A1467="",B1467="",D1467="",E1467=""),"",A1467&amp;"_"&amp;SUBSTITUTE(B1467," ","-")&amp;"_"&amp;D1467&amp;"_"&amp;SUBSTITUTE(SUBSTITUTE(E1467," ",""),"€","Euro")&amp;"_"&amp;IF(F1467="","Unknown",F1467)&amp;IF(F1467="Commemorative",IF(G1467="","","_"&amp;SUBSTITUTE(SUBSTITUTE(SUBSTITUTE(G1467," ","-"),"/","-"),CHAR(39),"")),"")&amp;IF(I1467="Duplicate","_Dub"&amp;IF(SUMPRODUCT(($B$2:B1467=B1467)*($D$2:D1467=D1467)*($E$2:E1467=E1467)*($F$2:F1467=F1467)*($G$2:G1467=G1467)*($I$2:I1467="Duplicate"))&lt;=1,"",SUMPRODUCT(($B$2:B1467=B1467)*($D$2:D1467=D1467)*($E$2:E1467=E1467)*($F$2:F1467=F1467)*($G$2:G1467=G1467)*($I$2:I1467="Duplicate"))-1),"")&amp;".jpeg")</f>
        <v/>
      </c>
      <c r="L1467" s="6"/>
      <c r="M1467" s="5" t="str">
        <f>IFERROR(VLOOKUP(E1467,Specifications!$A$2:$D$9,2,FALSE),"")</f>
        <v/>
      </c>
      <c r="N1467" s="5" t="str">
        <f>IFERROR(VLOOKUP(E1467,Specifications!$A$2:$D$9,3,FALSE),"")</f>
        <v/>
      </c>
      <c r="O1467" s="5" t="str">
        <f>IFERROR(VLOOKUP(E1467,Specifications!$A$2:$D$9,4,FALSE),"")</f>
        <v/>
      </c>
      <c r="P1467" s="8" t="str">
        <f t="shared" si="69"/>
        <v/>
      </c>
      <c r="Q1467" s="9"/>
    </row>
    <row r="1468" spans="1:17" ht="15">
      <c r="A1468" s="5" t="str">
        <f t="shared" si="67"/>
        <v/>
      </c>
      <c r="B1468" s="6"/>
      <c r="C1468" s="5" t="str">
        <f>IFERROR(VLOOKUP(B1468,Lists!$A$2:$B$25,2,FALSE),"")</f>
        <v/>
      </c>
      <c r="D1468" s="7"/>
      <c r="E1468" s="6"/>
      <c r="F1468" s="6" t="str">
        <f t="shared" si="68"/>
        <v/>
      </c>
      <c r="G1468" s="6"/>
      <c r="H1468" s="6"/>
      <c r="I1468" s="6"/>
      <c r="J1468" s="7"/>
      <c r="K1468" s="5" t="str" cm="1">
        <f t="array" ref="K1468">IF(OR(A1468="",B1468="",D1468="",E1468=""),"",A1468&amp;"_"&amp;SUBSTITUTE(B1468," ","-")&amp;"_"&amp;D1468&amp;"_"&amp;SUBSTITUTE(SUBSTITUTE(E1468," ",""),"€","Euro")&amp;"_"&amp;IF(F1468="","Unknown",F1468)&amp;IF(F1468="Commemorative",IF(G1468="","","_"&amp;SUBSTITUTE(SUBSTITUTE(SUBSTITUTE(G1468," ","-"),"/","-"),CHAR(39),"")),"")&amp;IF(I1468="Duplicate","_Dub"&amp;IF(SUMPRODUCT(($B$2:B1468=B1468)*($D$2:D1468=D1468)*($E$2:E1468=E1468)*($F$2:F1468=F1468)*($G$2:G1468=G1468)*($I$2:I1468="Duplicate"))&lt;=1,"",SUMPRODUCT(($B$2:B1468=B1468)*($D$2:D1468=D1468)*($E$2:E1468=E1468)*($F$2:F1468=F1468)*($G$2:G1468=G1468)*($I$2:I1468="Duplicate"))-1),"")&amp;".jpeg")</f>
        <v/>
      </c>
      <c r="L1468" s="6"/>
      <c r="M1468" s="5" t="str">
        <f>IFERROR(VLOOKUP(E1468,Specifications!$A$2:$D$9,2,FALSE),"")</f>
        <v/>
      </c>
      <c r="N1468" s="5" t="str">
        <f>IFERROR(VLOOKUP(E1468,Specifications!$A$2:$D$9,3,FALSE),"")</f>
        <v/>
      </c>
      <c r="O1468" s="5" t="str">
        <f>IFERROR(VLOOKUP(E1468,Specifications!$A$2:$D$9,4,FALSE),"")</f>
        <v/>
      </c>
      <c r="P1468" s="8" t="str">
        <f t="shared" si="69"/>
        <v/>
      </c>
      <c r="Q1468" s="9"/>
    </row>
    <row r="1469" spans="1:17" ht="15">
      <c r="A1469" s="5" t="str">
        <f t="shared" si="67"/>
        <v/>
      </c>
      <c r="B1469" s="6"/>
      <c r="C1469" s="5" t="str">
        <f>IFERROR(VLOOKUP(B1469,Lists!$A$2:$B$25,2,FALSE),"")</f>
        <v/>
      </c>
      <c r="D1469" s="7"/>
      <c r="E1469" s="6"/>
      <c r="F1469" s="6" t="str">
        <f t="shared" si="68"/>
        <v/>
      </c>
      <c r="G1469" s="6"/>
      <c r="H1469" s="6"/>
      <c r="I1469" s="6"/>
      <c r="J1469" s="7"/>
      <c r="K1469" s="5" t="str" cm="1">
        <f t="array" ref="K1469">IF(OR(A1469="",B1469="",D1469="",E1469=""),"",A1469&amp;"_"&amp;SUBSTITUTE(B1469," ","-")&amp;"_"&amp;D1469&amp;"_"&amp;SUBSTITUTE(SUBSTITUTE(E1469," ",""),"€","Euro")&amp;"_"&amp;IF(F1469="","Unknown",F1469)&amp;IF(F1469="Commemorative",IF(G1469="","","_"&amp;SUBSTITUTE(SUBSTITUTE(SUBSTITUTE(G1469," ","-"),"/","-"),CHAR(39),"")),"")&amp;IF(I1469="Duplicate","_Dub"&amp;IF(SUMPRODUCT(($B$2:B1469=B1469)*($D$2:D1469=D1469)*($E$2:E1469=E1469)*($F$2:F1469=F1469)*($G$2:G1469=G1469)*($I$2:I1469="Duplicate"))&lt;=1,"",SUMPRODUCT(($B$2:B1469=B1469)*($D$2:D1469=D1469)*($E$2:E1469=E1469)*($F$2:F1469=F1469)*($G$2:G1469=G1469)*($I$2:I1469="Duplicate"))-1),"")&amp;".jpeg")</f>
        <v/>
      </c>
      <c r="L1469" s="6"/>
      <c r="M1469" s="5" t="str">
        <f>IFERROR(VLOOKUP(E1469,Specifications!$A$2:$D$9,2,FALSE),"")</f>
        <v/>
      </c>
      <c r="N1469" s="5" t="str">
        <f>IFERROR(VLOOKUP(E1469,Specifications!$A$2:$D$9,3,FALSE),"")</f>
        <v/>
      </c>
      <c r="O1469" s="5" t="str">
        <f>IFERROR(VLOOKUP(E1469,Specifications!$A$2:$D$9,4,FALSE),"")</f>
        <v/>
      </c>
      <c r="P1469" s="8" t="str">
        <f t="shared" si="69"/>
        <v/>
      </c>
      <c r="Q1469" s="9"/>
    </row>
    <row r="1470" spans="1:17" ht="15">
      <c r="A1470" s="5" t="str">
        <f t="shared" si="67"/>
        <v/>
      </c>
      <c r="B1470" s="6"/>
      <c r="C1470" s="5" t="str">
        <f>IFERROR(VLOOKUP(B1470,Lists!$A$2:$B$25,2,FALSE),"")</f>
        <v/>
      </c>
      <c r="D1470" s="7"/>
      <c r="E1470" s="6"/>
      <c r="F1470" s="6" t="str">
        <f t="shared" si="68"/>
        <v/>
      </c>
      <c r="G1470" s="6"/>
      <c r="H1470" s="6"/>
      <c r="I1470" s="6"/>
      <c r="J1470" s="7"/>
      <c r="K1470" s="5" t="str" cm="1">
        <f t="array" ref="K1470">IF(OR(A1470="",B1470="",D1470="",E1470=""),"",A1470&amp;"_"&amp;SUBSTITUTE(B1470," ","-")&amp;"_"&amp;D1470&amp;"_"&amp;SUBSTITUTE(SUBSTITUTE(E1470," ",""),"€","Euro")&amp;"_"&amp;IF(F1470="","Unknown",F1470)&amp;IF(F1470="Commemorative",IF(G1470="","","_"&amp;SUBSTITUTE(SUBSTITUTE(SUBSTITUTE(G1470," ","-"),"/","-"),CHAR(39),"")),"")&amp;IF(I1470="Duplicate","_Dub"&amp;IF(SUMPRODUCT(($B$2:B1470=B1470)*($D$2:D1470=D1470)*($E$2:E1470=E1470)*($F$2:F1470=F1470)*($G$2:G1470=G1470)*($I$2:I1470="Duplicate"))&lt;=1,"",SUMPRODUCT(($B$2:B1470=B1470)*($D$2:D1470=D1470)*($E$2:E1470=E1470)*($F$2:F1470=F1470)*($G$2:G1470=G1470)*($I$2:I1470="Duplicate"))-1),"")&amp;".jpeg")</f>
        <v/>
      </c>
      <c r="L1470" s="6"/>
      <c r="M1470" s="5" t="str">
        <f>IFERROR(VLOOKUP(E1470,Specifications!$A$2:$D$9,2,FALSE),"")</f>
        <v/>
      </c>
      <c r="N1470" s="5" t="str">
        <f>IFERROR(VLOOKUP(E1470,Specifications!$A$2:$D$9,3,FALSE),"")</f>
        <v/>
      </c>
      <c r="O1470" s="5" t="str">
        <f>IFERROR(VLOOKUP(E1470,Specifications!$A$2:$D$9,4,FALSE),"")</f>
        <v/>
      </c>
      <c r="P1470" s="8" t="str">
        <f t="shared" si="69"/>
        <v/>
      </c>
      <c r="Q1470" s="9"/>
    </row>
    <row r="1471" spans="1:17" ht="15">
      <c r="A1471" s="5" t="str">
        <f t="shared" si="67"/>
        <v/>
      </c>
      <c r="B1471" s="6"/>
      <c r="C1471" s="5" t="str">
        <f>IFERROR(VLOOKUP(B1471,Lists!$A$2:$B$25,2,FALSE),"")</f>
        <v/>
      </c>
      <c r="D1471" s="7"/>
      <c r="E1471" s="6"/>
      <c r="F1471" s="6" t="str">
        <f t="shared" si="68"/>
        <v/>
      </c>
      <c r="G1471" s="6"/>
      <c r="H1471" s="6"/>
      <c r="I1471" s="6"/>
      <c r="J1471" s="7"/>
      <c r="K1471" s="5" t="str" cm="1">
        <f t="array" ref="K1471">IF(OR(A1471="",B1471="",D1471="",E1471=""),"",A1471&amp;"_"&amp;SUBSTITUTE(B1471," ","-")&amp;"_"&amp;D1471&amp;"_"&amp;SUBSTITUTE(SUBSTITUTE(E1471," ",""),"€","Euro")&amp;"_"&amp;IF(F1471="","Unknown",F1471)&amp;IF(F1471="Commemorative",IF(G1471="","","_"&amp;SUBSTITUTE(SUBSTITUTE(SUBSTITUTE(G1471," ","-"),"/","-"),CHAR(39),"")),"")&amp;IF(I1471="Duplicate","_Dub"&amp;IF(SUMPRODUCT(($B$2:B1471=B1471)*($D$2:D1471=D1471)*($E$2:E1471=E1471)*($F$2:F1471=F1471)*($G$2:G1471=G1471)*($I$2:I1471="Duplicate"))&lt;=1,"",SUMPRODUCT(($B$2:B1471=B1471)*($D$2:D1471=D1471)*($E$2:E1471=E1471)*($F$2:F1471=F1471)*($G$2:G1471=G1471)*($I$2:I1471="Duplicate"))-1),"")&amp;".jpeg")</f>
        <v/>
      </c>
      <c r="L1471" s="6"/>
      <c r="M1471" s="5" t="str">
        <f>IFERROR(VLOOKUP(E1471,Specifications!$A$2:$D$9,2,FALSE),"")</f>
        <v/>
      </c>
      <c r="N1471" s="5" t="str">
        <f>IFERROR(VLOOKUP(E1471,Specifications!$A$2:$D$9,3,FALSE),"")</f>
        <v/>
      </c>
      <c r="O1471" s="5" t="str">
        <f>IFERROR(VLOOKUP(E1471,Specifications!$A$2:$D$9,4,FALSE),"")</f>
        <v/>
      </c>
      <c r="P1471" s="8" t="str">
        <f t="shared" si="69"/>
        <v/>
      </c>
      <c r="Q1471" s="9"/>
    </row>
    <row r="1472" spans="1:17" ht="15">
      <c r="A1472" s="5" t="str">
        <f t="shared" si="67"/>
        <v/>
      </c>
      <c r="B1472" s="6"/>
      <c r="C1472" s="5" t="str">
        <f>IFERROR(VLOOKUP(B1472,Lists!$A$2:$B$25,2,FALSE),"")</f>
        <v/>
      </c>
      <c r="D1472" s="7"/>
      <c r="E1472" s="6"/>
      <c r="F1472" s="6" t="str">
        <f t="shared" si="68"/>
        <v/>
      </c>
      <c r="G1472" s="6"/>
      <c r="H1472" s="6"/>
      <c r="I1472" s="6"/>
      <c r="J1472" s="7"/>
      <c r="K1472" s="5" t="str" cm="1">
        <f t="array" ref="K1472">IF(OR(A1472="",B1472="",D1472="",E1472=""),"",A1472&amp;"_"&amp;SUBSTITUTE(B1472," ","-")&amp;"_"&amp;D1472&amp;"_"&amp;SUBSTITUTE(SUBSTITUTE(E1472," ",""),"€","Euro")&amp;"_"&amp;IF(F1472="","Unknown",F1472)&amp;IF(F1472="Commemorative",IF(G1472="","","_"&amp;SUBSTITUTE(SUBSTITUTE(SUBSTITUTE(G1472," ","-"),"/","-"),CHAR(39),"")),"")&amp;IF(I1472="Duplicate","_Dub"&amp;IF(SUMPRODUCT(($B$2:B1472=B1472)*($D$2:D1472=D1472)*($E$2:E1472=E1472)*($F$2:F1472=F1472)*($G$2:G1472=G1472)*($I$2:I1472="Duplicate"))&lt;=1,"",SUMPRODUCT(($B$2:B1472=B1472)*($D$2:D1472=D1472)*($E$2:E1472=E1472)*($F$2:F1472=F1472)*($G$2:G1472=G1472)*($I$2:I1472="Duplicate"))-1),"")&amp;".jpeg")</f>
        <v/>
      </c>
      <c r="L1472" s="6"/>
      <c r="M1472" s="5" t="str">
        <f>IFERROR(VLOOKUP(E1472,Specifications!$A$2:$D$9,2,FALSE),"")</f>
        <v/>
      </c>
      <c r="N1472" s="5" t="str">
        <f>IFERROR(VLOOKUP(E1472,Specifications!$A$2:$D$9,3,FALSE),"")</f>
        <v/>
      </c>
      <c r="O1472" s="5" t="str">
        <f>IFERROR(VLOOKUP(E1472,Specifications!$A$2:$D$9,4,FALSE),"")</f>
        <v/>
      </c>
      <c r="P1472" s="8" t="str">
        <f t="shared" si="69"/>
        <v/>
      </c>
      <c r="Q1472" s="9"/>
    </row>
    <row r="1473" spans="1:17" ht="15">
      <c r="A1473" s="5" t="str">
        <f t="shared" si="67"/>
        <v/>
      </c>
      <c r="B1473" s="6"/>
      <c r="C1473" s="5" t="str">
        <f>IFERROR(VLOOKUP(B1473,Lists!$A$2:$B$25,2,FALSE),"")</f>
        <v/>
      </c>
      <c r="D1473" s="7"/>
      <c r="E1473" s="6"/>
      <c r="F1473" s="6" t="str">
        <f t="shared" si="68"/>
        <v/>
      </c>
      <c r="G1473" s="6"/>
      <c r="H1473" s="6"/>
      <c r="I1473" s="6"/>
      <c r="J1473" s="7"/>
      <c r="K1473" s="5" t="str" cm="1">
        <f t="array" ref="K1473">IF(OR(A1473="",B1473="",D1473="",E1473=""),"",A1473&amp;"_"&amp;SUBSTITUTE(B1473," ","-")&amp;"_"&amp;D1473&amp;"_"&amp;SUBSTITUTE(SUBSTITUTE(E1473," ",""),"€","Euro")&amp;"_"&amp;IF(F1473="","Unknown",F1473)&amp;IF(F1473="Commemorative",IF(G1473="","","_"&amp;SUBSTITUTE(SUBSTITUTE(SUBSTITUTE(G1473," ","-"),"/","-"),CHAR(39),"")),"")&amp;IF(I1473="Duplicate","_Dub"&amp;IF(SUMPRODUCT(($B$2:B1473=B1473)*($D$2:D1473=D1473)*($E$2:E1473=E1473)*($F$2:F1473=F1473)*($G$2:G1473=G1473)*($I$2:I1473="Duplicate"))&lt;=1,"",SUMPRODUCT(($B$2:B1473=B1473)*($D$2:D1473=D1473)*($E$2:E1473=E1473)*($F$2:F1473=F1473)*($G$2:G1473=G1473)*($I$2:I1473="Duplicate"))-1),"")&amp;".jpeg")</f>
        <v/>
      </c>
      <c r="L1473" s="6"/>
      <c r="M1473" s="5" t="str">
        <f>IFERROR(VLOOKUP(E1473,Specifications!$A$2:$D$9,2,FALSE),"")</f>
        <v/>
      </c>
      <c r="N1473" s="5" t="str">
        <f>IFERROR(VLOOKUP(E1473,Specifications!$A$2:$D$9,3,FALSE),"")</f>
        <v/>
      </c>
      <c r="O1473" s="5" t="str">
        <f>IFERROR(VLOOKUP(E1473,Specifications!$A$2:$D$9,4,FALSE),"")</f>
        <v/>
      </c>
      <c r="P1473" s="8" t="str">
        <f t="shared" si="69"/>
        <v/>
      </c>
      <c r="Q1473" s="9"/>
    </row>
    <row r="1474" spans="1:17" ht="15">
      <c r="A1474" s="5" t="str">
        <f t="shared" ref="A1474:A1537" si="70">IF(B1474="","",TEXT(ROW()-1,"000"))</f>
        <v/>
      </c>
      <c r="B1474" s="6"/>
      <c r="C1474" s="5" t="str">
        <f>IFERROR(VLOOKUP(B1474,Lists!$A$2:$B$25,2,FALSE),"")</f>
        <v/>
      </c>
      <c r="D1474" s="7"/>
      <c r="E1474" s="6"/>
      <c r="F1474" s="6" t="str">
        <f t="shared" ref="F1474:F1537" si="71">IF(E1474="","",IF(E1474="2 €","", "Regular"))</f>
        <v/>
      </c>
      <c r="G1474" s="6"/>
      <c r="H1474" s="6"/>
      <c r="I1474" s="6"/>
      <c r="J1474" s="7"/>
      <c r="K1474" s="5" t="str" cm="1">
        <f t="array" ref="K1474">IF(OR(A1474="",B1474="",D1474="",E1474=""),"",A1474&amp;"_"&amp;SUBSTITUTE(B1474," ","-")&amp;"_"&amp;D1474&amp;"_"&amp;SUBSTITUTE(SUBSTITUTE(E1474," ",""),"€","Euro")&amp;"_"&amp;IF(F1474="","Unknown",F1474)&amp;IF(F1474="Commemorative",IF(G1474="","","_"&amp;SUBSTITUTE(SUBSTITUTE(SUBSTITUTE(G1474," ","-"),"/","-"),CHAR(39),"")),"")&amp;IF(I1474="Duplicate","_Dub"&amp;IF(SUMPRODUCT(($B$2:B1474=B1474)*($D$2:D1474=D1474)*($E$2:E1474=E1474)*($F$2:F1474=F1474)*($G$2:G1474=G1474)*($I$2:I1474="Duplicate"))&lt;=1,"",SUMPRODUCT(($B$2:B1474=B1474)*($D$2:D1474=D1474)*($E$2:E1474=E1474)*($F$2:F1474=F1474)*($G$2:G1474=G1474)*($I$2:I1474="Duplicate"))-1),"")&amp;".jpeg")</f>
        <v/>
      </c>
      <c r="L1474" s="6"/>
      <c r="M1474" s="5" t="str">
        <f>IFERROR(VLOOKUP(E1474,Specifications!$A$2:$D$9,2,FALSE),"")</f>
        <v/>
      </c>
      <c r="N1474" s="5" t="str">
        <f>IFERROR(VLOOKUP(E1474,Specifications!$A$2:$D$9,3,FALSE),"")</f>
        <v/>
      </c>
      <c r="O1474" s="5" t="str">
        <f>IFERROR(VLOOKUP(E1474,Specifications!$A$2:$D$9,4,FALSE),"")</f>
        <v/>
      </c>
      <c r="P1474" s="8" t="str">
        <f t="shared" ref="P1474:P1537" si="72">IF(OR(B1474="",E1474="",F1474=""),"",IF(F1474="Regular","Regular "&amp;E1474&amp;" circulation coin of "&amp;B1474&amp;".",IF(F1474="Commemorative",IF(G1474="","",E1474&amp;" commemorative coin of "&amp;B1474&amp;" – "&amp;G1474&amp;"."),"")))</f>
        <v/>
      </c>
      <c r="Q1474" s="9"/>
    </row>
    <row r="1475" spans="1:17" ht="15">
      <c r="A1475" s="5" t="str">
        <f t="shared" si="70"/>
        <v/>
      </c>
      <c r="B1475" s="6"/>
      <c r="C1475" s="5" t="str">
        <f>IFERROR(VLOOKUP(B1475,Lists!$A$2:$B$25,2,FALSE),"")</f>
        <v/>
      </c>
      <c r="D1475" s="7"/>
      <c r="E1475" s="6"/>
      <c r="F1475" s="6" t="str">
        <f t="shared" si="71"/>
        <v/>
      </c>
      <c r="G1475" s="6"/>
      <c r="H1475" s="6"/>
      <c r="I1475" s="6"/>
      <c r="J1475" s="7"/>
      <c r="K1475" s="5" t="str" cm="1">
        <f t="array" ref="K1475">IF(OR(A1475="",B1475="",D1475="",E1475=""),"",A1475&amp;"_"&amp;SUBSTITUTE(B1475," ","-")&amp;"_"&amp;D1475&amp;"_"&amp;SUBSTITUTE(SUBSTITUTE(E1475," ",""),"€","Euro")&amp;"_"&amp;IF(F1475="","Unknown",F1475)&amp;IF(F1475="Commemorative",IF(G1475="","","_"&amp;SUBSTITUTE(SUBSTITUTE(SUBSTITUTE(G1475," ","-"),"/","-"),CHAR(39),"")),"")&amp;IF(I1475="Duplicate","_Dub"&amp;IF(SUMPRODUCT(($B$2:B1475=B1475)*($D$2:D1475=D1475)*($E$2:E1475=E1475)*($F$2:F1475=F1475)*($G$2:G1475=G1475)*($I$2:I1475="Duplicate"))&lt;=1,"",SUMPRODUCT(($B$2:B1475=B1475)*($D$2:D1475=D1475)*($E$2:E1475=E1475)*($F$2:F1475=F1475)*($G$2:G1475=G1475)*($I$2:I1475="Duplicate"))-1),"")&amp;".jpeg")</f>
        <v/>
      </c>
      <c r="L1475" s="6"/>
      <c r="M1475" s="5" t="str">
        <f>IFERROR(VLOOKUP(E1475,Specifications!$A$2:$D$9,2,FALSE),"")</f>
        <v/>
      </c>
      <c r="N1475" s="5" t="str">
        <f>IFERROR(VLOOKUP(E1475,Specifications!$A$2:$D$9,3,FALSE),"")</f>
        <v/>
      </c>
      <c r="O1475" s="5" t="str">
        <f>IFERROR(VLOOKUP(E1475,Specifications!$A$2:$D$9,4,FALSE),"")</f>
        <v/>
      </c>
      <c r="P1475" s="8" t="str">
        <f t="shared" si="72"/>
        <v/>
      </c>
      <c r="Q1475" s="9"/>
    </row>
    <row r="1476" spans="1:17" ht="15">
      <c r="A1476" s="5" t="str">
        <f t="shared" si="70"/>
        <v/>
      </c>
      <c r="B1476" s="6"/>
      <c r="C1476" s="5" t="str">
        <f>IFERROR(VLOOKUP(B1476,Lists!$A$2:$B$25,2,FALSE),"")</f>
        <v/>
      </c>
      <c r="D1476" s="7"/>
      <c r="E1476" s="6"/>
      <c r="F1476" s="6" t="str">
        <f t="shared" si="71"/>
        <v/>
      </c>
      <c r="G1476" s="6"/>
      <c r="H1476" s="6"/>
      <c r="I1476" s="6"/>
      <c r="J1476" s="7"/>
      <c r="K1476" s="5" t="str" cm="1">
        <f t="array" ref="K1476">IF(OR(A1476="",B1476="",D1476="",E1476=""),"",A1476&amp;"_"&amp;SUBSTITUTE(B1476," ","-")&amp;"_"&amp;D1476&amp;"_"&amp;SUBSTITUTE(SUBSTITUTE(E1476," ",""),"€","Euro")&amp;"_"&amp;IF(F1476="","Unknown",F1476)&amp;IF(F1476="Commemorative",IF(G1476="","","_"&amp;SUBSTITUTE(SUBSTITUTE(SUBSTITUTE(G1476," ","-"),"/","-"),CHAR(39),"")),"")&amp;IF(I1476="Duplicate","_Dub"&amp;IF(SUMPRODUCT(($B$2:B1476=B1476)*($D$2:D1476=D1476)*($E$2:E1476=E1476)*($F$2:F1476=F1476)*($G$2:G1476=G1476)*($I$2:I1476="Duplicate"))&lt;=1,"",SUMPRODUCT(($B$2:B1476=B1476)*($D$2:D1476=D1476)*($E$2:E1476=E1476)*($F$2:F1476=F1476)*($G$2:G1476=G1476)*($I$2:I1476="Duplicate"))-1),"")&amp;".jpeg")</f>
        <v/>
      </c>
      <c r="L1476" s="6"/>
      <c r="M1476" s="5" t="str">
        <f>IFERROR(VLOOKUP(E1476,Specifications!$A$2:$D$9,2,FALSE),"")</f>
        <v/>
      </c>
      <c r="N1476" s="5" t="str">
        <f>IFERROR(VLOOKUP(E1476,Specifications!$A$2:$D$9,3,FALSE),"")</f>
        <v/>
      </c>
      <c r="O1476" s="5" t="str">
        <f>IFERROR(VLOOKUP(E1476,Specifications!$A$2:$D$9,4,FALSE),"")</f>
        <v/>
      </c>
      <c r="P1476" s="8" t="str">
        <f t="shared" si="72"/>
        <v/>
      </c>
      <c r="Q1476" s="9"/>
    </row>
    <row r="1477" spans="1:17" ht="15">
      <c r="A1477" s="5" t="str">
        <f t="shared" si="70"/>
        <v/>
      </c>
      <c r="B1477" s="6"/>
      <c r="C1477" s="5" t="str">
        <f>IFERROR(VLOOKUP(B1477,Lists!$A$2:$B$25,2,FALSE),"")</f>
        <v/>
      </c>
      <c r="D1477" s="7"/>
      <c r="E1477" s="6"/>
      <c r="F1477" s="6" t="str">
        <f t="shared" si="71"/>
        <v/>
      </c>
      <c r="G1477" s="6"/>
      <c r="H1477" s="6"/>
      <c r="I1477" s="6"/>
      <c r="J1477" s="7"/>
      <c r="K1477" s="5" t="str" cm="1">
        <f t="array" ref="K1477">IF(OR(A1477="",B1477="",D1477="",E1477=""),"",A1477&amp;"_"&amp;SUBSTITUTE(B1477," ","-")&amp;"_"&amp;D1477&amp;"_"&amp;SUBSTITUTE(SUBSTITUTE(E1477," ",""),"€","Euro")&amp;"_"&amp;IF(F1477="","Unknown",F1477)&amp;IF(F1477="Commemorative",IF(G1477="","","_"&amp;SUBSTITUTE(SUBSTITUTE(SUBSTITUTE(G1477," ","-"),"/","-"),CHAR(39),"")),"")&amp;IF(I1477="Duplicate","_Dub"&amp;IF(SUMPRODUCT(($B$2:B1477=B1477)*($D$2:D1477=D1477)*($E$2:E1477=E1477)*($F$2:F1477=F1477)*($G$2:G1477=G1477)*($I$2:I1477="Duplicate"))&lt;=1,"",SUMPRODUCT(($B$2:B1477=B1477)*($D$2:D1477=D1477)*($E$2:E1477=E1477)*($F$2:F1477=F1477)*($G$2:G1477=G1477)*($I$2:I1477="Duplicate"))-1),"")&amp;".jpeg")</f>
        <v/>
      </c>
      <c r="L1477" s="6"/>
      <c r="M1477" s="5" t="str">
        <f>IFERROR(VLOOKUP(E1477,Specifications!$A$2:$D$9,2,FALSE),"")</f>
        <v/>
      </c>
      <c r="N1477" s="5" t="str">
        <f>IFERROR(VLOOKUP(E1477,Specifications!$A$2:$D$9,3,FALSE),"")</f>
        <v/>
      </c>
      <c r="O1477" s="5" t="str">
        <f>IFERROR(VLOOKUP(E1477,Specifications!$A$2:$D$9,4,FALSE),"")</f>
        <v/>
      </c>
      <c r="P1477" s="8" t="str">
        <f t="shared" si="72"/>
        <v/>
      </c>
      <c r="Q1477" s="9"/>
    </row>
    <row r="1478" spans="1:17" ht="15">
      <c r="A1478" s="5" t="str">
        <f t="shared" si="70"/>
        <v/>
      </c>
      <c r="B1478" s="6"/>
      <c r="C1478" s="5" t="str">
        <f>IFERROR(VLOOKUP(B1478,Lists!$A$2:$B$25,2,FALSE),"")</f>
        <v/>
      </c>
      <c r="D1478" s="7"/>
      <c r="E1478" s="6"/>
      <c r="F1478" s="6" t="str">
        <f t="shared" si="71"/>
        <v/>
      </c>
      <c r="G1478" s="6"/>
      <c r="H1478" s="6"/>
      <c r="I1478" s="6"/>
      <c r="J1478" s="7"/>
      <c r="K1478" s="5" t="str" cm="1">
        <f t="array" ref="K1478">IF(OR(A1478="",B1478="",D1478="",E1478=""),"",A1478&amp;"_"&amp;SUBSTITUTE(B1478," ","-")&amp;"_"&amp;D1478&amp;"_"&amp;SUBSTITUTE(SUBSTITUTE(E1478," ",""),"€","Euro")&amp;"_"&amp;IF(F1478="","Unknown",F1478)&amp;IF(F1478="Commemorative",IF(G1478="","","_"&amp;SUBSTITUTE(SUBSTITUTE(SUBSTITUTE(G1478," ","-"),"/","-"),CHAR(39),"")),"")&amp;IF(I1478="Duplicate","_Dub"&amp;IF(SUMPRODUCT(($B$2:B1478=B1478)*($D$2:D1478=D1478)*($E$2:E1478=E1478)*($F$2:F1478=F1478)*($G$2:G1478=G1478)*($I$2:I1478="Duplicate"))&lt;=1,"",SUMPRODUCT(($B$2:B1478=B1478)*($D$2:D1478=D1478)*($E$2:E1478=E1478)*($F$2:F1478=F1478)*($G$2:G1478=G1478)*($I$2:I1478="Duplicate"))-1),"")&amp;".jpeg")</f>
        <v/>
      </c>
      <c r="L1478" s="6"/>
      <c r="M1478" s="5" t="str">
        <f>IFERROR(VLOOKUP(E1478,Specifications!$A$2:$D$9,2,FALSE),"")</f>
        <v/>
      </c>
      <c r="N1478" s="5" t="str">
        <f>IFERROR(VLOOKUP(E1478,Specifications!$A$2:$D$9,3,FALSE),"")</f>
        <v/>
      </c>
      <c r="O1478" s="5" t="str">
        <f>IFERROR(VLOOKUP(E1478,Specifications!$A$2:$D$9,4,FALSE),"")</f>
        <v/>
      </c>
      <c r="P1478" s="8" t="str">
        <f t="shared" si="72"/>
        <v/>
      </c>
      <c r="Q1478" s="9"/>
    </row>
    <row r="1479" spans="1:17" ht="15">
      <c r="A1479" s="5" t="str">
        <f t="shared" si="70"/>
        <v/>
      </c>
      <c r="B1479" s="6"/>
      <c r="C1479" s="5" t="str">
        <f>IFERROR(VLOOKUP(B1479,Lists!$A$2:$B$25,2,FALSE),"")</f>
        <v/>
      </c>
      <c r="D1479" s="7"/>
      <c r="E1479" s="6"/>
      <c r="F1479" s="6" t="str">
        <f t="shared" si="71"/>
        <v/>
      </c>
      <c r="G1479" s="6"/>
      <c r="H1479" s="6"/>
      <c r="I1479" s="6"/>
      <c r="J1479" s="7"/>
      <c r="K1479" s="5" t="str" cm="1">
        <f t="array" ref="K1479">IF(OR(A1479="",B1479="",D1479="",E1479=""),"",A1479&amp;"_"&amp;SUBSTITUTE(B1479," ","-")&amp;"_"&amp;D1479&amp;"_"&amp;SUBSTITUTE(SUBSTITUTE(E1479," ",""),"€","Euro")&amp;"_"&amp;IF(F1479="","Unknown",F1479)&amp;IF(F1479="Commemorative",IF(G1479="","","_"&amp;SUBSTITUTE(SUBSTITUTE(SUBSTITUTE(G1479," ","-"),"/","-"),CHAR(39),"")),"")&amp;IF(I1479="Duplicate","_Dub"&amp;IF(SUMPRODUCT(($B$2:B1479=B1479)*($D$2:D1479=D1479)*($E$2:E1479=E1479)*($F$2:F1479=F1479)*($G$2:G1479=G1479)*($I$2:I1479="Duplicate"))&lt;=1,"",SUMPRODUCT(($B$2:B1479=B1479)*($D$2:D1479=D1479)*($E$2:E1479=E1479)*($F$2:F1479=F1479)*($G$2:G1479=G1479)*($I$2:I1479="Duplicate"))-1),"")&amp;".jpeg")</f>
        <v/>
      </c>
      <c r="L1479" s="6"/>
      <c r="M1479" s="5" t="str">
        <f>IFERROR(VLOOKUP(E1479,Specifications!$A$2:$D$9,2,FALSE),"")</f>
        <v/>
      </c>
      <c r="N1479" s="5" t="str">
        <f>IFERROR(VLOOKUP(E1479,Specifications!$A$2:$D$9,3,FALSE),"")</f>
        <v/>
      </c>
      <c r="O1479" s="5" t="str">
        <f>IFERROR(VLOOKUP(E1479,Specifications!$A$2:$D$9,4,FALSE),"")</f>
        <v/>
      </c>
      <c r="P1479" s="8" t="str">
        <f t="shared" si="72"/>
        <v/>
      </c>
      <c r="Q1479" s="9"/>
    </row>
    <row r="1480" spans="1:17" ht="15">
      <c r="A1480" s="5" t="str">
        <f t="shared" si="70"/>
        <v/>
      </c>
      <c r="B1480" s="6"/>
      <c r="C1480" s="5" t="str">
        <f>IFERROR(VLOOKUP(B1480,Lists!$A$2:$B$25,2,FALSE),"")</f>
        <v/>
      </c>
      <c r="D1480" s="7"/>
      <c r="E1480" s="6"/>
      <c r="F1480" s="6" t="str">
        <f t="shared" si="71"/>
        <v/>
      </c>
      <c r="G1480" s="6"/>
      <c r="H1480" s="6"/>
      <c r="I1480" s="6"/>
      <c r="J1480" s="7"/>
      <c r="K1480" s="5" t="str" cm="1">
        <f t="array" ref="K1480">IF(OR(A1480="",B1480="",D1480="",E1480=""),"",A1480&amp;"_"&amp;SUBSTITUTE(B1480," ","-")&amp;"_"&amp;D1480&amp;"_"&amp;SUBSTITUTE(SUBSTITUTE(E1480," ",""),"€","Euro")&amp;"_"&amp;IF(F1480="","Unknown",F1480)&amp;IF(F1480="Commemorative",IF(G1480="","","_"&amp;SUBSTITUTE(SUBSTITUTE(SUBSTITUTE(G1480," ","-"),"/","-"),CHAR(39),"")),"")&amp;IF(I1480="Duplicate","_Dub"&amp;IF(SUMPRODUCT(($B$2:B1480=B1480)*($D$2:D1480=D1480)*($E$2:E1480=E1480)*($F$2:F1480=F1480)*($G$2:G1480=G1480)*($I$2:I1480="Duplicate"))&lt;=1,"",SUMPRODUCT(($B$2:B1480=B1480)*($D$2:D1480=D1480)*($E$2:E1480=E1480)*($F$2:F1480=F1480)*($G$2:G1480=G1480)*($I$2:I1480="Duplicate"))-1),"")&amp;".jpeg")</f>
        <v/>
      </c>
      <c r="L1480" s="6"/>
      <c r="M1480" s="5" t="str">
        <f>IFERROR(VLOOKUP(E1480,Specifications!$A$2:$D$9,2,FALSE),"")</f>
        <v/>
      </c>
      <c r="N1480" s="5" t="str">
        <f>IFERROR(VLOOKUP(E1480,Specifications!$A$2:$D$9,3,FALSE),"")</f>
        <v/>
      </c>
      <c r="O1480" s="5" t="str">
        <f>IFERROR(VLOOKUP(E1480,Specifications!$A$2:$D$9,4,FALSE),"")</f>
        <v/>
      </c>
      <c r="P1480" s="8" t="str">
        <f t="shared" si="72"/>
        <v/>
      </c>
      <c r="Q1480" s="9"/>
    </row>
    <row r="1481" spans="1:17" ht="15">
      <c r="A1481" s="5" t="str">
        <f t="shared" si="70"/>
        <v/>
      </c>
      <c r="B1481" s="6"/>
      <c r="C1481" s="5" t="str">
        <f>IFERROR(VLOOKUP(B1481,Lists!$A$2:$B$25,2,FALSE),"")</f>
        <v/>
      </c>
      <c r="D1481" s="7"/>
      <c r="E1481" s="6"/>
      <c r="F1481" s="6" t="str">
        <f t="shared" si="71"/>
        <v/>
      </c>
      <c r="G1481" s="6"/>
      <c r="H1481" s="6"/>
      <c r="I1481" s="6"/>
      <c r="J1481" s="7"/>
      <c r="K1481" s="5" t="str" cm="1">
        <f t="array" ref="K1481">IF(OR(A1481="",B1481="",D1481="",E1481=""),"",A1481&amp;"_"&amp;SUBSTITUTE(B1481," ","-")&amp;"_"&amp;D1481&amp;"_"&amp;SUBSTITUTE(SUBSTITUTE(E1481," ",""),"€","Euro")&amp;"_"&amp;IF(F1481="","Unknown",F1481)&amp;IF(F1481="Commemorative",IF(G1481="","","_"&amp;SUBSTITUTE(SUBSTITUTE(SUBSTITUTE(G1481," ","-"),"/","-"),CHAR(39),"")),"")&amp;IF(I1481="Duplicate","_Dub"&amp;IF(SUMPRODUCT(($B$2:B1481=B1481)*($D$2:D1481=D1481)*($E$2:E1481=E1481)*($F$2:F1481=F1481)*($G$2:G1481=G1481)*($I$2:I1481="Duplicate"))&lt;=1,"",SUMPRODUCT(($B$2:B1481=B1481)*($D$2:D1481=D1481)*($E$2:E1481=E1481)*($F$2:F1481=F1481)*($G$2:G1481=G1481)*($I$2:I1481="Duplicate"))-1),"")&amp;".jpeg")</f>
        <v/>
      </c>
      <c r="L1481" s="6"/>
      <c r="M1481" s="5" t="str">
        <f>IFERROR(VLOOKUP(E1481,Specifications!$A$2:$D$9,2,FALSE),"")</f>
        <v/>
      </c>
      <c r="N1481" s="5" t="str">
        <f>IFERROR(VLOOKUP(E1481,Specifications!$A$2:$D$9,3,FALSE),"")</f>
        <v/>
      </c>
      <c r="O1481" s="5" t="str">
        <f>IFERROR(VLOOKUP(E1481,Specifications!$A$2:$D$9,4,FALSE),"")</f>
        <v/>
      </c>
      <c r="P1481" s="8" t="str">
        <f t="shared" si="72"/>
        <v/>
      </c>
      <c r="Q1481" s="9"/>
    </row>
    <row r="1482" spans="1:17" ht="15">
      <c r="A1482" s="5" t="str">
        <f t="shared" si="70"/>
        <v/>
      </c>
      <c r="B1482" s="6"/>
      <c r="C1482" s="5" t="str">
        <f>IFERROR(VLOOKUP(B1482,Lists!$A$2:$B$25,2,FALSE),"")</f>
        <v/>
      </c>
      <c r="D1482" s="7"/>
      <c r="E1482" s="6"/>
      <c r="F1482" s="6" t="str">
        <f t="shared" si="71"/>
        <v/>
      </c>
      <c r="G1482" s="6"/>
      <c r="H1482" s="6"/>
      <c r="I1482" s="6"/>
      <c r="J1482" s="7"/>
      <c r="K1482" s="5" t="str" cm="1">
        <f t="array" ref="K1482">IF(OR(A1482="",B1482="",D1482="",E1482=""),"",A1482&amp;"_"&amp;SUBSTITUTE(B1482," ","-")&amp;"_"&amp;D1482&amp;"_"&amp;SUBSTITUTE(SUBSTITUTE(E1482," ",""),"€","Euro")&amp;"_"&amp;IF(F1482="","Unknown",F1482)&amp;IF(F1482="Commemorative",IF(G1482="","","_"&amp;SUBSTITUTE(SUBSTITUTE(SUBSTITUTE(G1482," ","-"),"/","-"),CHAR(39),"")),"")&amp;IF(I1482="Duplicate","_Dub"&amp;IF(SUMPRODUCT(($B$2:B1482=B1482)*($D$2:D1482=D1482)*($E$2:E1482=E1482)*($F$2:F1482=F1482)*($G$2:G1482=G1482)*($I$2:I1482="Duplicate"))&lt;=1,"",SUMPRODUCT(($B$2:B1482=B1482)*($D$2:D1482=D1482)*($E$2:E1482=E1482)*($F$2:F1482=F1482)*($G$2:G1482=G1482)*($I$2:I1482="Duplicate"))-1),"")&amp;".jpeg")</f>
        <v/>
      </c>
      <c r="L1482" s="6"/>
      <c r="M1482" s="5" t="str">
        <f>IFERROR(VLOOKUP(E1482,Specifications!$A$2:$D$9,2,FALSE),"")</f>
        <v/>
      </c>
      <c r="N1482" s="5" t="str">
        <f>IFERROR(VLOOKUP(E1482,Specifications!$A$2:$D$9,3,FALSE),"")</f>
        <v/>
      </c>
      <c r="O1482" s="5" t="str">
        <f>IFERROR(VLOOKUP(E1482,Specifications!$A$2:$D$9,4,FALSE),"")</f>
        <v/>
      </c>
      <c r="P1482" s="8" t="str">
        <f t="shared" si="72"/>
        <v/>
      </c>
      <c r="Q1482" s="9"/>
    </row>
    <row r="1483" spans="1:17" ht="15">
      <c r="A1483" s="5" t="str">
        <f t="shared" si="70"/>
        <v/>
      </c>
      <c r="B1483" s="6"/>
      <c r="C1483" s="5" t="str">
        <f>IFERROR(VLOOKUP(B1483,Lists!$A$2:$B$25,2,FALSE),"")</f>
        <v/>
      </c>
      <c r="D1483" s="7"/>
      <c r="E1483" s="6"/>
      <c r="F1483" s="6" t="str">
        <f t="shared" si="71"/>
        <v/>
      </c>
      <c r="G1483" s="6"/>
      <c r="H1483" s="6"/>
      <c r="I1483" s="6"/>
      <c r="J1483" s="7"/>
      <c r="K1483" s="5" t="str" cm="1">
        <f t="array" ref="K1483">IF(OR(A1483="",B1483="",D1483="",E1483=""),"",A1483&amp;"_"&amp;SUBSTITUTE(B1483," ","-")&amp;"_"&amp;D1483&amp;"_"&amp;SUBSTITUTE(SUBSTITUTE(E1483," ",""),"€","Euro")&amp;"_"&amp;IF(F1483="","Unknown",F1483)&amp;IF(F1483="Commemorative",IF(G1483="","","_"&amp;SUBSTITUTE(SUBSTITUTE(SUBSTITUTE(G1483," ","-"),"/","-"),CHAR(39),"")),"")&amp;IF(I1483="Duplicate","_Dub"&amp;IF(SUMPRODUCT(($B$2:B1483=B1483)*($D$2:D1483=D1483)*($E$2:E1483=E1483)*($F$2:F1483=F1483)*($G$2:G1483=G1483)*($I$2:I1483="Duplicate"))&lt;=1,"",SUMPRODUCT(($B$2:B1483=B1483)*($D$2:D1483=D1483)*($E$2:E1483=E1483)*($F$2:F1483=F1483)*($G$2:G1483=G1483)*($I$2:I1483="Duplicate"))-1),"")&amp;".jpeg")</f>
        <v/>
      </c>
      <c r="L1483" s="6"/>
      <c r="M1483" s="5" t="str">
        <f>IFERROR(VLOOKUP(E1483,Specifications!$A$2:$D$9,2,FALSE),"")</f>
        <v/>
      </c>
      <c r="N1483" s="5" t="str">
        <f>IFERROR(VLOOKUP(E1483,Specifications!$A$2:$D$9,3,FALSE),"")</f>
        <v/>
      </c>
      <c r="O1483" s="5" t="str">
        <f>IFERROR(VLOOKUP(E1483,Specifications!$A$2:$D$9,4,FALSE),"")</f>
        <v/>
      </c>
      <c r="P1483" s="8" t="str">
        <f t="shared" si="72"/>
        <v/>
      </c>
      <c r="Q1483" s="9"/>
    </row>
    <row r="1484" spans="1:17" ht="15">
      <c r="A1484" s="5" t="str">
        <f t="shared" si="70"/>
        <v/>
      </c>
      <c r="B1484" s="6"/>
      <c r="C1484" s="5" t="str">
        <f>IFERROR(VLOOKUP(B1484,Lists!$A$2:$B$25,2,FALSE),"")</f>
        <v/>
      </c>
      <c r="D1484" s="7"/>
      <c r="E1484" s="6"/>
      <c r="F1484" s="6" t="str">
        <f t="shared" si="71"/>
        <v/>
      </c>
      <c r="G1484" s="6"/>
      <c r="H1484" s="6"/>
      <c r="I1484" s="6"/>
      <c r="J1484" s="7"/>
      <c r="K1484" s="5" t="str" cm="1">
        <f t="array" ref="K1484">IF(OR(A1484="",B1484="",D1484="",E1484=""),"",A1484&amp;"_"&amp;SUBSTITUTE(B1484," ","-")&amp;"_"&amp;D1484&amp;"_"&amp;SUBSTITUTE(SUBSTITUTE(E1484," ",""),"€","Euro")&amp;"_"&amp;IF(F1484="","Unknown",F1484)&amp;IF(F1484="Commemorative",IF(G1484="","","_"&amp;SUBSTITUTE(SUBSTITUTE(SUBSTITUTE(G1484," ","-"),"/","-"),CHAR(39),"")),"")&amp;IF(I1484="Duplicate","_Dub"&amp;IF(SUMPRODUCT(($B$2:B1484=B1484)*($D$2:D1484=D1484)*($E$2:E1484=E1484)*($F$2:F1484=F1484)*($G$2:G1484=G1484)*($I$2:I1484="Duplicate"))&lt;=1,"",SUMPRODUCT(($B$2:B1484=B1484)*($D$2:D1484=D1484)*($E$2:E1484=E1484)*($F$2:F1484=F1484)*($G$2:G1484=G1484)*($I$2:I1484="Duplicate"))-1),"")&amp;".jpeg")</f>
        <v/>
      </c>
      <c r="L1484" s="6"/>
      <c r="M1484" s="5" t="str">
        <f>IFERROR(VLOOKUP(E1484,Specifications!$A$2:$D$9,2,FALSE),"")</f>
        <v/>
      </c>
      <c r="N1484" s="5" t="str">
        <f>IFERROR(VLOOKUP(E1484,Specifications!$A$2:$D$9,3,FALSE),"")</f>
        <v/>
      </c>
      <c r="O1484" s="5" t="str">
        <f>IFERROR(VLOOKUP(E1484,Specifications!$A$2:$D$9,4,FALSE),"")</f>
        <v/>
      </c>
      <c r="P1484" s="8" t="str">
        <f t="shared" si="72"/>
        <v/>
      </c>
      <c r="Q1484" s="9"/>
    </row>
    <row r="1485" spans="1:17" ht="15">
      <c r="A1485" s="5" t="str">
        <f t="shared" si="70"/>
        <v/>
      </c>
      <c r="B1485" s="6"/>
      <c r="C1485" s="5" t="str">
        <f>IFERROR(VLOOKUP(B1485,Lists!$A$2:$B$25,2,FALSE),"")</f>
        <v/>
      </c>
      <c r="D1485" s="7"/>
      <c r="E1485" s="6"/>
      <c r="F1485" s="6" t="str">
        <f t="shared" si="71"/>
        <v/>
      </c>
      <c r="G1485" s="6"/>
      <c r="H1485" s="6"/>
      <c r="I1485" s="6"/>
      <c r="J1485" s="7"/>
      <c r="K1485" s="5" t="str" cm="1">
        <f t="array" ref="K1485">IF(OR(A1485="",B1485="",D1485="",E1485=""),"",A1485&amp;"_"&amp;SUBSTITUTE(B1485," ","-")&amp;"_"&amp;D1485&amp;"_"&amp;SUBSTITUTE(SUBSTITUTE(E1485," ",""),"€","Euro")&amp;"_"&amp;IF(F1485="","Unknown",F1485)&amp;IF(F1485="Commemorative",IF(G1485="","","_"&amp;SUBSTITUTE(SUBSTITUTE(SUBSTITUTE(G1485," ","-"),"/","-"),CHAR(39),"")),"")&amp;IF(I1485="Duplicate","_Dub"&amp;IF(SUMPRODUCT(($B$2:B1485=B1485)*($D$2:D1485=D1485)*($E$2:E1485=E1485)*($F$2:F1485=F1485)*($G$2:G1485=G1485)*($I$2:I1485="Duplicate"))&lt;=1,"",SUMPRODUCT(($B$2:B1485=B1485)*($D$2:D1485=D1485)*($E$2:E1485=E1485)*($F$2:F1485=F1485)*($G$2:G1485=G1485)*($I$2:I1485="Duplicate"))-1),"")&amp;".jpeg")</f>
        <v/>
      </c>
      <c r="L1485" s="6"/>
      <c r="M1485" s="5" t="str">
        <f>IFERROR(VLOOKUP(E1485,Specifications!$A$2:$D$9,2,FALSE),"")</f>
        <v/>
      </c>
      <c r="N1485" s="5" t="str">
        <f>IFERROR(VLOOKUP(E1485,Specifications!$A$2:$D$9,3,FALSE),"")</f>
        <v/>
      </c>
      <c r="O1485" s="5" t="str">
        <f>IFERROR(VLOOKUP(E1485,Specifications!$A$2:$D$9,4,FALSE),"")</f>
        <v/>
      </c>
      <c r="P1485" s="8" t="str">
        <f t="shared" si="72"/>
        <v/>
      </c>
      <c r="Q1485" s="9"/>
    </row>
    <row r="1486" spans="1:17" ht="15">
      <c r="A1486" s="5" t="str">
        <f t="shared" si="70"/>
        <v/>
      </c>
      <c r="B1486" s="6"/>
      <c r="C1486" s="5" t="str">
        <f>IFERROR(VLOOKUP(B1486,Lists!$A$2:$B$25,2,FALSE),"")</f>
        <v/>
      </c>
      <c r="D1486" s="7"/>
      <c r="E1486" s="6"/>
      <c r="F1486" s="6" t="str">
        <f t="shared" si="71"/>
        <v/>
      </c>
      <c r="G1486" s="6"/>
      <c r="H1486" s="6"/>
      <c r="I1486" s="6"/>
      <c r="J1486" s="7"/>
      <c r="K1486" s="5" t="str" cm="1">
        <f t="array" ref="K1486">IF(OR(A1486="",B1486="",D1486="",E1486=""),"",A1486&amp;"_"&amp;SUBSTITUTE(B1486," ","-")&amp;"_"&amp;D1486&amp;"_"&amp;SUBSTITUTE(SUBSTITUTE(E1486," ",""),"€","Euro")&amp;"_"&amp;IF(F1486="","Unknown",F1486)&amp;IF(F1486="Commemorative",IF(G1486="","","_"&amp;SUBSTITUTE(SUBSTITUTE(SUBSTITUTE(G1486," ","-"),"/","-"),CHAR(39),"")),"")&amp;IF(I1486="Duplicate","_Dub"&amp;IF(SUMPRODUCT(($B$2:B1486=B1486)*($D$2:D1486=D1486)*($E$2:E1486=E1486)*($F$2:F1486=F1486)*($G$2:G1486=G1486)*($I$2:I1486="Duplicate"))&lt;=1,"",SUMPRODUCT(($B$2:B1486=B1486)*($D$2:D1486=D1486)*($E$2:E1486=E1486)*($F$2:F1486=F1486)*($G$2:G1486=G1486)*($I$2:I1486="Duplicate"))-1),"")&amp;".jpeg")</f>
        <v/>
      </c>
      <c r="L1486" s="6"/>
      <c r="M1486" s="5" t="str">
        <f>IFERROR(VLOOKUP(E1486,Specifications!$A$2:$D$9,2,FALSE),"")</f>
        <v/>
      </c>
      <c r="N1486" s="5" t="str">
        <f>IFERROR(VLOOKUP(E1486,Specifications!$A$2:$D$9,3,FALSE),"")</f>
        <v/>
      </c>
      <c r="O1486" s="5" t="str">
        <f>IFERROR(VLOOKUP(E1486,Specifications!$A$2:$D$9,4,FALSE),"")</f>
        <v/>
      </c>
      <c r="P1486" s="8" t="str">
        <f t="shared" si="72"/>
        <v/>
      </c>
      <c r="Q1486" s="9"/>
    </row>
    <row r="1487" spans="1:17" ht="15">
      <c r="A1487" s="5" t="str">
        <f t="shared" si="70"/>
        <v/>
      </c>
      <c r="B1487" s="6"/>
      <c r="C1487" s="5" t="str">
        <f>IFERROR(VLOOKUP(B1487,Lists!$A$2:$B$25,2,FALSE),"")</f>
        <v/>
      </c>
      <c r="D1487" s="7"/>
      <c r="E1487" s="6"/>
      <c r="F1487" s="6" t="str">
        <f t="shared" si="71"/>
        <v/>
      </c>
      <c r="G1487" s="6"/>
      <c r="H1487" s="6"/>
      <c r="I1487" s="6"/>
      <c r="J1487" s="7"/>
      <c r="K1487" s="5" t="str" cm="1">
        <f t="array" ref="K1487">IF(OR(A1487="",B1487="",D1487="",E1487=""),"",A1487&amp;"_"&amp;SUBSTITUTE(B1487," ","-")&amp;"_"&amp;D1487&amp;"_"&amp;SUBSTITUTE(SUBSTITUTE(E1487," ",""),"€","Euro")&amp;"_"&amp;IF(F1487="","Unknown",F1487)&amp;IF(F1487="Commemorative",IF(G1487="","","_"&amp;SUBSTITUTE(SUBSTITUTE(SUBSTITUTE(G1487," ","-"),"/","-"),CHAR(39),"")),"")&amp;IF(I1487="Duplicate","_Dub"&amp;IF(SUMPRODUCT(($B$2:B1487=B1487)*($D$2:D1487=D1487)*($E$2:E1487=E1487)*($F$2:F1487=F1487)*($G$2:G1487=G1487)*($I$2:I1487="Duplicate"))&lt;=1,"",SUMPRODUCT(($B$2:B1487=B1487)*($D$2:D1487=D1487)*($E$2:E1487=E1487)*($F$2:F1487=F1487)*($G$2:G1487=G1487)*($I$2:I1487="Duplicate"))-1),"")&amp;".jpeg")</f>
        <v/>
      </c>
      <c r="L1487" s="6"/>
      <c r="M1487" s="5" t="str">
        <f>IFERROR(VLOOKUP(E1487,Specifications!$A$2:$D$9,2,FALSE),"")</f>
        <v/>
      </c>
      <c r="N1487" s="5" t="str">
        <f>IFERROR(VLOOKUP(E1487,Specifications!$A$2:$D$9,3,FALSE),"")</f>
        <v/>
      </c>
      <c r="O1487" s="5" t="str">
        <f>IFERROR(VLOOKUP(E1487,Specifications!$A$2:$D$9,4,FALSE),"")</f>
        <v/>
      </c>
      <c r="P1487" s="8" t="str">
        <f t="shared" si="72"/>
        <v/>
      </c>
      <c r="Q1487" s="9"/>
    </row>
    <row r="1488" spans="1:17" ht="15">
      <c r="A1488" s="5" t="str">
        <f t="shared" si="70"/>
        <v/>
      </c>
      <c r="B1488" s="6"/>
      <c r="C1488" s="5" t="str">
        <f>IFERROR(VLOOKUP(B1488,Lists!$A$2:$B$25,2,FALSE),"")</f>
        <v/>
      </c>
      <c r="D1488" s="7"/>
      <c r="E1488" s="6"/>
      <c r="F1488" s="6" t="str">
        <f t="shared" si="71"/>
        <v/>
      </c>
      <c r="G1488" s="6"/>
      <c r="H1488" s="6"/>
      <c r="I1488" s="6"/>
      <c r="J1488" s="7"/>
      <c r="K1488" s="5" t="str" cm="1">
        <f t="array" ref="K1488">IF(OR(A1488="",B1488="",D1488="",E1488=""),"",A1488&amp;"_"&amp;SUBSTITUTE(B1488," ","-")&amp;"_"&amp;D1488&amp;"_"&amp;SUBSTITUTE(SUBSTITUTE(E1488," ",""),"€","Euro")&amp;"_"&amp;IF(F1488="","Unknown",F1488)&amp;IF(F1488="Commemorative",IF(G1488="","","_"&amp;SUBSTITUTE(SUBSTITUTE(SUBSTITUTE(G1488," ","-"),"/","-"),CHAR(39),"")),"")&amp;IF(I1488="Duplicate","_Dub"&amp;IF(SUMPRODUCT(($B$2:B1488=B1488)*($D$2:D1488=D1488)*($E$2:E1488=E1488)*($F$2:F1488=F1488)*($G$2:G1488=G1488)*($I$2:I1488="Duplicate"))&lt;=1,"",SUMPRODUCT(($B$2:B1488=B1488)*($D$2:D1488=D1488)*($E$2:E1488=E1488)*($F$2:F1488=F1488)*($G$2:G1488=G1488)*($I$2:I1488="Duplicate"))-1),"")&amp;".jpeg")</f>
        <v/>
      </c>
      <c r="L1488" s="6"/>
      <c r="M1488" s="5" t="str">
        <f>IFERROR(VLOOKUP(E1488,Specifications!$A$2:$D$9,2,FALSE),"")</f>
        <v/>
      </c>
      <c r="N1488" s="5" t="str">
        <f>IFERROR(VLOOKUP(E1488,Specifications!$A$2:$D$9,3,FALSE),"")</f>
        <v/>
      </c>
      <c r="O1488" s="5" t="str">
        <f>IFERROR(VLOOKUP(E1488,Specifications!$A$2:$D$9,4,FALSE),"")</f>
        <v/>
      </c>
      <c r="P1488" s="8" t="str">
        <f t="shared" si="72"/>
        <v/>
      </c>
      <c r="Q1488" s="9"/>
    </row>
    <row r="1489" spans="1:17" ht="15">
      <c r="A1489" s="5" t="str">
        <f t="shared" si="70"/>
        <v/>
      </c>
      <c r="B1489" s="6"/>
      <c r="C1489" s="5" t="str">
        <f>IFERROR(VLOOKUP(B1489,Lists!$A$2:$B$25,2,FALSE),"")</f>
        <v/>
      </c>
      <c r="D1489" s="7"/>
      <c r="E1489" s="6"/>
      <c r="F1489" s="6" t="str">
        <f t="shared" si="71"/>
        <v/>
      </c>
      <c r="G1489" s="6"/>
      <c r="H1489" s="6"/>
      <c r="I1489" s="6"/>
      <c r="J1489" s="7"/>
      <c r="K1489" s="5" t="str" cm="1">
        <f t="array" ref="K1489">IF(OR(A1489="",B1489="",D1489="",E1489=""),"",A1489&amp;"_"&amp;SUBSTITUTE(B1489," ","-")&amp;"_"&amp;D1489&amp;"_"&amp;SUBSTITUTE(SUBSTITUTE(E1489," ",""),"€","Euro")&amp;"_"&amp;IF(F1489="","Unknown",F1489)&amp;IF(F1489="Commemorative",IF(G1489="","","_"&amp;SUBSTITUTE(SUBSTITUTE(SUBSTITUTE(G1489," ","-"),"/","-"),CHAR(39),"")),"")&amp;IF(I1489="Duplicate","_Dub"&amp;IF(SUMPRODUCT(($B$2:B1489=B1489)*($D$2:D1489=D1489)*($E$2:E1489=E1489)*($F$2:F1489=F1489)*($G$2:G1489=G1489)*($I$2:I1489="Duplicate"))&lt;=1,"",SUMPRODUCT(($B$2:B1489=B1489)*($D$2:D1489=D1489)*($E$2:E1489=E1489)*($F$2:F1489=F1489)*($G$2:G1489=G1489)*($I$2:I1489="Duplicate"))-1),"")&amp;".jpeg")</f>
        <v/>
      </c>
      <c r="L1489" s="6"/>
      <c r="M1489" s="5" t="str">
        <f>IFERROR(VLOOKUP(E1489,Specifications!$A$2:$D$9,2,FALSE),"")</f>
        <v/>
      </c>
      <c r="N1489" s="5" t="str">
        <f>IFERROR(VLOOKUP(E1489,Specifications!$A$2:$D$9,3,FALSE),"")</f>
        <v/>
      </c>
      <c r="O1489" s="5" t="str">
        <f>IFERROR(VLOOKUP(E1489,Specifications!$A$2:$D$9,4,FALSE),"")</f>
        <v/>
      </c>
      <c r="P1489" s="8" t="str">
        <f t="shared" si="72"/>
        <v/>
      </c>
      <c r="Q1489" s="9"/>
    </row>
    <row r="1490" spans="1:17" ht="15">
      <c r="A1490" s="5" t="str">
        <f t="shared" si="70"/>
        <v/>
      </c>
      <c r="B1490" s="6"/>
      <c r="C1490" s="5" t="str">
        <f>IFERROR(VLOOKUP(B1490,Lists!$A$2:$B$25,2,FALSE),"")</f>
        <v/>
      </c>
      <c r="D1490" s="7"/>
      <c r="E1490" s="6"/>
      <c r="F1490" s="6" t="str">
        <f t="shared" si="71"/>
        <v/>
      </c>
      <c r="G1490" s="6"/>
      <c r="H1490" s="6"/>
      <c r="I1490" s="6"/>
      <c r="J1490" s="7"/>
      <c r="K1490" s="5" t="str" cm="1">
        <f t="array" ref="K1490">IF(OR(A1490="",B1490="",D1490="",E1490=""),"",A1490&amp;"_"&amp;SUBSTITUTE(B1490," ","-")&amp;"_"&amp;D1490&amp;"_"&amp;SUBSTITUTE(SUBSTITUTE(E1490," ",""),"€","Euro")&amp;"_"&amp;IF(F1490="","Unknown",F1490)&amp;IF(F1490="Commemorative",IF(G1490="","","_"&amp;SUBSTITUTE(SUBSTITUTE(SUBSTITUTE(G1490," ","-"),"/","-"),CHAR(39),"")),"")&amp;IF(I1490="Duplicate","_Dub"&amp;IF(SUMPRODUCT(($B$2:B1490=B1490)*($D$2:D1490=D1490)*($E$2:E1490=E1490)*($F$2:F1490=F1490)*($G$2:G1490=G1490)*($I$2:I1490="Duplicate"))&lt;=1,"",SUMPRODUCT(($B$2:B1490=B1490)*($D$2:D1490=D1490)*($E$2:E1490=E1490)*($F$2:F1490=F1490)*($G$2:G1490=G1490)*($I$2:I1490="Duplicate"))-1),"")&amp;".jpeg")</f>
        <v/>
      </c>
      <c r="L1490" s="6"/>
      <c r="M1490" s="5" t="str">
        <f>IFERROR(VLOOKUP(E1490,Specifications!$A$2:$D$9,2,FALSE),"")</f>
        <v/>
      </c>
      <c r="N1490" s="5" t="str">
        <f>IFERROR(VLOOKUP(E1490,Specifications!$A$2:$D$9,3,FALSE),"")</f>
        <v/>
      </c>
      <c r="O1490" s="5" t="str">
        <f>IFERROR(VLOOKUP(E1490,Specifications!$A$2:$D$9,4,FALSE),"")</f>
        <v/>
      </c>
      <c r="P1490" s="8" t="str">
        <f t="shared" si="72"/>
        <v/>
      </c>
      <c r="Q1490" s="9"/>
    </row>
    <row r="1491" spans="1:17" ht="15">
      <c r="A1491" s="5" t="str">
        <f t="shared" si="70"/>
        <v/>
      </c>
      <c r="B1491" s="6"/>
      <c r="C1491" s="5" t="str">
        <f>IFERROR(VLOOKUP(B1491,Lists!$A$2:$B$25,2,FALSE),"")</f>
        <v/>
      </c>
      <c r="D1491" s="7"/>
      <c r="E1491" s="6"/>
      <c r="F1491" s="6" t="str">
        <f t="shared" si="71"/>
        <v/>
      </c>
      <c r="G1491" s="6"/>
      <c r="H1491" s="6"/>
      <c r="I1491" s="6"/>
      <c r="J1491" s="7"/>
      <c r="K1491" s="5" t="str" cm="1">
        <f t="array" ref="K1491">IF(OR(A1491="",B1491="",D1491="",E1491=""),"",A1491&amp;"_"&amp;SUBSTITUTE(B1491," ","-")&amp;"_"&amp;D1491&amp;"_"&amp;SUBSTITUTE(SUBSTITUTE(E1491," ",""),"€","Euro")&amp;"_"&amp;IF(F1491="","Unknown",F1491)&amp;IF(F1491="Commemorative",IF(G1491="","","_"&amp;SUBSTITUTE(SUBSTITUTE(SUBSTITUTE(G1491," ","-"),"/","-"),CHAR(39),"")),"")&amp;IF(I1491="Duplicate","_Dub"&amp;IF(SUMPRODUCT(($B$2:B1491=B1491)*($D$2:D1491=D1491)*($E$2:E1491=E1491)*($F$2:F1491=F1491)*($G$2:G1491=G1491)*($I$2:I1491="Duplicate"))&lt;=1,"",SUMPRODUCT(($B$2:B1491=B1491)*($D$2:D1491=D1491)*($E$2:E1491=E1491)*($F$2:F1491=F1491)*($G$2:G1491=G1491)*($I$2:I1491="Duplicate"))-1),"")&amp;".jpeg")</f>
        <v/>
      </c>
      <c r="L1491" s="6"/>
      <c r="M1491" s="5" t="str">
        <f>IFERROR(VLOOKUP(E1491,Specifications!$A$2:$D$9,2,FALSE),"")</f>
        <v/>
      </c>
      <c r="N1491" s="5" t="str">
        <f>IFERROR(VLOOKUP(E1491,Specifications!$A$2:$D$9,3,FALSE),"")</f>
        <v/>
      </c>
      <c r="O1491" s="5" t="str">
        <f>IFERROR(VLOOKUP(E1491,Specifications!$A$2:$D$9,4,FALSE),"")</f>
        <v/>
      </c>
      <c r="P1491" s="8" t="str">
        <f t="shared" si="72"/>
        <v/>
      </c>
      <c r="Q1491" s="9"/>
    </row>
    <row r="1492" spans="1:17" ht="15">
      <c r="A1492" s="5" t="str">
        <f t="shared" si="70"/>
        <v/>
      </c>
      <c r="B1492" s="6"/>
      <c r="C1492" s="5" t="str">
        <f>IFERROR(VLOOKUP(B1492,Lists!$A$2:$B$25,2,FALSE),"")</f>
        <v/>
      </c>
      <c r="D1492" s="7"/>
      <c r="E1492" s="6"/>
      <c r="F1492" s="6" t="str">
        <f t="shared" si="71"/>
        <v/>
      </c>
      <c r="G1492" s="6"/>
      <c r="H1492" s="6"/>
      <c r="I1492" s="6"/>
      <c r="J1492" s="7"/>
      <c r="K1492" s="5" t="str" cm="1">
        <f t="array" ref="K1492">IF(OR(A1492="",B1492="",D1492="",E1492=""),"",A1492&amp;"_"&amp;SUBSTITUTE(B1492," ","-")&amp;"_"&amp;D1492&amp;"_"&amp;SUBSTITUTE(SUBSTITUTE(E1492," ",""),"€","Euro")&amp;"_"&amp;IF(F1492="","Unknown",F1492)&amp;IF(F1492="Commemorative",IF(G1492="","","_"&amp;SUBSTITUTE(SUBSTITUTE(SUBSTITUTE(G1492," ","-"),"/","-"),CHAR(39),"")),"")&amp;IF(I1492="Duplicate","_Dub"&amp;IF(SUMPRODUCT(($B$2:B1492=B1492)*($D$2:D1492=D1492)*($E$2:E1492=E1492)*($F$2:F1492=F1492)*($G$2:G1492=G1492)*($I$2:I1492="Duplicate"))&lt;=1,"",SUMPRODUCT(($B$2:B1492=B1492)*($D$2:D1492=D1492)*($E$2:E1492=E1492)*($F$2:F1492=F1492)*($G$2:G1492=G1492)*($I$2:I1492="Duplicate"))-1),"")&amp;".jpeg")</f>
        <v/>
      </c>
      <c r="L1492" s="6"/>
      <c r="M1492" s="5" t="str">
        <f>IFERROR(VLOOKUP(E1492,Specifications!$A$2:$D$9,2,FALSE),"")</f>
        <v/>
      </c>
      <c r="N1492" s="5" t="str">
        <f>IFERROR(VLOOKUP(E1492,Specifications!$A$2:$D$9,3,FALSE),"")</f>
        <v/>
      </c>
      <c r="O1492" s="5" t="str">
        <f>IFERROR(VLOOKUP(E1492,Specifications!$A$2:$D$9,4,FALSE),"")</f>
        <v/>
      </c>
      <c r="P1492" s="8" t="str">
        <f t="shared" si="72"/>
        <v/>
      </c>
      <c r="Q1492" s="9"/>
    </row>
    <row r="1493" spans="1:17" ht="15">
      <c r="A1493" s="5" t="str">
        <f t="shared" si="70"/>
        <v/>
      </c>
      <c r="B1493" s="6"/>
      <c r="C1493" s="5" t="str">
        <f>IFERROR(VLOOKUP(B1493,Lists!$A$2:$B$25,2,FALSE),"")</f>
        <v/>
      </c>
      <c r="D1493" s="7"/>
      <c r="E1493" s="6"/>
      <c r="F1493" s="6" t="str">
        <f t="shared" si="71"/>
        <v/>
      </c>
      <c r="G1493" s="6"/>
      <c r="H1493" s="6"/>
      <c r="I1493" s="6"/>
      <c r="J1493" s="7"/>
      <c r="K1493" s="5" t="str" cm="1">
        <f t="array" ref="K1493">IF(OR(A1493="",B1493="",D1493="",E1493=""),"",A1493&amp;"_"&amp;SUBSTITUTE(B1493," ","-")&amp;"_"&amp;D1493&amp;"_"&amp;SUBSTITUTE(SUBSTITUTE(E1493," ",""),"€","Euro")&amp;"_"&amp;IF(F1493="","Unknown",F1493)&amp;IF(F1493="Commemorative",IF(G1493="","","_"&amp;SUBSTITUTE(SUBSTITUTE(SUBSTITUTE(G1493," ","-"),"/","-"),CHAR(39),"")),"")&amp;IF(I1493="Duplicate","_Dub"&amp;IF(SUMPRODUCT(($B$2:B1493=B1493)*($D$2:D1493=D1493)*($E$2:E1493=E1493)*($F$2:F1493=F1493)*($G$2:G1493=G1493)*($I$2:I1493="Duplicate"))&lt;=1,"",SUMPRODUCT(($B$2:B1493=B1493)*($D$2:D1493=D1493)*($E$2:E1493=E1493)*($F$2:F1493=F1493)*($G$2:G1493=G1493)*($I$2:I1493="Duplicate"))-1),"")&amp;".jpeg")</f>
        <v/>
      </c>
      <c r="L1493" s="6"/>
      <c r="M1493" s="5" t="str">
        <f>IFERROR(VLOOKUP(E1493,Specifications!$A$2:$D$9,2,FALSE),"")</f>
        <v/>
      </c>
      <c r="N1493" s="5" t="str">
        <f>IFERROR(VLOOKUP(E1493,Specifications!$A$2:$D$9,3,FALSE),"")</f>
        <v/>
      </c>
      <c r="O1493" s="5" t="str">
        <f>IFERROR(VLOOKUP(E1493,Specifications!$A$2:$D$9,4,FALSE),"")</f>
        <v/>
      </c>
      <c r="P1493" s="8" t="str">
        <f t="shared" si="72"/>
        <v/>
      </c>
      <c r="Q1493" s="9"/>
    </row>
    <row r="1494" spans="1:17" ht="15">
      <c r="A1494" s="5" t="str">
        <f t="shared" si="70"/>
        <v/>
      </c>
      <c r="B1494" s="6"/>
      <c r="C1494" s="5" t="str">
        <f>IFERROR(VLOOKUP(B1494,Lists!$A$2:$B$25,2,FALSE),"")</f>
        <v/>
      </c>
      <c r="D1494" s="7"/>
      <c r="E1494" s="6"/>
      <c r="F1494" s="6" t="str">
        <f t="shared" si="71"/>
        <v/>
      </c>
      <c r="G1494" s="6"/>
      <c r="H1494" s="6"/>
      <c r="I1494" s="6"/>
      <c r="J1494" s="7"/>
      <c r="K1494" s="5" t="str" cm="1">
        <f t="array" ref="K1494">IF(OR(A1494="",B1494="",D1494="",E1494=""),"",A1494&amp;"_"&amp;SUBSTITUTE(B1494," ","-")&amp;"_"&amp;D1494&amp;"_"&amp;SUBSTITUTE(SUBSTITUTE(E1494," ",""),"€","Euro")&amp;"_"&amp;IF(F1494="","Unknown",F1494)&amp;IF(F1494="Commemorative",IF(G1494="","","_"&amp;SUBSTITUTE(SUBSTITUTE(SUBSTITUTE(G1494," ","-"),"/","-"),CHAR(39),"")),"")&amp;IF(I1494="Duplicate","_Dub"&amp;IF(SUMPRODUCT(($B$2:B1494=B1494)*($D$2:D1494=D1494)*($E$2:E1494=E1494)*($F$2:F1494=F1494)*($G$2:G1494=G1494)*($I$2:I1494="Duplicate"))&lt;=1,"",SUMPRODUCT(($B$2:B1494=B1494)*($D$2:D1494=D1494)*($E$2:E1494=E1494)*($F$2:F1494=F1494)*($G$2:G1494=G1494)*($I$2:I1494="Duplicate"))-1),"")&amp;".jpeg")</f>
        <v/>
      </c>
      <c r="L1494" s="6"/>
      <c r="M1494" s="5" t="str">
        <f>IFERROR(VLOOKUP(E1494,Specifications!$A$2:$D$9,2,FALSE),"")</f>
        <v/>
      </c>
      <c r="N1494" s="5" t="str">
        <f>IFERROR(VLOOKUP(E1494,Specifications!$A$2:$D$9,3,FALSE),"")</f>
        <v/>
      </c>
      <c r="O1494" s="5" t="str">
        <f>IFERROR(VLOOKUP(E1494,Specifications!$A$2:$D$9,4,FALSE),"")</f>
        <v/>
      </c>
      <c r="P1494" s="8" t="str">
        <f t="shared" si="72"/>
        <v/>
      </c>
      <c r="Q1494" s="9"/>
    </row>
    <row r="1495" spans="1:17" ht="15">
      <c r="A1495" s="5" t="str">
        <f t="shared" si="70"/>
        <v/>
      </c>
      <c r="B1495" s="6"/>
      <c r="C1495" s="5" t="str">
        <f>IFERROR(VLOOKUP(B1495,Lists!$A$2:$B$25,2,FALSE),"")</f>
        <v/>
      </c>
      <c r="D1495" s="7"/>
      <c r="E1495" s="6"/>
      <c r="F1495" s="6" t="str">
        <f t="shared" si="71"/>
        <v/>
      </c>
      <c r="G1495" s="6"/>
      <c r="H1495" s="6"/>
      <c r="I1495" s="6"/>
      <c r="J1495" s="7"/>
      <c r="K1495" s="5" t="str" cm="1">
        <f t="array" ref="K1495">IF(OR(A1495="",B1495="",D1495="",E1495=""),"",A1495&amp;"_"&amp;SUBSTITUTE(B1495," ","-")&amp;"_"&amp;D1495&amp;"_"&amp;SUBSTITUTE(SUBSTITUTE(E1495," ",""),"€","Euro")&amp;"_"&amp;IF(F1495="","Unknown",F1495)&amp;IF(F1495="Commemorative",IF(G1495="","","_"&amp;SUBSTITUTE(SUBSTITUTE(SUBSTITUTE(G1495," ","-"),"/","-"),CHAR(39),"")),"")&amp;IF(I1495="Duplicate","_Dub"&amp;IF(SUMPRODUCT(($B$2:B1495=B1495)*($D$2:D1495=D1495)*($E$2:E1495=E1495)*($F$2:F1495=F1495)*($G$2:G1495=G1495)*($I$2:I1495="Duplicate"))&lt;=1,"",SUMPRODUCT(($B$2:B1495=B1495)*($D$2:D1495=D1495)*($E$2:E1495=E1495)*($F$2:F1495=F1495)*($G$2:G1495=G1495)*($I$2:I1495="Duplicate"))-1),"")&amp;".jpeg")</f>
        <v/>
      </c>
      <c r="L1495" s="6"/>
      <c r="M1495" s="5" t="str">
        <f>IFERROR(VLOOKUP(E1495,Specifications!$A$2:$D$9,2,FALSE),"")</f>
        <v/>
      </c>
      <c r="N1495" s="5" t="str">
        <f>IFERROR(VLOOKUP(E1495,Specifications!$A$2:$D$9,3,FALSE),"")</f>
        <v/>
      </c>
      <c r="O1495" s="5" t="str">
        <f>IFERROR(VLOOKUP(E1495,Specifications!$A$2:$D$9,4,FALSE),"")</f>
        <v/>
      </c>
      <c r="P1495" s="8" t="str">
        <f t="shared" si="72"/>
        <v/>
      </c>
      <c r="Q1495" s="9"/>
    </row>
    <row r="1496" spans="1:17" ht="15">
      <c r="A1496" s="5" t="str">
        <f t="shared" si="70"/>
        <v/>
      </c>
      <c r="B1496" s="6"/>
      <c r="C1496" s="5" t="str">
        <f>IFERROR(VLOOKUP(B1496,Lists!$A$2:$B$25,2,FALSE),"")</f>
        <v/>
      </c>
      <c r="D1496" s="7"/>
      <c r="E1496" s="6"/>
      <c r="F1496" s="6" t="str">
        <f t="shared" si="71"/>
        <v/>
      </c>
      <c r="G1496" s="6"/>
      <c r="H1496" s="6"/>
      <c r="I1496" s="6"/>
      <c r="J1496" s="7"/>
      <c r="K1496" s="5" t="str" cm="1">
        <f t="array" ref="K1496">IF(OR(A1496="",B1496="",D1496="",E1496=""),"",A1496&amp;"_"&amp;SUBSTITUTE(B1496," ","-")&amp;"_"&amp;D1496&amp;"_"&amp;SUBSTITUTE(SUBSTITUTE(E1496," ",""),"€","Euro")&amp;"_"&amp;IF(F1496="","Unknown",F1496)&amp;IF(F1496="Commemorative",IF(G1496="","","_"&amp;SUBSTITUTE(SUBSTITUTE(SUBSTITUTE(G1496," ","-"),"/","-"),CHAR(39),"")),"")&amp;IF(I1496="Duplicate","_Dub"&amp;IF(SUMPRODUCT(($B$2:B1496=B1496)*($D$2:D1496=D1496)*($E$2:E1496=E1496)*($F$2:F1496=F1496)*($G$2:G1496=G1496)*($I$2:I1496="Duplicate"))&lt;=1,"",SUMPRODUCT(($B$2:B1496=B1496)*($D$2:D1496=D1496)*($E$2:E1496=E1496)*($F$2:F1496=F1496)*($G$2:G1496=G1496)*($I$2:I1496="Duplicate"))-1),"")&amp;".jpeg")</f>
        <v/>
      </c>
      <c r="L1496" s="6"/>
      <c r="M1496" s="5" t="str">
        <f>IFERROR(VLOOKUP(E1496,Specifications!$A$2:$D$9,2,FALSE),"")</f>
        <v/>
      </c>
      <c r="N1496" s="5" t="str">
        <f>IFERROR(VLOOKUP(E1496,Specifications!$A$2:$D$9,3,FALSE),"")</f>
        <v/>
      </c>
      <c r="O1496" s="5" t="str">
        <f>IFERROR(VLOOKUP(E1496,Specifications!$A$2:$D$9,4,FALSE),"")</f>
        <v/>
      </c>
      <c r="P1496" s="8" t="str">
        <f t="shared" si="72"/>
        <v/>
      </c>
      <c r="Q1496" s="9"/>
    </row>
    <row r="1497" spans="1:17" ht="15">
      <c r="A1497" s="5" t="str">
        <f t="shared" si="70"/>
        <v/>
      </c>
      <c r="B1497" s="6"/>
      <c r="C1497" s="5" t="str">
        <f>IFERROR(VLOOKUP(B1497,Lists!$A$2:$B$25,2,FALSE),"")</f>
        <v/>
      </c>
      <c r="D1497" s="7"/>
      <c r="E1497" s="6"/>
      <c r="F1497" s="6" t="str">
        <f t="shared" si="71"/>
        <v/>
      </c>
      <c r="G1497" s="6"/>
      <c r="H1497" s="6"/>
      <c r="I1497" s="6"/>
      <c r="J1497" s="7"/>
      <c r="K1497" s="5" t="str" cm="1">
        <f t="array" ref="K1497">IF(OR(A1497="",B1497="",D1497="",E1497=""),"",A1497&amp;"_"&amp;SUBSTITUTE(B1497," ","-")&amp;"_"&amp;D1497&amp;"_"&amp;SUBSTITUTE(SUBSTITUTE(E1497," ",""),"€","Euro")&amp;"_"&amp;IF(F1497="","Unknown",F1497)&amp;IF(F1497="Commemorative",IF(G1497="","","_"&amp;SUBSTITUTE(SUBSTITUTE(SUBSTITUTE(G1497," ","-"),"/","-"),CHAR(39),"")),"")&amp;IF(I1497="Duplicate","_Dub"&amp;IF(SUMPRODUCT(($B$2:B1497=B1497)*($D$2:D1497=D1497)*($E$2:E1497=E1497)*($F$2:F1497=F1497)*($G$2:G1497=G1497)*($I$2:I1497="Duplicate"))&lt;=1,"",SUMPRODUCT(($B$2:B1497=B1497)*($D$2:D1497=D1497)*($E$2:E1497=E1497)*($F$2:F1497=F1497)*($G$2:G1497=G1497)*($I$2:I1497="Duplicate"))-1),"")&amp;".jpeg")</f>
        <v/>
      </c>
      <c r="L1497" s="6"/>
      <c r="M1497" s="5" t="str">
        <f>IFERROR(VLOOKUP(E1497,Specifications!$A$2:$D$9,2,FALSE),"")</f>
        <v/>
      </c>
      <c r="N1497" s="5" t="str">
        <f>IFERROR(VLOOKUP(E1497,Specifications!$A$2:$D$9,3,FALSE),"")</f>
        <v/>
      </c>
      <c r="O1497" s="5" t="str">
        <f>IFERROR(VLOOKUP(E1497,Specifications!$A$2:$D$9,4,FALSE),"")</f>
        <v/>
      </c>
      <c r="P1497" s="8" t="str">
        <f t="shared" si="72"/>
        <v/>
      </c>
      <c r="Q1497" s="9"/>
    </row>
    <row r="1498" spans="1:17" ht="15">
      <c r="A1498" s="5" t="str">
        <f t="shared" si="70"/>
        <v/>
      </c>
      <c r="B1498" s="6"/>
      <c r="C1498" s="5" t="str">
        <f>IFERROR(VLOOKUP(B1498,Lists!$A$2:$B$25,2,FALSE),"")</f>
        <v/>
      </c>
      <c r="D1498" s="7"/>
      <c r="E1498" s="6"/>
      <c r="F1498" s="6" t="str">
        <f t="shared" si="71"/>
        <v/>
      </c>
      <c r="G1498" s="6"/>
      <c r="H1498" s="6"/>
      <c r="I1498" s="6"/>
      <c r="J1498" s="7"/>
      <c r="K1498" s="5" t="str" cm="1">
        <f t="array" ref="K1498">IF(OR(A1498="",B1498="",D1498="",E1498=""),"",A1498&amp;"_"&amp;SUBSTITUTE(B1498," ","-")&amp;"_"&amp;D1498&amp;"_"&amp;SUBSTITUTE(SUBSTITUTE(E1498," ",""),"€","Euro")&amp;"_"&amp;IF(F1498="","Unknown",F1498)&amp;IF(F1498="Commemorative",IF(G1498="","","_"&amp;SUBSTITUTE(SUBSTITUTE(SUBSTITUTE(G1498," ","-"),"/","-"),CHAR(39),"")),"")&amp;IF(I1498="Duplicate","_Dub"&amp;IF(SUMPRODUCT(($B$2:B1498=B1498)*($D$2:D1498=D1498)*($E$2:E1498=E1498)*($F$2:F1498=F1498)*($G$2:G1498=G1498)*($I$2:I1498="Duplicate"))&lt;=1,"",SUMPRODUCT(($B$2:B1498=B1498)*($D$2:D1498=D1498)*($E$2:E1498=E1498)*($F$2:F1498=F1498)*($G$2:G1498=G1498)*($I$2:I1498="Duplicate"))-1),"")&amp;".jpeg")</f>
        <v/>
      </c>
      <c r="L1498" s="6"/>
      <c r="M1498" s="5" t="str">
        <f>IFERROR(VLOOKUP(E1498,Specifications!$A$2:$D$9,2,FALSE),"")</f>
        <v/>
      </c>
      <c r="N1498" s="5" t="str">
        <f>IFERROR(VLOOKUP(E1498,Specifications!$A$2:$D$9,3,FALSE),"")</f>
        <v/>
      </c>
      <c r="O1498" s="5" t="str">
        <f>IFERROR(VLOOKUP(E1498,Specifications!$A$2:$D$9,4,FALSE),"")</f>
        <v/>
      </c>
      <c r="P1498" s="8" t="str">
        <f t="shared" si="72"/>
        <v/>
      </c>
      <c r="Q1498" s="9"/>
    </row>
    <row r="1499" spans="1:17" ht="15">
      <c r="A1499" s="5" t="str">
        <f t="shared" si="70"/>
        <v/>
      </c>
      <c r="B1499" s="6"/>
      <c r="C1499" s="5" t="str">
        <f>IFERROR(VLOOKUP(B1499,Lists!$A$2:$B$25,2,FALSE),"")</f>
        <v/>
      </c>
      <c r="D1499" s="7"/>
      <c r="E1499" s="6"/>
      <c r="F1499" s="6" t="str">
        <f t="shared" si="71"/>
        <v/>
      </c>
      <c r="G1499" s="6"/>
      <c r="H1499" s="6"/>
      <c r="I1499" s="6"/>
      <c r="J1499" s="7"/>
      <c r="K1499" s="5" t="str" cm="1">
        <f t="array" ref="K1499">IF(OR(A1499="",B1499="",D1499="",E1499=""),"",A1499&amp;"_"&amp;SUBSTITUTE(B1499," ","-")&amp;"_"&amp;D1499&amp;"_"&amp;SUBSTITUTE(SUBSTITUTE(E1499," ",""),"€","Euro")&amp;"_"&amp;IF(F1499="","Unknown",F1499)&amp;IF(F1499="Commemorative",IF(G1499="","","_"&amp;SUBSTITUTE(SUBSTITUTE(SUBSTITUTE(G1499," ","-"),"/","-"),CHAR(39),"")),"")&amp;IF(I1499="Duplicate","_Dub"&amp;IF(SUMPRODUCT(($B$2:B1499=B1499)*($D$2:D1499=D1499)*($E$2:E1499=E1499)*($F$2:F1499=F1499)*($G$2:G1499=G1499)*($I$2:I1499="Duplicate"))&lt;=1,"",SUMPRODUCT(($B$2:B1499=B1499)*($D$2:D1499=D1499)*($E$2:E1499=E1499)*($F$2:F1499=F1499)*($G$2:G1499=G1499)*($I$2:I1499="Duplicate"))-1),"")&amp;".jpeg")</f>
        <v/>
      </c>
      <c r="L1499" s="6"/>
      <c r="M1499" s="5" t="str">
        <f>IFERROR(VLOOKUP(E1499,Specifications!$A$2:$D$9,2,FALSE),"")</f>
        <v/>
      </c>
      <c r="N1499" s="5" t="str">
        <f>IFERROR(VLOOKUP(E1499,Specifications!$A$2:$D$9,3,FALSE),"")</f>
        <v/>
      </c>
      <c r="O1499" s="5" t="str">
        <f>IFERROR(VLOOKUP(E1499,Specifications!$A$2:$D$9,4,FALSE),"")</f>
        <v/>
      </c>
      <c r="P1499" s="8" t="str">
        <f t="shared" si="72"/>
        <v/>
      </c>
      <c r="Q1499" s="9"/>
    </row>
    <row r="1500" spans="1:17" ht="15">
      <c r="A1500" s="5" t="str">
        <f t="shared" si="70"/>
        <v/>
      </c>
      <c r="B1500" s="6"/>
      <c r="C1500" s="5" t="str">
        <f>IFERROR(VLOOKUP(B1500,Lists!$A$2:$B$25,2,FALSE),"")</f>
        <v/>
      </c>
      <c r="D1500" s="7"/>
      <c r="E1500" s="6"/>
      <c r="F1500" s="6" t="str">
        <f t="shared" si="71"/>
        <v/>
      </c>
      <c r="G1500" s="6"/>
      <c r="H1500" s="6"/>
      <c r="I1500" s="6"/>
      <c r="J1500" s="7"/>
      <c r="K1500" s="5" t="str" cm="1">
        <f t="array" ref="K1500">IF(OR(A1500="",B1500="",D1500="",E1500=""),"",A1500&amp;"_"&amp;SUBSTITUTE(B1500," ","-")&amp;"_"&amp;D1500&amp;"_"&amp;SUBSTITUTE(SUBSTITUTE(E1500," ",""),"€","Euro")&amp;"_"&amp;IF(F1500="","Unknown",F1500)&amp;IF(F1500="Commemorative",IF(G1500="","","_"&amp;SUBSTITUTE(SUBSTITUTE(SUBSTITUTE(G1500," ","-"),"/","-"),CHAR(39),"")),"")&amp;IF(I1500="Duplicate","_Dub"&amp;IF(SUMPRODUCT(($B$2:B1500=B1500)*($D$2:D1500=D1500)*($E$2:E1500=E1500)*($F$2:F1500=F1500)*($G$2:G1500=G1500)*($I$2:I1500="Duplicate"))&lt;=1,"",SUMPRODUCT(($B$2:B1500=B1500)*($D$2:D1500=D1500)*($E$2:E1500=E1500)*($F$2:F1500=F1500)*($G$2:G1500=G1500)*($I$2:I1500="Duplicate"))-1),"")&amp;".jpeg")</f>
        <v/>
      </c>
      <c r="L1500" s="6"/>
      <c r="M1500" s="5" t="str">
        <f>IFERROR(VLOOKUP(E1500,Specifications!$A$2:$D$9,2,FALSE),"")</f>
        <v/>
      </c>
      <c r="N1500" s="5" t="str">
        <f>IFERROR(VLOOKUP(E1500,Specifications!$A$2:$D$9,3,FALSE),"")</f>
        <v/>
      </c>
      <c r="O1500" s="5" t="str">
        <f>IFERROR(VLOOKUP(E1500,Specifications!$A$2:$D$9,4,FALSE),"")</f>
        <v/>
      </c>
      <c r="P1500" s="8" t="str">
        <f t="shared" si="72"/>
        <v/>
      </c>
      <c r="Q1500" s="9"/>
    </row>
    <row r="1501" spans="1:17" ht="15">
      <c r="A1501" s="5" t="str">
        <f t="shared" si="70"/>
        <v/>
      </c>
      <c r="B1501" s="6"/>
      <c r="C1501" s="5" t="str">
        <f>IFERROR(VLOOKUP(B1501,Lists!$A$2:$B$25,2,FALSE),"")</f>
        <v/>
      </c>
      <c r="D1501" s="7"/>
      <c r="E1501" s="6"/>
      <c r="F1501" s="6" t="str">
        <f t="shared" si="71"/>
        <v/>
      </c>
      <c r="G1501" s="6"/>
      <c r="H1501" s="6"/>
      <c r="I1501" s="6"/>
      <c r="J1501" s="7"/>
      <c r="K1501" s="5" t="str" cm="1">
        <f t="array" ref="K1501">IF(OR(A1501="",B1501="",D1501="",E1501=""),"",A1501&amp;"_"&amp;SUBSTITUTE(B1501," ","-")&amp;"_"&amp;D1501&amp;"_"&amp;SUBSTITUTE(SUBSTITUTE(E1501," ",""),"€","Euro")&amp;"_"&amp;IF(F1501="","Unknown",F1501)&amp;IF(F1501="Commemorative",IF(G1501="","","_"&amp;SUBSTITUTE(SUBSTITUTE(SUBSTITUTE(G1501," ","-"),"/","-"),CHAR(39),"")),"")&amp;IF(I1501="Duplicate","_Dub"&amp;IF(SUMPRODUCT(($B$2:B1501=B1501)*($D$2:D1501=D1501)*($E$2:E1501=E1501)*($F$2:F1501=F1501)*($G$2:G1501=G1501)*($I$2:I1501="Duplicate"))&lt;=1,"",SUMPRODUCT(($B$2:B1501=B1501)*($D$2:D1501=D1501)*($E$2:E1501=E1501)*($F$2:F1501=F1501)*($G$2:G1501=G1501)*($I$2:I1501="Duplicate"))-1),"")&amp;".jpeg")</f>
        <v/>
      </c>
      <c r="L1501" s="6"/>
      <c r="M1501" s="5" t="str">
        <f>IFERROR(VLOOKUP(E1501,Specifications!$A$2:$D$9,2,FALSE),"")</f>
        <v/>
      </c>
      <c r="N1501" s="5" t="str">
        <f>IFERROR(VLOOKUP(E1501,Specifications!$A$2:$D$9,3,FALSE),"")</f>
        <v/>
      </c>
      <c r="O1501" s="5" t="str">
        <f>IFERROR(VLOOKUP(E1501,Specifications!$A$2:$D$9,4,FALSE),"")</f>
        <v/>
      </c>
      <c r="P1501" s="8" t="str">
        <f t="shared" si="72"/>
        <v/>
      </c>
      <c r="Q1501" s="9"/>
    </row>
    <row r="1502" spans="1:17" ht="15">
      <c r="A1502" s="5" t="str">
        <f t="shared" si="70"/>
        <v/>
      </c>
      <c r="B1502" s="6"/>
      <c r="C1502" s="5" t="str">
        <f>IFERROR(VLOOKUP(B1502,Lists!$A$2:$B$25,2,FALSE),"")</f>
        <v/>
      </c>
      <c r="D1502" s="7"/>
      <c r="E1502" s="6"/>
      <c r="F1502" s="6" t="str">
        <f t="shared" si="71"/>
        <v/>
      </c>
      <c r="G1502" s="6"/>
      <c r="H1502" s="6"/>
      <c r="I1502" s="6"/>
      <c r="J1502" s="7"/>
      <c r="K1502" s="5" t="str" cm="1">
        <f t="array" ref="K1502">IF(OR(A1502="",B1502="",D1502="",E1502=""),"",A1502&amp;"_"&amp;SUBSTITUTE(B1502," ","-")&amp;"_"&amp;D1502&amp;"_"&amp;SUBSTITUTE(SUBSTITUTE(E1502," ",""),"€","Euro")&amp;"_"&amp;IF(F1502="","Unknown",F1502)&amp;IF(F1502="Commemorative",IF(G1502="","","_"&amp;SUBSTITUTE(SUBSTITUTE(SUBSTITUTE(G1502," ","-"),"/","-"),CHAR(39),"")),"")&amp;IF(I1502="Duplicate","_Dub"&amp;IF(SUMPRODUCT(($B$2:B1502=B1502)*($D$2:D1502=D1502)*($E$2:E1502=E1502)*($F$2:F1502=F1502)*($G$2:G1502=G1502)*($I$2:I1502="Duplicate"))&lt;=1,"",SUMPRODUCT(($B$2:B1502=B1502)*($D$2:D1502=D1502)*($E$2:E1502=E1502)*($F$2:F1502=F1502)*($G$2:G1502=G1502)*($I$2:I1502="Duplicate"))-1),"")&amp;".jpeg")</f>
        <v/>
      </c>
      <c r="L1502" s="6"/>
      <c r="M1502" s="5" t="str">
        <f>IFERROR(VLOOKUP(E1502,Specifications!$A$2:$D$9,2,FALSE),"")</f>
        <v/>
      </c>
      <c r="N1502" s="5" t="str">
        <f>IFERROR(VLOOKUP(E1502,Specifications!$A$2:$D$9,3,FALSE),"")</f>
        <v/>
      </c>
      <c r="O1502" s="5" t="str">
        <f>IFERROR(VLOOKUP(E1502,Specifications!$A$2:$D$9,4,FALSE),"")</f>
        <v/>
      </c>
      <c r="P1502" s="8" t="str">
        <f t="shared" si="72"/>
        <v/>
      </c>
      <c r="Q1502" s="9"/>
    </row>
    <row r="1503" spans="1:17" ht="15">
      <c r="A1503" s="5" t="str">
        <f t="shared" si="70"/>
        <v/>
      </c>
      <c r="B1503" s="6"/>
      <c r="C1503" s="5" t="str">
        <f>IFERROR(VLOOKUP(B1503,Lists!$A$2:$B$25,2,FALSE),"")</f>
        <v/>
      </c>
      <c r="D1503" s="7"/>
      <c r="E1503" s="6"/>
      <c r="F1503" s="6" t="str">
        <f t="shared" si="71"/>
        <v/>
      </c>
      <c r="G1503" s="6"/>
      <c r="H1503" s="6"/>
      <c r="I1503" s="6"/>
      <c r="J1503" s="7"/>
      <c r="K1503" s="5" t="str" cm="1">
        <f t="array" ref="K1503">IF(OR(A1503="",B1503="",D1503="",E1503=""),"",A1503&amp;"_"&amp;SUBSTITUTE(B1503," ","-")&amp;"_"&amp;D1503&amp;"_"&amp;SUBSTITUTE(SUBSTITUTE(E1503," ",""),"€","Euro")&amp;"_"&amp;IF(F1503="","Unknown",F1503)&amp;IF(F1503="Commemorative",IF(G1503="","","_"&amp;SUBSTITUTE(SUBSTITUTE(SUBSTITUTE(G1503," ","-"),"/","-"),CHAR(39),"")),"")&amp;IF(I1503="Duplicate","_Dub"&amp;IF(SUMPRODUCT(($B$2:B1503=B1503)*($D$2:D1503=D1503)*($E$2:E1503=E1503)*($F$2:F1503=F1503)*($G$2:G1503=G1503)*($I$2:I1503="Duplicate"))&lt;=1,"",SUMPRODUCT(($B$2:B1503=B1503)*($D$2:D1503=D1503)*($E$2:E1503=E1503)*($F$2:F1503=F1503)*($G$2:G1503=G1503)*($I$2:I1503="Duplicate"))-1),"")&amp;".jpeg")</f>
        <v/>
      </c>
      <c r="L1503" s="6"/>
      <c r="M1503" s="5" t="str">
        <f>IFERROR(VLOOKUP(E1503,Specifications!$A$2:$D$9,2,FALSE),"")</f>
        <v/>
      </c>
      <c r="N1503" s="5" t="str">
        <f>IFERROR(VLOOKUP(E1503,Specifications!$A$2:$D$9,3,FALSE),"")</f>
        <v/>
      </c>
      <c r="O1503" s="5" t="str">
        <f>IFERROR(VLOOKUP(E1503,Specifications!$A$2:$D$9,4,FALSE),"")</f>
        <v/>
      </c>
      <c r="P1503" s="8" t="str">
        <f t="shared" si="72"/>
        <v/>
      </c>
      <c r="Q1503" s="9"/>
    </row>
    <row r="1504" spans="1:17" ht="15">
      <c r="A1504" s="5" t="str">
        <f t="shared" si="70"/>
        <v/>
      </c>
      <c r="B1504" s="6"/>
      <c r="C1504" s="5" t="str">
        <f>IFERROR(VLOOKUP(B1504,Lists!$A$2:$B$25,2,FALSE),"")</f>
        <v/>
      </c>
      <c r="D1504" s="7"/>
      <c r="E1504" s="6"/>
      <c r="F1504" s="6" t="str">
        <f t="shared" si="71"/>
        <v/>
      </c>
      <c r="G1504" s="6"/>
      <c r="H1504" s="6"/>
      <c r="I1504" s="6"/>
      <c r="J1504" s="7"/>
      <c r="K1504" s="5" t="str" cm="1">
        <f t="array" ref="K1504">IF(OR(A1504="",B1504="",D1504="",E1504=""),"",A1504&amp;"_"&amp;SUBSTITUTE(B1504," ","-")&amp;"_"&amp;D1504&amp;"_"&amp;SUBSTITUTE(SUBSTITUTE(E1504," ",""),"€","Euro")&amp;"_"&amp;IF(F1504="","Unknown",F1504)&amp;IF(F1504="Commemorative",IF(G1504="","","_"&amp;SUBSTITUTE(SUBSTITUTE(SUBSTITUTE(G1504," ","-"),"/","-"),CHAR(39),"")),"")&amp;IF(I1504="Duplicate","_Dub"&amp;IF(SUMPRODUCT(($B$2:B1504=B1504)*($D$2:D1504=D1504)*($E$2:E1504=E1504)*($F$2:F1504=F1504)*($G$2:G1504=G1504)*($I$2:I1504="Duplicate"))&lt;=1,"",SUMPRODUCT(($B$2:B1504=B1504)*($D$2:D1504=D1504)*($E$2:E1504=E1504)*($F$2:F1504=F1504)*($G$2:G1504=G1504)*($I$2:I1504="Duplicate"))-1),"")&amp;".jpeg")</f>
        <v/>
      </c>
      <c r="L1504" s="6"/>
      <c r="M1504" s="5" t="str">
        <f>IFERROR(VLOOKUP(E1504,Specifications!$A$2:$D$9,2,FALSE),"")</f>
        <v/>
      </c>
      <c r="N1504" s="5" t="str">
        <f>IFERROR(VLOOKUP(E1504,Specifications!$A$2:$D$9,3,FALSE),"")</f>
        <v/>
      </c>
      <c r="O1504" s="5" t="str">
        <f>IFERROR(VLOOKUP(E1504,Specifications!$A$2:$D$9,4,FALSE),"")</f>
        <v/>
      </c>
      <c r="P1504" s="8" t="str">
        <f t="shared" si="72"/>
        <v/>
      </c>
      <c r="Q1504" s="9"/>
    </row>
    <row r="1505" spans="1:17" ht="15">
      <c r="A1505" s="5" t="str">
        <f t="shared" si="70"/>
        <v/>
      </c>
      <c r="B1505" s="6"/>
      <c r="C1505" s="5" t="str">
        <f>IFERROR(VLOOKUP(B1505,Lists!$A$2:$B$25,2,FALSE),"")</f>
        <v/>
      </c>
      <c r="D1505" s="7"/>
      <c r="E1505" s="6"/>
      <c r="F1505" s="6" t="str">
        <f t="shared" si="71"/>
        <v/>
      </c>
      <c r="G1505" s="6"/>
      <c r="H1505" s="6"/>
      <c r="I1505" s="6"/>
      <c r="J1505" s="7"/>
      <c r="K1505" s="5" t="str" cm="1">
        <f t="array" ref="K1505">IF(OR(A1505="",B1505="",D1505="",E1505=""),"",A1505&amp;"_"&amp;SUBSTITUTE(B1505," ","-")&amp;"_"&amp;D1505&amp;"_"&amp;SUBSTITUTE(SUBSTITUTE(E1505," ",""),"€","Euro")&amp;"_"&amp;IF(F1505="","Unknown",F1505)&amp;IF(F1505="Commemorative",IF(G1505="","","_"&amp;SUBSTITUTE(SUBSTITUTE(SUBSTITUTE(G1505," ","-"),"/","-"),CHAR(39),"")),"")&amp;IF(I1505="Duplicate","_Dub"&amp;IF(SUMPRODUCT(($B$2:B1505=B1505)*($D$2:D1505=D1505)*($E$2:E1505=E1505)*($F$2:F1505=F1505)*($G$2:G1505=G1505)*($I$2:I1505="Duplicate"))&lt;=1,"",SUMPRODUCT(($B$2:B1505=B1505)*($D$2:D1505=D1505)*($E$2:E1505=E1505)*($F$2:F1505=F1505)*($G$2:G1505=G1505)*($I$2:I1505="Duplicate"))-1),"")&amp;".jpeg")</f>
        <v/>
      </c>
      <c r="L1505" s="6"/>
      <c r="M1505" s="5" t="str">
        <f>IFERROR(VLOOKUP(E1505,Specifications!$A$2:$D$9,2,FALSE),"")</f>
        <v/>
      </c>
      <c r="N1505" s="5" t="str">
        <f>IFERROR(VLOOKUP(E1505,Specifications!$A$2:$D$9,3,FALSE),"")</f>
        <v/>
      </c>
      <c r="O1505" s="5" t="str">
        <f>IFERROR(VLOOKUP(E1505,Specifications!$A$2:$D$9,4,FALSE),"")</f>
        <v/>
      </c>
      <c r="P1505" s="8" t="str">
        <f t="shared" si="72"/>
        <v/>
      </c>
      <c r="Q1505" s="9"/>
    </row>
    <row r="1506" spans="1:17" ht="15">
      <c r="A1506" s="5" t="str">
        <f t="shared" si="70"/>
        <v/>
      </c>
      <c r="B1506" s="6"/>
      <c r="C1506" s="5" t="str">
        <f>IFERROR(VLOOKUP(B1506,Lists!$A$2:$B$25,2,FALSE),"")</f>
        <v/>
      </c>
      <c r="D1506" s="7"/>
      <c r="E1506" s="6"/>
      <c r="F1506" s="6" t="str">
        <f t="shared" si="71"/>
        <v/>
      </c>
      <c r="G1506" s="6"/>
      <c r="H1506" s="6"/>
      <c r="I1506" s="6"/>
      <c r="J1506" s="7"/>
      <c r="K1506" s="5" t="str" cm="1">
        <f t="array" ref="K1506">IF(OR(A1506="",B1506="",D1506="",E1506=""),"",A1506&amp;"_"&amp;SUBSTITUTE(B1506," ","-")&amp;"_"&amp;D1506&amp;"_"&amp;SUBSTITUTE(SUBSTITUTE(E1506," ",""),"€","Euro")&amp;"_"&amp;IF(F1506="","Unknown",F1506)&amp;IF(F1506="Commemorative",IF(G1506="","","_"&amp;SUBSTITUTE(SUBSTITUTE(SUBSTITUTE(G1506," ","-"),"/","-"),CHAR(39),"")),"")&amp;IF(I1506="Duplicate","_Dub"&amp;IF(SUMPRODUCT(($B$2:B1506=B1506)*($D$2:D1506=D1506)*($E$2:E1506=E1506)*($F$2:F1506=F1506)*($G$2:G1506=G1506)*($I$2:I1506="Duplicate"))&lt;=1,"",SUMPRODUCT(($B$2:B1506=B1506)*($D$2:D1506=D1506)*($E$2:E1506=E1506)*($F$2:F1506=F1506)*($G$2:G1506=G1506)*($I$2:I1506="Duplicate"))-1),"")&amp;".jpeg")</f>
        <v/>
      </c>
      <c r="L1506" s="6"/>
      <c r="M1506" s="5" t="str">
        <f>IFERROR(VLOOKUP(E1506,Specifications!$A$2:$D$9,2,FALSE),"")</f>
        <v/>
      </c>
      <c r="N1506" s="5" t="str">
        <f>IFERROR(VLOOKUP(E1506,Specifications!$A$2:$D$9,3,FALSE),"")</f>
        <v/>
      </c>
      <c r="O1506" s="5" t="str">
        <f>IFERROR(VLOOKUP(E1506,Specifications!$A$2:$D$9,4,FALSE),"")</f>
        <v/>
      </c>
      <c r="P1506" s="8" t="str">
        <f t="shared" si="72"/>
        <v/>
      </c>
      <c r="Q1506" s="9"/>
    </row>
    <row r="1507" spans="1:17" ht="15">
      <c r="A1507" s="5" t="str">
        <f t="shared" si="70"/>
        <v/>
      </c>
      <c r="B1507" s="6"/>
      <c r="C1507" s="5" t="str">
        <f>IFERROR(VLOOKUP(B1507,Lists!$A$2:$B$25,2,FALSE),"")</f>
        <v/>
      </c>
      <c r="D1507" s="7"/>
      <c r="E1507" s="6"/>
      <c r="F1507" s="6" t="str">
        <f t="shared" si="71"/>
        <v/>
      </c>
      <c r="G1507" s="6"/>
      <c r="H1507" s="6"/>
      <c r="I1507" s="6"/>
      <c r="J1507" s="7"/>
      <c r="K1507" s="5" t="str" cm="1">
        <f t="array" ref="K1507">IF(OR(A1507="",B1507="",D1507="",E1507=""),"",A1507&amp;"_"&amp;SUBSTITUTE(B1507," ","-")&amp;"_"&amp;D1507&amp;"_"&amp;SUBSTITUTE(SUBSTITUTE(E1507," ",""),"€","Euro")&amp;"_"&amp;IF(F1507="","Unknown",F1507)&amp;IF(F1507="Commemorative",IF(G1507="","","_"&amp;SUBSTITUTE(SUBSTITUTE(SUBSTITUTE(G1507," ","-"),"/","-"),CHAR(39),"")),"")&amp;IF(I1507="Duplicate","_Dub"&amp;IF(SUMPRODUCT(($B$2:B1507=B1507)*($D$2:D1507=D1507)*($E$2:E1507=E1507)*($F$2:F1507=F1507)*($G$2:G1507=G1507)*($I$2:I1507="Duplicate"))&lt;=1,"",SUMPRODUCT(($B$2:B1507=B1507)*($D$2:D1507=D1507)*($E$2:E1507=E1507)*($F$2:F1507=F1507)*($G$2:G1507=G1507)*($I$2:I1507="Duplicate"))-1),"")&amp;".jpeg")</f>
        <v/>
      </c>
      <c r="L1507" s="6"/>
      <c r="M1507" s="5" t="str">
        <f>IFERROR(VLOOKUP(E1507,Specifications!$A$2:$D$9,2,FALSE),"")</f>
        <v/>
      </c>
      <c r="N1507" s="5" t="str">
        <f>IFERROR(VLOOKUP(E1507,Specifications!$A$2:$D$9,3,FALSE),"")</f>
        <v/>
      </c>
      <c r="O1507" s="5" t="str">
        <f>IFERROR(VLOOKUP(E1507,Specifications!$A$2:$D$9,4,FALSE),"")</f>
        <v/>
      </c>
      <c r="P1507" s="8" t="str">
        <f t="shared" si="72"/>
        <v/>
      </c>
      <c r="Q1507" s="9"/>
    </row>
    <row r="1508" spans="1:17" ht="15">
      <c r="A1508" s="5" t="str">
        <f t="shared" si="70"/>
        <v/>
      </c>
      <c r="B1508" s="6"/>
      <c r="C1508" s="5" t="str">
        <f>IFERROR(VLOOKUP(B1508,Lists!$A$2:$B$25,2,FALSE),"")</f>
        <v/>
      </c>
      <c r="D1508" s="7"/>
      <c r="E1508" s="6"/>
      <c r="F1508" s="6" t="str">
        <f t="shared" si="71"/>
        <v/>
      </c>
      <c r="G1508" s="6"/>
      <c r="H1508" s="6"/>
      <c r="I1508" s="6"/>
      <c r="J1508" s="7"/>
      <c r="K1508" s="5" t="str" cm="1">
        <f t="array" ref="K1508">IF(OR(A1508="",B1508="",D1508="",E1508=""),"",A1508&amp;"_"&amp;SUBSTITUTE(B1508," ","-")&amp;"_"&amp;D1508&amp;"_"&amp;SUBSTITUTE(SUBSTITUTE(E1508," ",""),"€","Euro")&amp;"_"&amp;IF(F1508="","Unknown",F1508)&amp;IF(F1508="Commemorative",IF(G1508="","","_"&amp;SUBSTITUTE(SUBSTITUTE(SUBSTITUTE(G1508," ","-"),"/","-"),CHAR(39),"")),"")&amp;IF(I1508="Duplicate","_Dub"&amp;IF(SUMPRODUCT(($B$2:B1508=B1508)*($D$2:D1508=D1508)*($E$2:E1508=E1508)*($F$2:F1508=F1508)*($G$2:G1508=G1508)*($I$2:I1508="Duplicate"))&lt;=1,"",SUMPRODUCT(($B$2:B1508=B1508)*($D$2:D1508=D1508)*($E$2:E1508=E1508)*($F$2:F1508=F1508)*($G$2:G1508=G1508)*($I$2:I1508="Duplicate"))-1),"")&amp;".jpeg")</f>
        <v/>
      </c>
      <c r="L1508" s="6"/>
      <c r="M1508" s="5" t="str">
        <f>IFERROR(VLOOKUP(E1508,Specifications!$A$2:$D$9,2,FALSE),"")</f>
        <v/>
      </c>
      <c r="N1508" s="5" t="str">
        <f>IFERROR(VLOOKUP(E1508,Specifications!$A$2:$D$9,3,FALSE),"")</f>
        <v/>
      </c>
      <c r="O1508" s="5" t="str">
        <f>IFERROR(VLOOKUP(E1508,Specifications!$A$2:$D$9,4,FALSE),"")</f>
        <v/>
      </c>
      <c r="P1508" s="8" t="str">
        <f t="shared" si="72"/>
        <v/>
      </c>
      <c r="Q1508" s="9"/>
    </row>
    <row r="1509" spans="1:17" ht="15">
      <c r="A1509" s="5" t="str">
        <f t="shared" si="70"/>
        <v/>
      </c>
      <c r="B1509" s="6"/>
      <c r="C1509" s="5" t="str">
        <f>IFERROR(VLOOKUP(B1509,Lists!$A$2:$B$25,2,FALSE),"")</f>
        <v/>
      </c>
      <c r="D1509" s="7"/>
      <c r="E1509" s="6"/>
      <c r="F1509" s="6" t="str">
        <f t="shared" si="71"/>
        <v/>
      </c>
      <c r="G1509" s="6"/>
      <c r="H1509" s="6"/>
      <c r="I1509" s="6"/>
      <c r="J1509" s="7"/>
      <c r="K1509" s="5" t="str" cm="1">
        <f t="array" ref="K1509">IF(OR(A1509="",B1509="",D1509="",E1509=""),"",A1509&amp;"_"&amp;SUBSTITUTE(B1509," ","-")&amp;"_"&amp;D1509&amp;"_"&amp;SUBSTITUTE(SUBSTITUTE(E1509," ",""),"€","Euro")&amp;"_"&amp;IF(F1509="","Unknown",F1509)&amp;IF(F1509="Commemorative",IF(G1509="","","_"&amp;SUBSTITUTE(SUBSTITUTE(SUBSTITUTE(G1509," ","-"),"/","-"),CHAR(39),"")),"")&amp;IF(I1509="Duplicate","_Dub"&amp;IF(SUMPRODUCT(($B$2:B1509=B1509)*($D$2:D1509=D1509)*($E$2:E1509=E1509)*($F$2:F1509=F1509)*($G$2:G1509=G1509)*($I$2:I1509="Duplicate"))&lt;=1,"",SUMPRODUCT(($B$2:B1509=B1509)*($D$2:D1509=D1509)*($E$2:E1509=E1509)*($F$2:F1509=F1509)*($G$2:G1509=G1509)*($I$2:I1509="Duplicate"))-1),"")&amp;".jpeg")</f>
        <v/>
      </c>
      <c r="L1509" s="6"/>
      <c r="M1509" s="5" t="str">
        <f>IFERROR(VLOOKUP(E1509,Specifications!$A$2:$D$9,2,FALSE),"")</f>
        <v/>
      </c>
      <c r="N1509" s="5" t="str">
        <f>IFERROR(VLOOKUP(E1509,Specifications!$A$2:$D$9,3,FALSE),"")</f>
        <v/>
      </c>
      <c r="O1509" s="5" t="str">
        <f>IFERROR(VLOOKUP(E1509,Specifications!$A$2:$D$9,4,FALSE),"")</f>
        <v/>
      </c>
      <c r="P1509" s="8" t="str">
        <f t="shared" si="72"/>
        <v/>
      </c>
      <c r="Q1509" s="9"/>
    </row>
    <row r="1510" spans="1:17" ht="15">
      <c r="A1510" s="5" t="str">
        <f t="shared" si="70"/>
        <v/>
      </c>
      <c r="B1510" s="6"/>
      <c r="C1510" s="5" t="str">
        <f>IFERROR(VLOOKUP(B1510,Lists!$A$2:$B$25,2,FALSE),"")</f>
        <v/>
      </c>
      <c r="D1510" s="7"/>
      <c r="E1510" s="6"/>
      <c r="F1510" s="6" t="str">
        <f t="shared" si="71"/>
        <v/>
      </c>
      <c r="G1510" s="6"/>
      <c r="H1510" s="6"/>
      <c r="I1510" s="6"/>
      <c r="J1510" s="7"/>
      <c r="K1510" s="5" t="str" cm="1">
        <f t="array" ref="K1510">IF(OR(A1510="",B1510="",D1510="",E1510=""),"",A1510&amp;"_"&amp;SUBSTITUTE(B1510," ","-")&amp;"_"&amp;D1510&amp;"_"&amp;SUBSTITUTE(SUBSTITUTE(E1510," ",""),"€","Euro")&amp;"_"&amp;IF(F1510="","Unknown",F1510)&amp;IF(F1510="Commemorative",IF(G1510="","","_"&amp;SUBSTITUTE(SUBSTITUTE(SUBSTITUTE(G1510," ","-"),"/","-"),CHAR(39),"")),"")&amp;IF(I1510="Duplicate","_Dub"&amp;IF(SUMPRODUCT(($B$2:B1510=B1510)*($D$2:D1510=D1510)*($E$2:E1510=E1510)*($F$2:F1510=F1510)*($G$2:G1510=G1510)*($I$2:I1510="Duplicate"))&lt;=1,"",SUMPRODUCT(($B$2:B1510=B1510)*($D$2:D1510=D1510)*($E$2:E1510=E1510)*($F$2:F1510=F1510)*($G$2:G1510=G1510)*($I$2:I1510="Duplicate"))-1),"")&amp;".jpeg")</f>
        <v/>
      </c>
      <c r="L1510" s="6"/>
      <c r="M1510" s="5" t="str">
        <f>IFERROR(VLOOKUP(E1510,Specifications!$A$2:$D$9,2,FALSE),"")</f>
        <v/>
      </c>
      <c r="N1510" s="5" t="str">
        <f>IFERROR(VLOOKUP(E1510,Specifications!$A$2:$D$9,3,FALSE),"")</f>
        <v/>
      </c>
      <c r="O1510" s="5" t="str">
        <f>IFERROR(VLOOKUP(E1510,Specifications!$A$2:$D$9,4,FALSE),"")</f>
        <v/>
      </c>
      <c r="P1510" s="8" t="str">
        <f t="shared" si="72"/>
        <v/>
      </c>
      <c r="Q1510" s="9"/>
    </row>
    <row r="1511" spans="1:17" ht="15">
      <c r="A1511" s="5" t="str">
        <f t="shared" si="70"/>
        <v/>
      </c>
      <c r="B1511" s="6"/>
      <c r="C1511" s="5" t="str">
        <f>IFERROR(VLOOKUP(B1511,Lists!$A$2:$B$25,2,FALSE),"")</f>
        <v/>
      </c>
      <c r="D1511" s="7"/>
      <c r="E1511" s="6"/>
      <c r="F1511" s="6" t="str">
        <f t="shared" si="71"/>
        <v/>
      </c>
      <c r="G1511" s="6"/>
      <c r="H1511" s="6"/>
      <c r="I1511" s="6"/>
      <c r="J1511" s="7"/>
      <c r="K1511" s="5" t="str" cm="1">
        <f t="array" ref="K1511">IF(OR(A1511="",B1511="",D1511="",E1511=""),"",A1511&amp;"_"&amp;SUBSTITUTE(B1511," ","-")&amp;"_"&amp;D1511&amp;"_"&amp;SUBSTITUTE(SUBSTITUTE(E1511," ",""),"€","Euro")&amp;"_"&amp;IF(F1511="","Unknown",F1511)&amp;IF(F1511="Commemorative",IF(G1511="","","_"&amp;SUBSTITUTE(SUBSTITUTE(SUBSTITUTE(G1511," ","-"),"/","-"),CHAR(39),"")),"")&amp;IF(I1511="Duplicate","_Dub"&amp;IF(SUMPRODUCT(($B$2:B1511=B1511)*($D$2:D1511=D1511)*($E$2:E1511=E1511)*($F$2:F1511=F1511)*($G$2:G1511=G1511)*($I$2:I1511="Duplicate"))&lt;=1,"",SUMPRODUCT(($B$2:B1511=B1511)*($D$2:D1511=D1511)*($E$2:E1511=E1511)*($F$2:F1511=F1511)*($G$2:G1511=G1511)*($I$2:I1511="Duplicate"))-1),"")&amp;".jpeg")</f>
        <v/>
      </c>
      <c r="L1511" s="6"/>
      <c r="M1511" s="5" t="str">
        <f>IFERROR(VLOOKUP(E1511,Specifications!$A$2:$D$9,2,FALSE),"")</f>
        <v/>
      </c>
      <c r="N1511" s="5" t="str">
        <f>IFERROR(VLOOKUP(E1511,Specifications!$A$2:$D$9,3,FALSE),"")</f>
        <v/>
      </c>
      <c r="O1511" s="5" t="str">
        <f>IFERROR(VLOOKUP(E1511,Specifications!$A$2:$D$9,4,FALSE),"")</f>
        <v/>
      </c>
      <c r="P1511" s="8" t="str">
        <f t="shared" si="72"/>
        <v/>
      </c>
      <c r="Q1511" s="9"/>
    </row>
    <row r="1512" spans="1:17" ht="15">
      <c r="A1512" s="5" t="str">
        <f t="shared" si="70"/>
        <v/>
      </c>
      <c r="B1512" s="6"/>
      <c r="C1512" s="5" t="str">
        <f>IFERROR(VLOOKUP(B1512,Lists!$A$2:$B$25,2,FALSE),"")</f>
        <v/>
      </c>
      <c r="D1512" s="7"/>
      <c r="E1512" s="6"/>
      <c r="F1512" s="6" t="str">
        <f t="shared" si="71"/>
        <v/>
      </c>
      <c r="G1512" s="6"/>
      <c r="H1512" s="6"/>
      <c r="I1512" s="6"/>
      <c r="J1512" s="7"/>
      <c r="K1512" s="5" t="str" cm="1">
        <f t="array" ref="K1512">IF(OR(A1512="",B1512="",D1512="",E1512=""),"",A1512&amp;"_"&amp;SUBSTITUTE(B1512," ","-")&amp;"_"&amp;D1512&amp;"_"&amp;SUBSTITUTE(SUBSTITUTE(E1512," ",""),"€","Euro")&amp;"_"&amp;IF(F1512="","Unknown",F1512)&amp;IF(F1512="Commemorative",IF(G1512="","","_"&amp;SUBSTITUTE(SUBSTITUTE(SUBSTITUTE(G1512," ","-"),"/","-"),CHAR(39),"")),"")&amp;IF(I1512="Duplicate","_Dub"&amp;IF(SUMPRODUCT(($B$2:B1512=B1512)*($D$2:D1512=D1512)*($E$2:E1512=E1512)*($F$2:F1512=F1512)*($G$2:G1512=G1512)*($I$2:I1512="Duplicate"))&lt;=1,"",SUMPRODUCT(($B$2:B1512=B1512)*($D$2:D1512=D1512)*($E$2:E1512=E1512)*($F$2:F1512=F1512)*($G$2:G1512=G1512)*($I$2:I1512="Duplicate"))-1),"")&amp;".jpeg")</f>
        <v/>
      </c>
      <c r="L1512" s="6"/>
      <c r="M1512" s="5" t="str">
        <f>IFERROR(VLOOKUP(E1512,Specifications!$A$2:$D$9,2,FALSE),"")</f>
        <v/>
      </c>
      <c r="N1512" s="5" t="str">
        <f>IFERROR(VLOOKUP(E1512,Specifications!$A$2:$D$9,3,FALSE),"")</f>
        <v/>
      </c>
      <c r="O1512" s="5" t="str">
        <f>IFERROR(VLOOKUP(E1512,Specifications!$A$2:$D$9,4,FALSE),"")</f>
        <v/>
      </c>
      <c r="P1512" s="8" t="str">
        <f t="shared" si="72"/>
        <v/>
      </c>
      <c r="Q1512" s="9"/>
    </row>
    <row r="1513" spans="1:17" ht="15">
      <c r="A1513" s="5" t="str">
        <f t="shared" si="70"/>
        <v/>
      </c>
      <c r="B1513" s="6"/>
      <c r="C1513" s="5" t="str">
        <f>IFERROR(VLOOKUP(B1513,Lists!$A$2:$B$25,2,FALSE),"")</f>
        <v/>
      </c>
      <c r="D1513" s="7"/>
      <c r="E1513" s="6"/>
      <c r="F1513" s="6" t="str">
        <f t="shared" si="71"/>
        <v/>
      </c>
      <c r="G1513" s="6"/>
      <c r="H1513" s="6"/>
      <c r="I1513" s="6"/>
      <c r="J1513" s="7"/>
      <c r="K1513" s="5" t="str" cm="1">
        <f t="array" ref="K1513">IF(OR(A1513="",B1513="",D1513="",E1513=""),"",A1513&amp;"_"&amp;SUBSTITUTE(B1513," ","-")&amp;"_"&amp;D1513&amp;"_"&amp;SUBSTITUTE(SUBSTITUTE(E1513," ",""),"€","Euro")&amp;"_"&amp;IF(F1513="","Unknown",F1513)&amp;IF(F1513="Commemorative",IF(G1513="","","_"&amp;SUBSTITUTE(SUBSTITUTE(SUBSTITUTE(G1513," ","-"),"/","-"),CHAR(39),"")),"")&amp;IF(I1513="Duplicate","_Dub"&amp;IF(SUMPRODUCT(($B$2:B1513=B1513)*($D$2:D1513=D1513)*($E$2:E1513=E1513)*($F$2:F1513=F1513)*($G$2:G1513=G1513)*($I$2:I1513="Duplicate"))&lt;=1,"",SUMPRODUCT(($B$2:B1513=B1513)*($D$2:D1513=D1513)*($E$2:E1513=E1513)*($F$2:F1513=F1513)*($G$2:G1513=G1513)*($I$2:I1513="Duplicate"))-1),"")&amp;".jpeg")</f>
        <v/>
      </c>
      <c r="L1513" s="6"/>
      <c r="M1513" s="5" t="str">
        <f>IFERROR(VLOOKUP(E1513,Specifications!$A$2:$D$9,2,FALSE),"")</f>
        <v/>
      </c>
      <c r="N1513" s="5" t="str">
        <f>IFERROR(VLOOKUP(E1513,Specifications!$A$2:$D$9,3,FALSE),"")</f>
        <v/>
      </c>
      <c r="O1513" s="5" t="str">
        <f>IFERROR(VLOOKUP(E1513,Specifications!$A$2:$D$9,4,FALSE),"")</f>
        <v/>
      </c>
      <c r="P1513" s="8" t="str">
        <f t="shared" si="72"/>
        <v/>
      </c>
      <c r="Q1513" s="9"/>
    </row>
    <row r="1514" spans="1:17" ht="15">
      <c r="A1514" s="5" t="str">
        <f t="shared" si="70"/>
        <v/>
      </c>
      <c r="B1514" s="6"/>
      <c r="C1514" s="5" t="str">
        <f>IFERROR(VLOOKUP(B1514,Lists!$A$2:$B$25,2,FALSE),"")</f>
        <v/>
      </c>
      <c r="D1514" s="7"/>
      <c r="E1514" s="6"/>
      <c r="F1514" s="6" t="str">
        <f t="shared" si="71"/>
        <v/>
      </c>
      <c r="G1514" s="6"/>
      <c r="H1514" s="6"/>
      <c r="I1514" s="6"/>
      <c r="J1514" s="7"/>
      <c r="K1514" s="5" t="str" cm="1">
        <f t="array" ref="K1514">IF(OR(A1514="",B1514="",D1514="",E1514=""),"",A1514&amp;"_"&amp;SUBSTITUTE(B1514," ","-")&amp;"_"&amp;D1514&amp;"_"&amp;SUBSTITUTE(SUBSTITUTE(E1514," ",""),"€","Euro")&amp;"_"&amp;IF(F1514="","Unknown",F1514)&amp;IF(F1514="Commemorative",IF(G1514="","","_"&amp;SUBSTITUTE(SUBSTITUTE(SUBSTITUTE(G1514," ","-"),"/","-"),CHAR(39),"")),"")&amp;IF(I1514="Duplicate","_Dub"&amp;IF(SUMPRODUCT(($B$2:B1514=B1514)*($D$2:D1514=D1514)*($E$2:E1514=E1514)*($F$2:F1514=F1514)*($G$2:G1514=G1514)*($I$2:I1514="Duplicate"))&lt;=1,"",SUMPRODUCT(($B$2:B1514=B1514)*($D$2:D1514=D1514)*($E$2:E1514=E1514)*($F$2:F1514=F1514)*($G$2:G1514=G1514)*($I$2:I1514="Duplicate"))-1),"")&amp;".jpeg")</f>
        <v/>
      </c>
      <c r="L1514" s="6"/>
      <c r="M1514" s="5" t="str">
        <f>IFERROR(VLOOKUP(E1514,Specifications!$A$2:$D$9,2,FALSE),"")</f>
        <v/>
      </c>
      <c r="N1514" s="5" t="str">
        <f>IFERROR(VLOOKUP(E1514,Specifications!$A$2:$D$9,3,FALSE),"")</f>
        <v/>
      </c>
      <c r="O1514" s="5" t="str">
        <f>IFERROR(VLOOKUP(E1514,Specifications!$A$2:$D$9,4,FALSE),"")</f>
        <v/>
      </c>
      <c r="P1514" s="8" t="str">
        <f t="shared" si="72"/>
        <v/>
      </c>
      <c r="Q1514" s="9"/>
    </row>
    <row r="1515" spans="1:17" ht="15">
      <c r="A1515" s="5" t="str">
        <f t="shared" si="70"/>
        <v/>
      </c>
      <c r="B1515" s="6"/>
      <c r="C1515" s="5" t="str">
        <f>IFERROR(VLOOKUP(B1515,Lists!$A$2:$B$25,2,FALSE),"")</f>
        <v/>
      </c>
      <c r="D1515" s="7"/>
      <c r="E1515" s="6"/>
      <c r="F1515" s="6" t="str">
        <f t="shared" si="71"/>
        <v/>
      </c>
      <c r="G1515" s="6"/>
      <c r="H1515" s="6"/>
      <c r="I1515" s="6"/>
      <c r="J1515" s="7"/>
      <c r="K1515" s="5" t="str" cm="1">
        <f t="array" ref="K1515">IF(OR(A1515="",B1515="",D1515="",E1515=""),"",A1515&amp;"_"&amp;SUBSTITUTE(B1515," ","-")&amp;"_"&amp;D1515&amp;"_"&amp;SUBSTITUTE(SUBSTITUTE(E1515," ",""),"€","Euro")&amp;"_"&amp;IF(F1515="","Unknown",F1515)&amp;IF(F1515="Commemorative",IF(G1515="","","_"&amp;SUBSTITUTE(SUBSTITUTE(SUBSTITUTE(G1515," ","-"),"/","-"),CHAR(39),"")),"")&amp;IF(I1515="Duplicate","_Dub"&amp;IF(SUMPRODUCT(($B$2:B1515=B1515)*($D$2:D1515=D1515)*($E$2:E1515=E1515)*($F$2:F1515=F1515)*($G$2:G1515=G1515)*($I$2:I1515="Duplicate"))&lt;=1,"",SUMPRODUCT(($B$2:B1515=B1515)*($D$2:D1515=D1515)*($E$2:E1515=E1515)*($F$2:F1515=F1515)*($G$2:G1515=G1515)*($I$2:I1515="Duplicate"))-1),"")&amp;".jpeg")</f>
        <v/>
      </c>
      <c r="L1515" s="6"/>
      <c r="M1515" s="5" t="str">
        <f>IFERROR(VLOOKUP(E1515,Specifications!$A$2:$D$9,2,FALSE),"")</f>
        <v/>
      </c>
      <c r="N1515" s="5" t="str">
        <f>IFERROR(VLOOKUP(E1515,Specifications!$A$2:$D$9,3,FALSE),"")</f>
        <v/>
      </c>
      <c r="O1515" s="5" t="str">
        <f>IFERROR(VLOOKUP(E1515,Specifications!$A$2:$D$9,4,FALSE),"")</f>
        <v/>
      </c>
      <c r="P1515" s="8" t="str">
        <f t="shared" si="72"/>
        <v/>
      </c>
      <c r="Q1515" s="9"/>
    </row>
    <row r="1516" spans="1:17" ht="15">
      <c r="A1516" s="5" t="str">
        <f t="shared" si="70"/>
        <v/>
      </c>
      <c r="B1516" s="6"/>
      <c r="C1516" s="5" t="str">
        <f>IFERROR(VLOOKUP(B1516,Lists!$A$2:$B$25,2,FALSE),"")</f>
        <v/>
      </c>
      <c r="D1516" s="7"/>
      <c r="E1516" s="6"/>
      <c r="F1516" s="6" t="str">
        <f t="shared" si="71"/>
        <v/>
      </c>
      <c r="G1516" s="6"/>
      <c r="H1516" s="6"/>
      <c r="I1516" s="6"/>
      <c r="J1516" s="7"/>
      <c r="K1516" s="5" t="str" cm="1">
        <f t="array" ref="K1516">IF(OR(A1516="",B1516="",D1516="",E1516=""),"",A1516&amp;"_"&amp;SUBSTITUTE(B1516," ","-")&amp;"_"&amp;D1516&amp;"_"&amp;SUBSTITUTE(SUBSTITUTE(E1516," ",""),"€","Euro")&amp;"_"&amp;IF(F1516="","Unknown",F1516)&amp;IF(F1516="Commemorative",IF(G1516="","","_"&amp;SUBSTITUTE(SUBSTITUTE(SUBSTITUTE(G1516," ","-"),"/","-"),CHAR(39),"")),"")&amp;IF(I1516="Duplicate","_Dub"&amp;IF(SUMPRODUCT(($B$2:B1516=B1516)*($D$2:D1516=D1516)*($E$2:E1516=E1516)*($F$2:F1516=F1516)*($G$2:G1516=G1516)*($I$2:I1516="Duplicate"))&lt;=1,"",SUMPRODUCT(($B$2:B1516=B1516)*($D$2:D1516=D1516)*($E$2:E1516=E1516)*($F$2:F1516=F1516)*($G$2:G1516=G1516)*($I$2:I1516="Duplicate"))-1),"")&amp;".jpeg")</f>
        <v/>
      </c>
      <c r="L1516" s="6"/>
      <c r="M1516" s="5" t="str">
        <f>IFERROR(VLOOKUP(E1516,Specifications!$A$2:$D$9,2,FALSE),"")</f>
        <v/>
      </c>
      <c r="N1516" s="5" t="str">
        <f>IFERROR(VLOOKUP(E1516,Specifications!$A$2:$D$9,3,FALSE),"")</f>
        <v/>
      </c>
      <c r="O1516" s="5" t="str">
        <f>IFERROR(VLOOKUP(E1516,Specifications!$A$2:$D$9,4,FALSE),"")</f>
        <v/>
      </c>
      <c r="P1516" s="8" t="str">
        <f t="shared" si="72"/>
        <v/>
      </c>
      <c r="Q1516" s="9"/>
    </row>
    <row r="1517" spans="1:17" ht="15">
      <c r="A1517" s="5" t="str">
        <f t="shared" si="70"/>
        <v/>
      </c>
      <c r="B1517" s="6"/>
      <c r="C1517" s="5" t="str">
        <f>IFERROR(VLOOKUP(B1517,Lists!$A$2:$B$25,2,FALSE),"")</f>
        <v/>
      </c>
      <c r="D1517" s="7"/>
      <c r="E1517" s="6"/>
      <c r="F1517" s="6" t="str">
        <f t="shared" si="71"/>
        <v/>
      </c>
      <c r="G1517" s="6"/>
      <c r="H1517" s="6"/>
      <c r="I1517" s="6"/>
      <c r="J1517" s="7"/>
      <c r="K1517" s="5" t="str" cm="1">
        <f t="array" ref="K1517">IF(OR(A1517="",B1517="",D1517="",E1517=""),"",A1517&amp;"_"&amp;SUBSTITUTE(B1517," ","-")&amp;"_"&amp;D1517&amp;"_"&amp;SUBSTITUTE(SUBSTITUTE(E1517," ",""),"€","Euro")&amp;"_"&amp;IF(F1517="","Unknown",F1517)&amp;IF(F1517="Commemorative",IF(G1517="","","_"&amp;SUBSTITUTE(SUBSTITUTE(SUBSTITUTE(G1517," ","-"),"/","-"),CHAR(39),"")),"")&amp;IF(I1517="Duplicate","_Dub"&amp;IF(SUMPRODUCT(($B$2:B1517=B1517)*($D$2:D1517=D1517)*($E$2:E1517=E1517)*($F$2:F1517=F1517)*($G$2:G1517=G1517)*($I$2:I1517="Duplicate"))&lt;=1,"",SUMPRODUCT(($B$2:B1517=B1517)*($D$2:D1517=D1517)*($E$2:E1517=E1517)*($F$2:F1517=F1517)*($G$2:G1517=G1517)*($I$2:I1517="Duplicate"))-1),"")&amp;".jpeg")</f>
        <v/>
      </c>
      <c r="L1517" s="6"/>
      <c r="M1517" s="5" t="str">
        <f>IFERROR(VLOOKUP(E1517,Specifications!$A$2:$D$9,2,FALSE),"")</f>
        <v/>
      </c>
      <c r="N1517" s="5" t="str">
        <f>IFERROR(VLOOKUP(E1517,Specifications!$A$2:$D$9,3,FALSE),"")</f>
        <v/>
      </c>
      <c r="O1517" s="5" t="str">
        <f>IFERROR(VLOOKUP(E1517,Specifications!$A$2:$D$9,4,FALSE),"")</f>
        <v/>
      </c>
      <c r="P1517" s="8" t="str">
        <f t="shared" si="72"/>
        <v/>
      </c>
      <c r="Q1517" s="9"/>
    </row>
    <row r="1518" spans="1:17" ht="15">
      <c r="A1518" s="5" t="str">
        <f t="shared" si="70"/>
        <v/>
      </c>
      <c r="B1518" s="6"/>
      <c r="C1518" s="5" t="str">
        <f>IFERROR(VLOOKUP(B1518,Lists!$A$2:$B$25,2,FALSE),"")</f>
        <v/>
      </c>
      <c r="D1518" s="7"/>
      <c r="E1518" s="6"/>
      <c r="F1518" s="6" t="str">
        <f t="shared" si="71"/>
        <v/>
      </c>
      <c r="G1518" s="6"/>
      <c r="H1518" s="6"/>
      <c r="I1518" s="6"/>
      <c r="J1518" s="7"/>
      <c r="K1518" s="5" t="str" cm="1">
        <f t="array" ref="K1518">IF(OR(A1518="",B1518="",D1518="",E1518=""),"",A1518&amp;"_"&amp;SUBSTITUTE(B1518," ","-")&amp;"_"&amp;D1518&amp;"_"&amp;SUBSTITUTE(SUBSTITUTE(E1518," ",""),"€","Euro")&amp;"_"&amp;IF(F1518="","Unknown",F1518)&amp;IF(F1518="Commemorative",IF(G1518="","","_"&amp;SUBSTITUTE(SUBSTITUTE(SUBSTITUTE(G1518," ","-"),"/","-"),CHAR(39),"")),"")&amp;IF(I1518="Duplicate","_Dub"&amp;IF(SUMPRODUCT(($B$2:B1518=B1518)*($D$2:D1518=D1518)*($E$2:E1518=E1518)*($F$2:F1518=F1518)*($G$2:G1518=G1518)*($I$2:I1518="Duplicate"))&lt;=1,"",SUMPRODUCT(($B$2:B1518=B1518)*($D$2:D1518=D1518)*($E$2:E1518=E1518)*($F$2:F1518=F1518)*($G$2:G1518=G1518)*($I$2:I1518="Duplicate"))-1),"")&amp;".jpeg")</f>
        <v/>
      </c>
      <c r="L1518" s="6"/>
      <c r="M1518" s="5" t="str">
        <f>IFERROR(VLOOKUP(E1518,Specifications!$A$2:$D$9,2,FALSE),"")</f>
        <v/>
      </c>
      <c r="N1518" s="5" t="str">
        <f>IFERROR(VLOOKUP(E1518,Specifications!$A$2:$D$9,3,FALSE),"")</f>
        <v/>
      </c>
      <c r="O1518" s="5" t="str">
        <f>IFERROR(VLOOKUP(E1518,Specifications!$A$2:$D$9,4,FALSE),"")</f>
        <v/>
      </c>
      <c r="P1518" s="8" t="str">
        <f t="shared" si="72"/>
        <v/>
      </c>
      <c r="Q1518" s="9"/>
    </row>
    <row r="1519" spans="1:17" ht="15">
      <c r="A1519" s="5" t="str">
        <f t="shared" si="70"/>
        <v/>
      </c>
      <c r="B1519" s="6"/>
      <c r="C1519" s="5" t="str">
        <f>IFERROR(VLOOKUP(B1519,Lists!$A$2:$B$25,2,FALSE),"")</f>
        <v/>
      </c>
      <c r="D1519" s="7"/>
      <c r="E1519" s="6"/>
      <c r="F1519" s="6" t="str">
        <f t="shared" si="71"/>
        <v/>
      </c>
      <c r="G1519" s="6"/>
      <c r="H1519" s="6"/>
      <c r="I1519" s="6"/>
      <c r="J1519" s="7"/>
      <c r="K1519" s="5" t="str" cm="1">
        <f t="array" ref="K1519">IF(OR(A1519="",B1519="",D1519="",E1519=""),"",A1519&amp;"_"&amp;SUBSTITUTE(B1519," ","-")&amp;"_"&amp;D1519&amp;"_"&amp;SUBSTITUTE(SUBSTITUTE(E1519," ",""),"€","Euro")&amp;"_"&amp;IF(F1519="","Unknown",F1519)&amp;IF(F1519="Commemorative",IF(G1519="","","_"&amp;SUBSTITUTE(SUBSTITUTE(SUBSTITUTE(G1519," ","-"),"/","-"),CHAR(39),"")),"")&amp;IF(I1519="Duplicate","_Dub"&amp;IF(SUMPRODUCT(($B$2:B1519=B1519)*($D$2:D1519=D1519)*($E$2:E1519=E1519)*($F$2:F1519=F1519)*($G$2:G1519=G1519)*($I$2:I1519="Duplicate"))&lt;=1,"",SUMPRODUCT(($B$2:B1519=B1519)*($D$2:D1519=D1519)*($E$2:E1519=E1519)*($F$2:F1519=F1519)*($G$2:G1519=G1519)*($I$2:I1519="Duplicate"))-1),"")&amp;".jpeg")</f>
        <v/>
      </c>
      <c r="L1519" s="6"/>
      <c r="M1519" s="5" t="str">
        <f>IFERROR(VLOOKUP(E1519,Specifications!$A$2:$D$9,2,FALSE),"")</f>
        <v/>
      </c>
      <c r="N1519" s="5" t="str">
        <f>IFERROR(VLOOKUP(E1519,Specifications!$A$2:$D$9,3,FALSE),"")</f>
        <v/>
      </c>
      <c r="O1519" s="5" t="str">
        <f>IFERROR(VLOOKUP(E1519,Specifications!$A$2:$D$9,4,FALSE),"")</f>
        <v/>
      </c>
      <c r="P1519" s="8" t="str">
        <f t="shared" si="72"/>
        <v/>
      </c>
      <c r="Q1519" s="9"/>
    </row>
    <row r="1520" spans="1:17" ht="15">
      <c r="A1520" s="5" t="str">
        <f t="shared" si="70"/>
        <v/>
      </c>
      <c r="B1520" s="6"/>
      <c r="C1520" s="5" t="str">
        <f>IFERROR(VLOOKUP(B1520,Lists!$A$2:$B$25,2,FALSE),"")</f>
        <v/>
      </c>
      <c r="D1520" s="7"/>
      <c r="E1520" s="6"/>
      <c r="F1520" s="6" t="str">
        <f t="shared" si="71"/>
        <v/>
      </c>
      <c r="G1520" s="6"/>
      <c r="H1520" s="6"/>
      <c r="I1520" s="6"/>
      <c r="J1520" s="7"/>
      <c r="K1520" s="5" t="str" cm="1">
        <f t="array" ref="K1520">IF(OR(A1520="",B1520="",D1520="",E1520=""),"",A1520&amp;"_"&amp;SUBSTITUTE(B1520," ","-")&amp;"_"&amp;D1520&amp;"_"&amp;SUBSTITUTE(SUBSTITUTE(E1520," ",""),"€","Euro")&amp;"_"&amp;IF(F1520="","Unknown",F1520)&amp;IF(F1520="Commemorative",IF(G1520="","","_"&amp;SUBSTITUTE(SUBSTITUTE(SUBSTITUTE(G1520," ","-"),"/","-"),CHAR(39),"")),"")&amp;IF(I1520="Duplicate","_Dub"&amp;IF(SUMPRODUCT(($B$2:B1520=B1520)*($D$2:D1520=D1520)*($E$2:E1520=E1520)*($F$2:F1520=F1520)*($G$2:G1520=G1520)*($I$2:I1520="Duplicate"))&lt;=1,"",SUMPRODUCT(($B$2:B1520=B1520)*($D$2:D1520=D1520)*($E$2:E1520=E1520)*($F$2:F1520=F1520)*($G$2:G1520=G1520)*($I$2:I1520="Duplicate"))-1),"")&amp;".jpeg")</f>
        <v/>
      </c>
      <c r="L1520" s="6"/>
      <c r="M1520" s="5" t="str">
        <f>IFERROR(VLOOKUP(E1520,Specifications!$A$2:$D$9,2,FALSE),"")</f>
        <v/>
      </c>
      <c r="N1520" s="5" t="str">
        <f>IFERROR(VLOOKUP(E1520,Specifications!$A$2:$D$9,3,FALSE),"")</f>
        <v/>
      </c>
      <c r="O1520" s="5" t="str">
        <f>IFERROR(VLOOKUP(E1520,Specifications!$A$2:$D$9,4,FALSE),"")</f>
        <v/>
      </c>
      <c r="P1520" s="8" t="str">
        <f t="shared" si="72"/>
        <v/>
      </c>
      <c r="Q1520" s="9"/>
    </row>
    <row r="1521" spans="1:17" ht="15">
      <c r="A1521" s="5" t="str">
        <f t="shared" si="70"/>
        <v/>
      </c>
      <c r="B1521" s="6"/>
      <c r="C1521" s="5" t="str">
        <f>IFERROR(VLOOKUP(B1521,Lists!$A$2:$B$25,2,FALSE),"")</f>
        <v/>
      </c>
      <c r="D1521" s="7"/>
      <c r="E1521" s="6"/>
      <c r="F1521" s="6" t="str">
        <f t="shared" si="71"/>
        <v/>
      </c>
      <c r="G1521" s="6"/>
      <c r="H1521" s="6"/>
      <c r="I1521" s="6"/>
      <c r="J1521" s="7"/>
      <c r="K1521" s="5" t="str" cm="1">
        <f t="array" ref="K1521">IF(OR(A1521="",B1521="",D1521="",E1521=""),"",A1521&amp;"_"&amp;SUBSTITUTE(B1521," ","-")&amp;"_"&amp;D1521&amp;"_"&amp;SUBSTITUTE(SUBSTITUTE(E1521," ",""),"€","Euro")&amp;"_"&amp;IF(F1521="","Unknown",F1521)&amp;IF(F1521="Commemorative",IF(G1521="","","_"&amp;SUBSTITUTE(SUBSTITUTE(SUBSTITUTE(G1521," ","-"),"/","-"),CHAR(39),"")),"")&amp;IF(I1521="Duplicate","_Dub"&amp;IF(SUMPRODUCT(($B$2:B1521=B1521)*($D$2:D1521=D1521)*($E$2:E1521=E1521)*($F$2:F1521=F1521)*($G$2:G1521=G1521)*($I$2:I1521="Duplicate"))&lt;=1,"",SUMPRODUCT(($B$2:B1521=B1521)*($D$2:D1521=D1521)*($E$2:E1521=E1521)*($F$2:F1521=F1521)*($G$2:G1521=G1521)*($I$2:I1521="Duplicate"))-1),"")&amp;".jpeg")</f>
        <v/>
      </c>
      <c r="L1521" s="6"/>
      <c r="M1521" s="5" t="str">
        <f>IFERROR(VLOOKUP(E1521,Specifications!$A$2:$D$9,2,FALSE),"")</f>
        <v/>
      </c>
      <c r="N1521" s="5" t="str">
        <f>IFERROR(VLOOKUP(E1521,Specifications!$A$2:$D$9,3,FALSE),"")</f>
        <v/>
      </c>
      <c r="O1521" s="5" t="str">
        <f>IFERROR(VLOOKUP(E1521,Specifications!$A$2:$D$9,4,FALSE),"")</f>
        <v/>
      </c>
      <c r="P1521" s="8" t="str">
        <f t="shared" si="72"/>
        <v/>
      </c>
      <c r="Q1521" s="9"/>
    </row>
    <row r="1522" spans="1:17" ht="15">
      <c r="A1522" s="5" t="str">
        <f t="shared" si="70"/>
        <v/>
      </c>
      <c r="B1522" s="6"/>
      <c r="C1522" s="5" t="str">
        <f>IFERROR(VLOOKUP(B1522,Lists!$A$2:$B$25,2,FALSE),"")</f>
        <v/>
      </c>
      <c r="D1522" s="7"/>
      <c r="E1522" s="6"/>
      <c r="F1522" s="6" t="str">
        <f t="shared" si="71"/>
        <v/>
      </c>
      <c r="G1522" s="6"/>
      <c r="H1522" s="6"/>
      <c r="I1522" s="6"/>
      <c r="J1522" s="7"/>
      <c r="K1522" s="5" t="str" cm="1">
        <f t="array" ref="K1522">IF(OR(A1522="",B1522="",D1522="",E1522=""),"",A1522&amp;"_"&amp;SUBSTITUTE(B1522," ","-")&amp;"_"&amp;D1522&amp;"_"&amp;SUBSTITUTE(SUBSTITUTE(E1522," ",""),"€","Euro")&amp;"_"&amp;IF(F1522="","Unknown",F1522)&amp;IF(F1522="Commemorative",IF(G1522="","","_"&amp;SUBSTITUTE(SUBSTITUTE(SUBSTITUTE(G1522," ","-"),"/","-"),CHAR(39),"")),"")&amp;IF(I1522="Duplicate","_Dub"&amp;IF(SUMPRODUCT(($B$2:B1522=B1522)*($D$2:D1522=D1522)*($E$2:E1522=E1522)*($F$2:F1522=F1522)*($G$2:G1522=G1522)*($I$2:I1522="Duplicate"))&lt;=1,"",SUMPRODUCT(($B$2:B1522=B1522)*($D$2:D1522=D1522)*($E$2:E1522=E1522)*($F$2:F1522=F1522)*($G$2:G1522=G1522)*($I$2:I1522="Duplicate"))-1),"")&amp;".jpeg")</f>
        <v/>
      </c>
      <c r="L1522" s="6"/>
      <c r="M1522" s="5" t="str">
        <f>IFERROR(VLOOKUP(E1522,Specifications!$A$2:$D$9,2,FALSE),"")</f>
        <v/>
      </c>
      <c r="N1522" s="5" t="str">
        <f>IFERROR(VLOOKUP(E1522,Specifications!$A$2:$D$9,3,FALSE),"")</f>
        <v/>
      </c>
      <c r="O1522" s="5" t="str">
        <f>IFERROR(VLOOKUP(E1522,Specifications!$A$2:$D$9,4,FALSE),"")</f>
        <v/>
      </c>
      <c r="P1522" s="8" t="str">
        <f t="shared" si="72"/>
        <v/>
      </c>
      <c r="Q1522" s="9"/>
    </row>
    <row r="1523" spans="1:17" ht="15">
      <c r="A1523" s="5" t="str">
        <f t="shared" si="70"/>
        <v/>
      </c>
      <c r="B1523" s="6"/>
      <c r="C1523" s="5" t="str">
        <f>IFERROR(VLOOKUP(B1523,Lists!$A$2:$B$25,2,FALSE),"")</f>
        <v/>
      </c>
      <c r="D1523" s="7"/>
      <c r="E1523" s="6"/>
      <c r="F1523" s="6" t="str">
        <f t="shared" si="71"/>
        <v/>
      </c>
      <c r="G1523" s="6"/>
      <c r="H1523" s="6"/>
      <c r="I1523" s="6"/>
      <c r="J1523" s="7"/>
      <c r="K1523" s="5" t="str" cm="1">
        <f t="array" ref="K1523">IF(OR(A1523="",B1523="",D1523="",E1523=""),"",A1523&amp;"_"&amp;SUBSTITUTE(B1523," ","-")&amp;"_"&amp;D1523&amp;"_"&amp;SUBSTITUTE(SUBSTITUTE(E1523," ",""),"€","Euro")&amp;"_"&amp;IF(F1523="","Unknown",F1523)&amp;IF(F1523="Commemorative",IF(G1523="","","_"&amp;SUBSTITUTE(SUBSTITUTE(SUBSTITUTE(G1523," ","-"),"/","-"),CHAR(39),"")),"")&amp;IF(I1523="Duplicate","_Dub"&amp;IF(SUMPRODUCT(($B$2:B1523=B1523)*($D$2:D1523=D1523)*($E$2:E1523=E1523)*($F$2:F1523=F1523)*($G$2:G1523=G1523)*($I$2:I1523="Duplicate"))&lt;=1,"",SUMPRODUCT(($B$2:B1523=B1523)*($D$2:D1523=D1523)*($E$2:E1523=E1523)*($F$2:F1523=F1523)*($G$2:G1523=G1523)*($I$2:I1523="Duplicate"))-1),"")&amp;".jpeg")</f>
        <v/>
      </c>
      <c r="L1523" s="6"/>
      <c r="M1523" s="5" t="str">
        <f>IFERROR(VLOOKUP(E1523,Specifications!$A$2:$D$9,2,FALSE),"")</f>
        <v/>
      </c>
      <c r="N1523" s="5" t="str">
        <f>IFERROR(VLOOKUP(E1523,Specifications!$A$2:$D$9,3,FALSE),"")</f>
        <v/>
      </c>
      <c r="O1523" s="5" t="str">
        <f>IFERROR(VLOOKUP(E1523,Specifications!$A$2:$D$9,4,FALSE),"")</f>
        <v/>
      </c>
      <c r="P1523" s="8" t="str">
        <f t="shared" si="72"/>
        <v/>
      </c>
      <c r="Q1523" s="9"/>
    </row>
    <row r="1524" spans="1:17" ht="15">
      <c r="A1524" s="5" t="str">
        <f t="shared" si="70"/>
        <v/>
      </c>
      <c r="B1524" s="6"/>
      <c r="C1524" s="5" t="str">
        <f>IFERROR(VLOOKUP(B1524,Lists!$A$2:$B$25,2,FALSE),"")</f>
        <v/>
      </c>
      <c r="D1524" s="7"/>
      <c r="E1524" s="6"/>
      <c r="F1524" s="6" t="str">
        <f t="shared" si="71"/>
        <v/>
      </c>
      <c r="G1524" s="6"/>
      <c r="H1524" s="6"/>
      <c r="I1524" s="6"/>
      <c r="J1524" s="7"/>
      <c r="K1524" s="5" t="str" cm="1">
        <f t="array" ref="K1524">IF(OR(A1524="",B1524="",D1524="",E1524=""),"",A1524&amp;"_"&amp;SUBSTITUTE(B1524," ","-")&amp;"_"&amp;D1524&amp;"_"&amp;SUBSTITUTE(SUBSTITUTE(E1524," ",""),"€","Euro")&amp;"_"&amp;IF(F1524="","Unknown",F1524)&amp;IF(F1524="Commemorative",IF(G1524="","","_"&amp;SUBSTITUTE(SUBSTITUTE(SUBSTITUTE(G1524," ","-"),"/","-"),CHAR(39),"")),"")&amp;IF(I1524="Duplicate","_Dub"&amp;IF(SUMPRODUCT(($B$2:B1524=B1524)*($D$2:D1524=D1524)*($E$2:E1524=E1524)*($F$2:F1524=F1524)*($G$2:G1524=G1524)*($I$2:I1524="Duplicate"))&lt;=1,"",SUMPRODUCT(($B$2:B1524=B1524)*($D$2:D1524=D1524)*($E$2:E1524=E1524)*($F$2:F1524=F1524)*($G$2:G1524=G1524)*($I$2:I1524="Duplicate"))-1),"")&amp;".jpeg")</f>
        <v/>
      </c>
      <c r="L1524" s="6"/>
      <c r="M1524" s="5" t="str">
        <f>IFERROR(VLOOKUP(E1524,Specifications!$A$2:$D$9,2,FALSE),"")</f>
        <v/>
      </c>
      <c r="N1524" s="5" t="str">
        <f>IFERROR(VLOOKUP(E1524,Specifications!$A$2:$D$9,3,FALSE),"")</f>
        <v/>
      </c>
      <c r="O1524" s="5" t="str">
        <f>IFERROR(VLOOKUP(E1524,Specifications!$A$2:$D$9,4,FALSE),"")</f>
        <v/>
      </c>
      <c r="P1524" s="8" t="str">
        <f t="shared" si="72"/>
        <v/>
      </c>
      <c r="Q1524" s="9"/>
    </row>
    <row r="1525" spans="1:17" ht="15">
      <c r="A1525" s="5" t="str">
        <f t="shared" si="70"/>
        <v/>
      </c>
      <c r="B1525" s="6"/>
      <c r="C1525" s="5" t="str">
        <f>IFERROR(VLOOKUP(B1525,Lists!$A$2:$B$25,2,FALSE),"")</f>
        <v/>
      </c>
      <c r="D1525" s="7"/>
      <c r="E1525" s="6"/>
      <c r="F1525" s="6" t="str">
        <f t="shared" si="71"/>
        <v/>
      </c>
      <c r="G1525" s="6"/>
      <c r="H1525" s="6"/>
      <c r="I1525" s="6"/>
      <c r="J1525" s="7"/>
      <c r="K1525" s="5" t="str" cm="1">
        <f t="array" ref="K1525">IF(OR(A1525="",B1525="",D1525="",E1525=""),"",A1525&amp;"_"&amp;SUBSTITUTE(B1525," ","-")&amp;"_"&amp;D1525&amp;"_"&amp;SUBSTITUTE(SUBSTITUTE(E1525," ",""),"€","Euro")&amp;"_"&amp;IF(F1525="","Unknown",F1525)&amp;IF(F1525="Commemorative",IF(G1525="","","_"&amp;SUBSTITUTE(SUBSTITUTE(SUBSTITUTE(G1525," ","-"),"/","-"),CHAR(39),"")),"")&amp;IF(I1525="Duplicate","_Dub"&amp;IF(SUMPRODUCT(($B$2:B1525=B1525)*($D$2:D1525=D1525)*($E$2:E1525=E1525)*($F$2:F1525=F1525)*($G$2:G1525=G1525)*($I$2:I1525="Duplicate"))&lt;=1,"",SUMPRODUCT(($B$2:B1525=B1525)*($D$2:D1525=D1525)*($E$2:E1525=E1525)*($F$2:F1525=F1525)*($G$2:G1525=G1525)*($I$2:I1525="Duplicate"))-1),"")&amp;".jpeg")</f>
        <v/>
      </c>
      <c r="L1525" s="6"/>
      <c r="M1525" s="5" t="str">
        <f>IFERROR(VLOOKUP(E1525,Specifications!$A$2:$D$9,2,FALSE),"")</f>
        <v/>
      </c>
      <c r="N1525" s="5" t="str">
        <f>IFERROR(VLOOKUP(E1525,Specifications!$A$2:$D$9,3,FALSE),"")</f>
        <v/>
      </c>
      <c r="O1525" s="5" t="str">
        <f>IFERROR(VLOOKUP(E1525,Specifications!$A$2:$D$9,4,FALSE),"")</f>
        <v/>
      </c>
      <c r="P1525" s="8" t="str">
        <f t="shared" si="72"/>
        <v/>
      </c>
      <c r="Q1525" s="9"/>
    </row>
    <row r="1526" spans="1:17" ht="15">
      <c r="A1526" s="5" t="str">
        <f t="shared" si="70"/>
        <v/>
      </c>
      <c r="B1526" s="6"/>
      <c r="C1526" s="5" t="str">
        <f>IFERROR(VLOOKUP(B1526,Lists!$A$2:$B$25,2,FALSE),"")</f>
        <v/>
      </c>
      <c r="D1526" s="7"/>
      <c r="E1526" s="6"/>
      <c r="F1526" s="6" t="str">
        <f t="shared" si="71"/>
        <v/>
      </c>
      <c r="G1526" s="6"/>
      <c r="H1526" s="6"/>
      <c r="I1526" s="6"/>
      <c r="J1526" s="7"/>
      <c r="K1526" s="5" t="str" cm="1">
        <f t="array" ref="K1526">IF(OR(A1526="",B1526="",D1526="",E1526=""),"",A1526&amp;"_"&amp;SUBSTITUTE(B1526," ","-")&amp;"_"&amp;D1526&amp;"_"&amp;SUBSTITUTE(SUBSTITUTE(E1526," ",""),"€","Euro")&amp;"_"&amp;IF(F1526="","Unknown",F1526)&amp;IF(F1526="Commemorative",IF(G1526="","","_"&amp;SUBSTITUTE(SUBSTITUTE(SUBSTITUTE(G1526," ","-"),"/","-"),CHAR(39),"")),"")&amp;IF(I1526="Duplicate","_Dub"&amp;IF(SUMPRODUCT(($B$2:B1526=B1526)*($D$2:D1526=D1526)*($E$2:E1526=E1526)*($F$2:F1526=F1526)*($G$2:G1526=G1526)*($I$2:I1526="Duplicate"))&lt;=1,"",SUMPRODUCT(($B$2:B1526=B1526)*($D$2:D1526=D1526)*($E$2:E1526=E1526)*($F$2:F1526=F1526)*($G$2:G1526=G1526)*($I$2:I1526="Duplicate"))-1),"")&amp;".jpeg")</f>
        <v/>
      </c>
      <c r="L1526" s="6"/>
      <c r="M1526" s="5" t="str">
        <f>IFERROR(VLOOKUP(E1526,Specifications!$A$2:$D$9,2,FALSE),"")</f>
        <v/>
      </c>
      <c r="N1526" s="5" t="str">
        <f>IFERROR(VLOOKUP(E1526,Specifications!$A$2:$D$9,3,FALSE),"")</f>
        <v/>
      </c>
      <c r="O1526" s="5" t="str">
        <f>IFERROR(VLOOKUP(E1526,Specifications!$A$2:$D$9,4,FALSE),"")</f>
        <v/>
      </c>
      <c r="P1526" s="8" t="str">
        <f t="shared" si="72"/>
        <v/>
      </c>
      <c r="Q1526" s="9"/>
    </row>
    <row r="1527" spans="1:17" ht="15">
      <c r="A1527" s="5" t="str">
        <f t="shared" si="70"/>
        <v/>
      </c>
      <c r="B1527" s="6"/>
      <c r="C1527" s="5" t="str">
        <f>IFERROR(VLOOKUP(B1527,Lists!$A$2:$B$25,2,FALSE),"")</f>
        <v/>
      </c>
      <c r="D1527" s="7"/>
      <c r="E1527" s="6"/>
      <c r="F1527" s="6" t="str">
        <f t="shared" si="71"/>
        <v/>
      </c>
      <c r="G1527" s="6"/>
      <c r="H1527" s="6"/>
      <c r="I1527" s="6"/>
      <c r="J1527" s="7"/>
      <c r="K1527" s="5" t="str" cm="1">
        <f t="array" ref="K1527">IF(OR(A1527="",B1527="",D1527="",E1527=""),"",A1527&amp;"_"&amp;SUBSTITUTE(B1527," ","-")&amp;"_"&amp;D1527&amp;"_"&amp;SUBSTITUTE(SUBSTITUTE(E1527," ",""),"€","Euro")&amp;"_"&amp;IF(F1527="","Unknown",F1527)&amp;IF(F1527="Commemorative",IF(G1527="","","_"&amp;SUBSTITUTE(SUBSTITUTE(SUBSTITUTE(G1527," ","-"),"/","-"),CHAR(39),"")),"")&amp;IF(I1527="Duplicate","_Dub"&amp;IF(SUMPRODUCT(($B$2:B1527=B1527)*($D$2:D1527=D1527)*($E$2:E1527=E1527)*($F$2:F1527=F1527)*($G$2:G1527=G1527)*($I$2:I1527="Duplicate"))&lt;=1,"",SUMPRODUCT(($B$2:B1527=B1527)*($D$2:D1527=D1527)*($E$2:E1527=E1527)*($F$2:F1527=F1527)*($G$2:G1527=G1527)*($I$2:I1527="Duplicate"))-1),"")&amp;".jpeg")</f>
        <v/>
      </c>
      <c r="L1527" s="6"/>
      <c r="M1527" s="5" t="str">
        <f>IFERROR(VLOOKUP(E1527,Specifications!$A$2:$D$9,2,FALSE),"")</f>
        <v/>
      </c>
      <c r="N1527" s="5" t="str">
        <f>IFERROR(VLOOKUP(E1527,Specifications!$A$2:$D$9,3,FALSE),"")</f>
        <v/>
      </c>
      <c r="O1527" s="5" t="str">
        <f>IFERROR(VLOOKUP(E1527,Specifications!$A$2:$D$9,4,FALSE),"")</f>
        <v/>
      </c>
      <c r="P1527" s="8" t="str">
        <f t="shared" si="72"/>
        <v/>
      </c>
      <c r="Q1527" s="9"/>
    </row>
    <row r="1528" spans="1:17" ht="15">
      <c r="A1528" s="5" t="str">
        <f t="shared" si="70"/>
        <v/>
      </c>
      <c r="B1528" s="6"/>
      <c r="C1528" s="5" t="str">
        <f>IFERROR(VLOOKUP(B1528,Lists!$A$2:$B$25,2,FALSE),"")</f>
        <v/>
      </c>
      <c r="D1528" s="7"/>
      <c r="E1528" s="6"/>
      <c r="F1528" s="6" t="str">
        <f t="shared" si="71"/>
        <v/>
      </c>
      <c r="G1528" s="6"/>
      <c r="H1528" s="6"/>
      <c r="I1528" s="6"/>
      <c r="J1528" s="7"/>
      <c r="K1528" s="5" t="str" cm="1">
        <f t="array" ref="K1528">IF(OR(A1528="",B1528="",D1528="",E1528=""),"",A1528&amp;"_"&amp;SUBSTITUTE(B1528," ","-")&amp;"_"&amp;D1528&amp;"_"&amp;SUBSTITUTE(SUBSTITUTE(E1528," ",""),"€","Euro")&amp;"_"&amp;IF(F1528="","Unknown",F1528)&amp;IF(F1528="Commemorative",IF(G1528="","","_"&amp;SUBSTITUTE(SUBSTITUTE(SUBSTITUTE(G1528," ","-"),"/","-"),CHAR(39),"")),"")&amp;IF(I1528="Duplicate","_Dub"&amp;IF(SUMPRODUCT(($B$2:B1528=B1528)*($D$2:D1528=D1528)*($E$2:E1528=E1528)*($F$2:F1528=F1528)*($G$2:G1528=G1528)*($I$2:I1528="Duplicate"))&lt;=1,"",SUMPRODUCT(($B$2:B1528=B1528)*($D$2:D1528=D1528)*($E$2:E1528=E1528)*($F$2:F1528=F1528)*($G$2:G1528=G1528)*($I$2:I1528="Duplicate"))-1),"")&amp;".jpeg")</f>
        <v/>
      </c>
      <c r="L1528" s="6"/>
      <c r="M1528" s="5" t="str">
        <f>IFERROR(VLOOKUP(E1528,Specifications!$A$2:$D$9,2,FALSE),"")</f>
        <v/>
      </c>
      <c r="N1528" s="5" t="str">
        <f>IFERROR(VLOOKUP(E1528,Specifications!$A$2:$D$9,3,FALSE),"")</f>
        <v/>
      </c>
      <c r="O1528" s="5" t="str">
        <f>IFERROR(VLOOKUP(E1528,Specifications!$A$2:$D$9,4,FALSE),"")</f>
        <v/>
      </c>
      <c r="P1528" s="8" t="str">
        <f t="shared" si="72"/>
        <v/>
      </c>
      <c r="Q1528" s="9"/>
    </row>
    <row r="1529" spans="1:17" ht="15">
      <c r="A1529" s="5" t="str">
        <f t="shared" si="70"/>
        <v/>
      </c>
      <c r="B1529" s="6"/>
      <c r="C1529" s="5" t="str">
        <f>IFERROR(VLOOKUP(B1529,Lists!$A$2:$B$25,2,FALSE),"")</f>
        <v/>
      </c>
      <c r="D1529" s="7"/>
      <c r="E1529" s="6"/>
      <c r="F1529" s="6" t="str">
        <f t="shared" si="71"/>
        <v/>
      </c>
      <c r="G1529" s="6"/>
      <c r="H1529" s="6"/>
      <c r="I1529" s="6"/>
      <c r="J1529" s="7"/>
      <c r="K1529" s="5" t="str" cm="1">
        <f t="array" ref="K1529">IF(OR(A1529="",B1529="",D1529="",E1529=""),"",A1529&amp;"_"&amp;SUBSTITUTE(B1529," ","-")&amp;"_"&amp;D1529&amp;"_"&amp;SUBSTITUTE(SUBSTITUTE(E1529," ",""),"€","Euro")&amp;"_"&amp;IF(F1529="","Unknown",F1529)&amp;IF(F1529="Commemorative",IF(G1529="","","_"&amp;SUBSTITUTE(SUBSTITUTE(SUBSTITUTE(G1529," ","-"),"/","-"),CHAR(39),"")),"")&amp;IF(I1529="Duplicate","_Dub"&amp;IF(SUMPRODUCT(($B$2:B1529=B1529)*($D$2:D1529=D1529)*($E$2:E1529=E1529)*($F$2:F1529=F1529)*($G$2:G1529=G1529)*($I$2:I1529="Duplicate"))&lt;=1,"",SUMPRODUCT(($B$2:B1529=B1529)*($D$2:D1529=D1529)*($E$2:E1529=E1529)*($F$2:F1529=F1529)*($G$2:G1529=G1529)*($I$2:I1529="Duplicate"))-1),"")&amp;".jpeg")</f>
        <v/>
      </c>
      <c r="L1529" s="6"/>
      <c r="M1529" s="5" t="str">
        <f>IFERROR(VLOOKUP(E1529,Specifications!$A$2:$D$9,2,FALSE),"")</f>
        <v/>
      </c>
      <c r="N1529" s="5" t="str">
        <f>IFERROR(VLOOKUP(E1529,Specifications!$A$2:$D$9,3,FALSE),"")</f>
        <v/>
      </c>
      <c r="O1529" s="5" t="str">
        <f>IFERROR(VLOOKUP(E1529,Specifications!$A$2:$D$9,4,FALSE),"")</f>
        <v/>
      </c>
      <c r="P1529" s="8" t="str">
        <f t="shared" si="72"/>
        <v/>
      </c>
      <c r="Q1529" s="9"/>
    </row>
    <row r="1530" spans="1:17" ht="15">
      <c r="A1530" s="5" t="str">
        <f t="shared" si="70"/>
        <v/>
      </c>
      <c r="B1530" s="6"/>
      <c r="C1530" s="5" t="str">
        <f>IFERROR(VLOOKUP(B1530,Lists!$A$2:$B$25,2,FALSE),"")</f>
        <v/>
      </c>
      <c r="D1530" s="7"/>
      <c r="E1530" s="6"/>
      <c r="F1530" s="6" t="str">
        <f t="shared" si="71"/>
        <v/>
      </c>
      <c r="G1530" s="6"/>
      <c r="H1530" s="6"/>
      <c r="I1530" s="6"/>
      <c r="J1530" s="7"/>
      <c r="K1530" s="5" t="str" cm="1">
        <f t="array" ref="K1530">IF(OR(A1530="",B1530="",D1530="",E1530=""),"",A1530&amp;"_"&amp;SUBSTITUTE(B1530," ","-")&amp;"_"&amp;D1530&amp;"_"&amp;SUBSTITUTE(SUBSTITUTE(E1530," ",""),"€","Euro")&amp;"_"&amp;IF(F1530="","Unknown",F1530)&amp;IF(F1530="Commemorative",IF(G1530="","","_"&amp;SUBSTITUTE(SUBSTITUTE(SUBSTITUTE(G1530," ","-"),"/","-"),CHAR(39),"")),"")&amp;IF(I1530="Duplicate","_Dub"&amp;IF(SUMPRODUCT(($B$2:B1530=B1530)*($D$2:D1530=D1530)*($E$2:E1530=E1530)*($F$2:F1530=F1530)*($G$2:G1530=G1530)*($I$2:I1530="Duplicate"))&lt;=1,"",SUMPRODUCT(($B$2:B1530=B1530)*($D$2:D1530=D1530)*($E$2:E1530=E1530)*($F$2:F1530=F1530)*($G$2:G1530=G1530)*($I$2:I1530="Duplicate"))-1),"")&amp;".jpeg")</f>
        <v/>
      </c>
      <c r="L1530" s="6"/>
      <c r="M1530" s="5" t="str">
        <f>IFERROR(VLOOKUP(E1530,Specifications!$A$2:$D$9,2,FALSE),"")</f>
        <v/>
      </c>
      <c r="N1530" s="5" t="str">
        <f>IFERROR(VLOOKUP(E1530,Specifications!$A$2:$D$9,3,FALSE),"")</f>
        <v/>
      </c>
      <c r="O1530" s="5" t="str">
        <f>IFERROR(VLOOKUP(E1530,Specifications!$A$2:$D$9,4,FALSE),"")</f>
        <v/>
      </c>
      <c r="P1530" s="8" t="str">
        <f t="shared" si="72"/>
        <v/>
      </c>
      <c r="Q1530" s="9"/>
    </row>
    <row r="1531" spans="1:17" ht="15">
      <c r="A1531" s="5" t="str">
        <f t="shared" si="70"/>
        <v/>
      </c>
      <c r="B1531" s="6"/>
      <c r="C1531" s="5" t="str">
        <f>IFERROR(VLOOKUP(B1531,Lists!$A$2:$B$25,2,FALSE),"")</f>
        <v/>
      </c>
      <c r="D1531" s="7"/>
      <c r="E1531" s="6"/>
      <c r="F1531" s="6" t="str">
        <f t="shared" si="71"/>
        <v/>
      </c>
      <c r="G1531" s="6"/>
      <c r="H1531" s="6"/>
      <c r="I1531" s="6"/>
      <c r="J1531" s="7"/>
      <c r="K1531" s="5" t="str" cm="1">
        <f t="array" ref="K1531">IF(OR(A1531="",B1531="",D1531="",E1531=""),"",A1531&amp;"_"&amp;SUBSTITUTE(B1531," ","-")&amp;"_"&amp;D1531&amp;"_"&amp;SUBSTITUTE(SUBSTITUTE(E1531," ",""),"€","Euro")&amp;"_"&amp;IF(F1531="","Unknown",F1531)&amp;IF(F1531="Commemorative",IF(G1531="","","_"&amp;SUBSTITUTE(SUBSTITUTE(SUBSTITUTE(G1531," ","-"),"/","-"),CHAR(39),"")),"")&amp;IF(I1531="Duplicate","_Dub"&amp;IF(SUMPRODUCT(($B$2:B1531=B1531)*($D$2:D1531=D1531)*($E$2:E1531=E1531)*($F$2:F1531=F1531)*($G$2:G1531=G1531)*($I$2:I1531="Duplicate"))&lt;=1,"",SUMPRODUCT(($B$2:B1531=B1531)*($D$2:D1531=D1531)*($E$2:E1531=E1531)*($F$2:F1531=F1531)*($G$2:G1531=G1531)*($I$2:I1531="Duplicate"))-1),"")&amp;".jpeg")</f>
        <v/>
      </c>
      <c r="L1531" s="6"/>
      <c r="M1531" s="5" t="str">
        <f>IFERROR(VLOOKUP(E1531,Specifications!$A$2:$D$9,2,FALSE),"")</f>
        <v/>
      </c>
      <c r="N1531" s="5" t="str">
        <f>IFERROR(VLOOKUP(E1531,Specifications!$A$2:$D$9,3,FALSE),"")</f>
        <v/>
      </c>
      <c r="O1531" s="5" t="str">
        <f>IFERROR(VLOOKUP(E1531,Specifications!$A$2:$D$9,4,FALSE),"")</f>
        <v/>
      </c>
      <c r="P1531" s="8" t="str">
        <f t="shared" si="72"/>
        <v/>
      </c>
      <c r="Q1531" s="9"/>
    </row>
    <row r="1532" spans="1:17" ht="15">
      <c r="A1532" s="5" t="str">
        <f t="shared" si="70"/>
        <v/>
      </c>
      <c r="B1532" s="6"/>
      <c r="C1532" s="5" t="str">
        <f>IFERROR(VLOOKUP(B1532,Lists!$A$2:$B$25,2,FALSE),"")</f>
        <v/>
      </c>
      <c r="D1532" s="7"/>
      <c r="E1532" s="6"/>
      <c r="F1532" s="6" t="str">
        <f t="shared" si="71"/>
        <v/>
      </c>
      <c r="G1532" s="6"/>
      <c r="H1532" s="6"/>
      <c r="I1532" s="6"/>
      <c r="J1532" s="7"/>
      <c r="K1532" s="5" t="str" cm="1">
        <f t="array" ref="K1532">IF(OR(A1532="",B1532="",D1532="",E1532=""),"",A1532&amp;"_"&amp;SUBSTITUTE(B1532," ","-")&amp;"_"&amp;D1532&amp;"_"&amp;SUBSTITUTE(SUBSTITUTE(E1532," ",""),"€","Euro")&amp;"_"&amp;IF(F1532="","Unknown",F1532)&amp;IF(F1532="Commemorative",IF(G1532="","","_"&amp;SUBSTITUTE(SUBSTITUTE(SUBSTITUTE(G1532," ","-"),"/","-"),CHAR(39),"")),"")&amp;IF(I1532="Duplicate","_Dub"&amp;IF(SUMPRODUCT(($B$2:B1532=B1532)*($D$2:D1532=D1532)*($E$2:E1532=E1532)*($F$2:F1532=F1532)*($G$2:G1532=G1532)*($I$2:I1532="Duplicate"))&lt;=1,"",SUMPRODUCT(($B$2:B1532=B1532)*($D$2:D1532=D1532)*($E$2:E1532=E1532)*($F$2:F1532=F1532)*($G$2:G1532=G1532)*($I$2:I1532="Duplicate"))-1),"")&amp;".jpeg")</f>
        <v/>
      </c>
      <c r="L1532" s="6"/>
      <c r="M1532" s="5" t="str">
        <f>IFERROR(VLOOKUP(E1532,Specifications!$A$2:$D$9,2,FALSE),"")</f>
        <v/>
      </c>
      <c r="N1532" s="5" t="str">
        <f>IFERROR(VLOOKUP(E1532,Specifications!$A$2:$D$9,3,FALSE),"")</f>
        <v/>
      </c>
      <c r="O1532" s="5" t="str">
        <f>IFERROR(VLOOKUP(E1532,Specifications!$A$2:$D$9,4,FALSE),"")</f>
        <v/>
      </c>
      <c r="P1532" s="8" t="str">
        <f t="shared" si="72"/>
        <v/>
      </c>
      <c r="Q1532" s="9"/>
    </row>
    <row r="1533" spans="1:17" ht="15">
      <c r="A1533" s="5" t="str">
        <f t="shared" si="70"/>
        <v/>
      </c>
      <c r="B1533" s="6"/>
      <c r="C1533" s="5" t="str">
        <f>IFERROR(VLOOKUP(B1533,Lists!$A$2:$B$25,2,FALSE),"")</f>
        <v/>
      </c>
      <c r="D1533" s="7"/>
      <c r="E1533" s="6"/>
      <c r="F1533" s="6" t="str">
        <f t="shared" si="71"/>
        <v/>
      </c>
      <c r="G1533" s="6"/>
      <c r="H1533" s="6"/>
      <c r="I1533" s="6"/>
      <c r="J1533" s="7"/>
      <c r="K1533" s="5" t="str" cm="1">
        <f t="array" ref="K1533">IF(OR(A1533="",B1533="",D1533="",E1533=""),"",A1533&amp;"_"&amp;SUBSTITUTE(B1533," ","-")&amp;"_"&amp;D1533&amp;"_"&amp;SUBSTITUTE(SUBSTITUTE(E1533," ",""),"€","Euro")&amp;"_"&amp;IF(F1533="","Unknown",F1533)&amp;IF(F1533="Commemorative",IF(G1533="","","_"&amp;SUBSTITUTE(SUBSTITUTE(SUBSTITUTE(G1533," ","-"),"/","-"),CHAR(39),"")),"")&amp;IF(I1533="Duplicate","_Dub"&amp;IF(SUMPRODUCT(($B$2:B1533=B1533)*($D$2:D1533=D1533)*($E$2:E1533=E1533)*($F$2:F1533=F1533)*($G$2:G1533=G1533)*($I$2:I1533="Duplicate"))&lt;=1,"",SUMPRODUCT(($B$2:B1533=B1533)*($D$2:D1533=D1533)*($E$2:E1533=E1533)*($F$2:F1533=F1533)*($G$2:G1533=G1533)*($I$2:I1533="Duplicate"))-1),"")&amp;".jpeg")</f>
        <v/>
      </c>
      <c r="L1533" s="6"/>
      <c r="M1533" s="5" t="str">
        <f>IFERROR(VLOOKUP(E1533,Specifications!$A$2:$D$9,2,FALSE),"")</f>
        <v/>
      </c>
      <c r="N1533" s="5" t="str">
        <f>IFERROR(VLOOKUP(E1533,Specifications!$A$2:$D$9,3,FALSE),"")</f>
        <v/>
      </c>
      <c r="O1533" s="5" t="str">
        <f>IFERROR(VLOOKUP(E1533,Specifications!$A$2:$D$9,4,FALSE),"")</f>
        <v/>
      </c>
      <c r="P1533" s="8" t="str">
        <f t="shared" si="72"/>
        <v/>
      </c>
      <c r="Q1533" s="9"/>
    </row>
    <row r="1534" spans="1:17" ht="15">
      <c r="A1534" s="5" t="str">
        <f t="shared" si="70"/>
        <v/>
      </c>
      <c r="B1534" s="6"/>
      <c r="C1534" s="5" t="str">
        <f>IFERROR(VLOOKUP(B1534,Lists!$A$2:$B$25,2,FALSE),"")</f>
        <v/>
      </c>
      <c r="D1534" s="7"/>
      <c r="E1534" s="6"/>
      <c r="F1534" s="6" t="str">
        <f t="shared" si="71"/>
        <v/>
      </c>
      <c r="G1534" s="6"/>
      <c r="H1534" s="6"/>
      <c r="I1534" s="6"/>
      <c r="J1534" s="7"/>
      <c r="K1534" s="5" t="str" cm="1">
        <f t="array" ref="K1534">IF(OR(A1534="",B1534="",D1534="",E1534=""),"",A1534&amp;"_"&amp;SUBSTITUTE(B1534," ","-")&amp;"_"&amp;D1534&amp;"_"&amp;SUBSTITUTE(SUBSTITUTE(E1534," ",""),"€","Euro")&amp;"_"&amp;IF(F1534="","Unknown",F1534)&amp;IF(F1534="Commemorative",IF(G1534="","","_"&amp;SUBSTITUTE(SUBSTITUTE(SUBSTITUTE(G1534," ","-"),"/","-"),CHAR(39),"")),"")&amp;IF(I1534="Duplicate","_Dub"&amp;IF(SUMPRODUCT(($B$2:B1534=B1534)*($D$2:D1534=D1534)*($E$2:E1534=E1534)*($F$2:F1534=F1534)*($G$2:G1534=G1534)*($I$2:I1534="Duplicate"))&lt;=1,"",SUMPRODUCT(($B$2:B1534=B1534)*($D$2:D1534=D1534)*($E$2:E1534=E1534)*($F$2:F1534=F1534)*($G$2:G1534=G1534)*($I$2:I1534="Duplicate"))-1),"")&amp;".jpeg")</f>
        <v/>
      </c>
      <c r="L1534" s="6"/>
      <c r="M1534" s="5" t="str">
        <f>IFERROR(VLOOKUP(E1534,Specifications!$A$2:$D$9,2,FALSE),"")</f>
        <v/>
      </c>
      <c r="N1534" s="5" t="str">
        <f>IFERROR(VLOOKUP(E1534,Specifications!$A$2:$D$9,3,FALSE),"")</f>
        <v/>
      </c>
      <c r="O1534" s="5" t="str">
        <f>IFERROR(VLOOKUP(E1534,Specifications!$A$2:$D$9,4,FALSE),"")</f>
        <v/>
      </c>
      <c r="P1534" s="8" t="str">
        <f t="shared" si="72"/>
        <v/>
      </c>
      <c r="Q1534" s="9"/>
    </row>
    <row r="1535" spans="1:17" ht="15">
      <c r="A1535" s="5" t="str">
        <f t="shared" si="70"/>
        <v/>
      </c>
      <c r="B1535" s="6"/>
      <c r="C1535" s="5" t="str">
        <f>IFERROR(VLOOKUP(B1535,Lists!$A$2:$B$25,2,FALSE),"")</f>
        <v/>
      </c>
      <c r="D1535" s="7"/>
      <c r="E1535" s="6"/>
      <c r="F1535" s="6" t="str">
        <f t="shared" si="71"/>
        <v/>
      </c>
      <c r="G1535" s="6"/>
      <c r="H1535" s="6"/>
      <c r="I1535" s="6"/>
      <c r="J1535" s="7"/>
      <c r="K1535" s="5" t="str" cm="1">
        <f t="array" ref="K1535">IF(OR(A1535="",B1535="",D1535="",E1535=""),"",A1535&amp;"_"&amp;SUBSTITUTE(B1535," ","-")&amp;"_"&amp;D1535&amp;"_"&amp;SUBSTITUTE(SUBSTITUTE(E1535," ",""),"€","Euro")&amp;"_"&amp;IF(F1535="","Unknown",F1535)&amp;IF(F1535="Commemorative",IF(G1535="","","_"&amp;SUBSTITUTE(SUBSTITUTE(SUBSTITUTE(G1535," ","-"),"/","-"),CHAR(39),"")),"")&amp;IF(I1535="Duplicate","_Dub"&amp;IF(SUMPRODUCT(($B$2:B1535=B1535)*($D$2:D1535=D1535)*($E$2:E1535=E1535)*($F$2:F1535=F1535)*($G$2:G1535=G1535)*($I$2:I1535="Duplicate"))&lt;=1,"",SUMPRODUCT(($B$2:B1535=B1535)*($D$2:D1535=D1535)*($E$2:E1535=E1535)*($F$2:F1535=F1535)*($G$2:G1535=G1535)*($I$2:I1535="Duplicate"))-1),"")&amp;".jpeg")</f>
        <v/>
      </c>
      <c r="L1535" s="6"/>
      <c r="M1535" s="5" t="str">
        <f>IFERROR(VLOOKUP(E1535,Specifications!$A$2:$D$9,2,FALSE),"")</f>
        <v/>
      </c>
      <c r="N1535" s="5" t="str">
        <f>IFERROR(VLOOKUP(E1535,Specifications!$A$2:$D$9,3,FALSE),"")</f>
        <v/>
      </c>
      <c r="O1535" s="5" t="str">
        <f>IFERROR(VLOOKUP(E1535,Specifications!$A$2:$D$9,4,FALSE),"")</f>
        <v/>
      </c>
      <c r="P1535" s="8" t="str">
        <f t="shared" si="72"/>
        <v/>
      </c>
      <c r="Q1535" s="9"/>
    </row>
    <row r="1536" spans="1:17" ht="15">
      <c r="A1536" s="5" t="str">
        <f t="shared" si="70"/>
        <v/>
      </c>
      <c r="B1536" s="6"/>
      <c r="C1536" s="5" t="str">
        <f>IFERROR(VLOOKUP(B1536,Lists!$A$2:$B$25,2,FALSE),"")</f>
        <v/>
      </c>
      <c r="D1536" s="7"/>
      <c r="E1536" s="6"/>
      <c r="F1536" s="6" t="str">
        <f t="shared" si="71"/>
        <v/>
      </c>
      <c r="G1536" s="6"/>
      <c r="H1536" s="6"/>
      <c r="I1536" s="6"/>
      <c r="J1536" s="7"/>
      <c r="K1536" s="5" t="str" cm="1">
        <f t="array" ref="K1536">IF(OR(A1536="",B1536="",D1536="",E1536=""),"",A1536&amp;"_"&amp;SUBSTITUTE(B1536," ","-")&amp;"_"&amp;D1536&amp;"_"&amp;SUBSTITUTE(SUBSTITUTE(E1536," ",""),"€","Euro")&amp;"_"&amp;IF(F1536="","Unknown",F1536)&amp;IF(F1536="Commemorative",IF(G1536="","","_"&amp;SUBSTITUTE(SUBSTITUTE(SUBSTITUTE(G1536," ","-"),"/","-"),CHAR(39),"")),"")&amp;IF(I1536="Duplicate","_Dub"&amp;IF(SUMPRODUCT(($B$2:B1536=B1536)*($D$2:D1536=D1536)*($E$2:E1536=E1536)*($F$2:F1536=F1536)*($G$2:G1536=G1536)*($I$2:I1536="Duplicate"))&lt;=1,"",SUMPRODUCT(($B$2:B1536=B1536)*($D$2:D1536=D1536)*($E$2:E1536=E1536)*($F$2:F1536=F1536)*($G$2:G1536=G1536)*($I$2:I1536="Duplicate"))-1),"")&amp;".jpeg")</f>
        <v/>
      </c>
      <c r="L1536" s="6"/>
      <c r="M1536" s="5" t="str">
        <f>IFERROR(VLOOKUP(E1536,Specifications!$A$2:$D$9,2,FALSE),"")</f>
        <v/>
      </c>
      <c r="N1536" s="5" t="str">
        <f>IFERROR(VLOOKUP(E1536,Specifications!$A$2:$D$9,3,FALSE),"")</f>
        <v/>
      </c>
      <c r="O1536" s="5" t="str">
        <f>IFERROR(VLOOKUP(E1536,Specifications!$A$2:$D$9,4,FALSE),"")</f>
        <v/>
      </c>
      <c r="P1536" s="8" t="str">
        <f t="shared" si="72"/>
        <v/>
      </c>
      <c r="Q1536" s="9"/>
    </row>
    <row r="1537" spans="1:17" ht="15">
      <c r="A1537" s="5" t="str">
        <f t="shared" si="70"/>
        <v/>
      </c>
      <c r="B1537" s="6"/>
      <c r="C1537" s="5" t="str">
        <f>IFERROR(VLOOKUP(B1537,Lists!$A$2:$B$25,2,FALSE),"")</f>
        <v/>
      </c>
      <c r="D1537" s="7"/>
      <c r="E1537" s="6"/>
      <c r="F1537" s="6" t="str">
        <f t="shared" si="71"/>
        <v/>
      </c>
      <c r="G1537" s="6"/>
      <c r="H1537" s="6"/>
      <c r="I1537" s="6"/>
      <c r="J1537" s="7"/>
      <c r="K1537" s="5" t="str" cm="1">
        <f t="array" ref="K1537">IF(OR(A1537="",B1537="",D1537="",E1537=""),"",A1537&amp;"_"&amp;SUBSTITUTE(B1537," ","-")&amp;"_"&amp;D1537&amp;"_"&amp;SUBSTITUTE(SUBSTITUTE(E1537," ",""),"€","Euro")&amp;"_"&amp;IF(F1537="","Unknown",F1537)&amp;IF(F1537="Commemorative",IF(G1537="","","_"&amp;SUBSTITUTE(SUBSTITUTE(SUBSTITUTE(G1537," ","-"),"/","-"),CHAR(39),"")),"")&amp;IF(I1537="Duplicate","_Dub"&amp;IF(SUMPRODUCT(($B$2:B1537=B1537)*($D$2:D1537=D1537)*($E$2:E1537=E1537)*($F$2:F1537=F1537)*($G$2:G1537=G1537)*($I$2:I1537="Duplicate"))&lt;=1,"",SUMPRODUCT(($B$2:B1537=B1537)*($D$2:D1537=D1537)*($E$2:E1537=E1537)*($F$2:F1537=F1537)*($G$2:G1537=G1537)*($I$2:I1537="Duplicate"))-1),"")&amp;".jpeg")</f>
        <v/>
      </c>
      <c r="L1537" s="6"/>
      <c r="M1537" s="5" t="str">
        <f>IFERROR(VLOOKUP(E1537,Specifications!$A$2:$D$9,2,FALSE),"")</f>
        <v/>
      </c>
      <c r="N1537" s="5" t="str">
        <f>IFERROR(VLOOKUP(E1537,Specifications!$A$2:$D$9,3,FALSE),"")</f>
        <v/>
      </c>
      <c r="O1537" s="5" t="str">
        <f>IFERROR(VLOOKUP(E1537,Specifications!$A$2:$D$9,4,FALSE),"")</f>
        <v/>
      </c>
      <c r="P1537" s="8" t="str">
        <f t="shared" si="72"/>
        <v/>
      </c>
      <c r="Q1537" s="9"/>
    </row>
    <row r="1538" spans="1:17" ht="15">
      <c r="A1538" s="5" t="str">
        <f t="shared" ref="A1538:A1601" si="73">IF(B1538="","",TEXT(ROW()-1,"000"))</f>
        <v/>
      </c>
      <c r="B1538" s="6"/>
      <c r="C1538" s="5" t="str">
        <f>IFERROR(VLOOKUP(B1538,Lists!$A$2:$B$25,2,FALSE),"")</f>
        <v/>
      </c>
      <c r="D1538" s="7"/>
      <c r="E1538" s="6"/>
      <c r="F1538" s="6" t="str">
        <f t="shared" ref="F1538:F1601" si="74">IF(E1538="","",IF(E1538="2 €","", "Regular"))</f>
        <v/>
      </c>
      <c r="G1538" s="6"/>
      <c r="H1538" s="6"/>
      <c r="I1538" s="6"/>
      <c r="J1538" s="7"/>
      <c r="K1538" s="5" t="str" cm="1">
        <f t="array" ref="K1538">IF(OR(A1538="",B1538="",D1538="",E1538=""),"",A1538&amp;"_"&amp;SUBSTITUTE(B1538," ","-")&amp;"_"&amp;D1538&amp;"_"&amp;SUBSTITUTE(SUBSTITUTE(E1538," ",""),"€","Euro")&amp;"_"&amp;IF(F1538="","Unknown",F1538)&amp;IF(F1538="Commemorative",IF(G1538="","","_"&amp;SUBSTITUTE(SUBSTITUTE(SUBSTITUTE(G1538," ","-"),"/","-"),CHAR(39),"")),"")&amp;IF(I1538="Duplicate","_Dub"&amp;IF(SUMPRODUCT(($B$2:B1538=B1538)*($D$2:D1538=D1538)*($E$2:E1538=E1538)*($F$2:F1538=F1538)*($G$2:G1538=G1538)*($I$2:I1538="Duplicate"))&lt;=1,"",SUMPRODUCT(($B$2:B1538=B1538)*($D$2:D1538=D1538)*($E$2:E1538=E1538)*($F$2:F1538=F1538)*($G$2:G1538=G1538)*($I$2:I1538="Duplicate"))-1),"")&amp;".jpeg")</f>
        <v/>
      </c>
      <c r="L1538" s="6"/>
      <c r="M1538" s="5" t="str">
        <f>IFERROR(VLOOKUP(E1538,Specifications!$A$2:$D$9,2,FALSE),"")</f>
        <v/>
      </c>
      <c r="N1538" s="5" t="str">
        <f>IFERROR(VLOOKUP(E1538,Specifications!$A$2:$D$9,3,FALSE),"")</f>
        <v/>
      </c>
      <c r="O1538" s="5" t="str">
        <f>IFERROR(VLOOKUP(E1538,Specifications!$A$2:$D$9,4,FALSE),"")</f>
        <v/>
      </c>
      <c r="P1538" s="8" t="str">
        <f t="shared" ref="P1538:P1601" si="75">IF(OR(B1538="",E1538="",F1538=""),"",IF(F1538="Regular","Regular "&amp;E1538&amp;" circulation coin of "&amp;B1538&amp;".",IF(F1538="Commemorative",IF(G1538="","",E1538&amp;" commemorative coin of "&amp;B1538&amp;" – "&amp;G1538&amp;"."),"")))</f>
        <v/>
      </c>
      <c r="Q1538" s="9"/>
    </row>
    <row r="1539" spans="1:17" ht="15">
      <c r="A1539" s="5" t="str">
        <f t="shared" si="73"/>
        <v/>
      </c>
      <c r="B1539" s="6"/>
      <c r="C1539" s="5" t="str">
        <f>IFERROR(VLOOKUP(B1539,Lists!$A$2:$B$25,2,FALSE),"")</f>
        <v/>
      </c>
      <c r="D1539" s="7"/>
      <c r="E1539" s="6"/>
      <c r="F1539" s="6" t="str">
        <f t="shared" si="74"/>
        <v/>
      </c>
      <c r="G1539" s="6"/>
      <c r="H1539" s="6"/>
      <c r="I1539" s="6"/>
      <c r="J1539" s="7"/>
      <c r="K1539" s="5" t="str" cm="1">
        <f t="array" ref="K1539">IF(OR(A1539="",B1539="",D1539="",E1539=""),"",A1539&amp;"_"&amp;SUBSTITUTE(B1539," ","-")&amp;"_"&amp;D1539&amp;"_"&amp;SUBSTITUTE(SUBSTITUTE(E1539," ",""),"€","Euro")&amp;"_"&amp;IF(F1539="","Unknown",F1539)&amp;IF(F1539="Commemorative",IF(G1539="","","_"&amp;SUBSTITUTE(SUBSTITUTE(SUBSTITUTE(G1539," ","-"),"/","-"),CHAR(39),"")),"")&amp;IF(I1539="Duplicate","_Dub"&amp;IF(SUMPRODUCT(($B$2:B1539=B1539)*($D$2:D1539=D1539)*($E$2:E1539=E1539)*($F$2:F1539=F1539)*($G$2:G1539=G1539)*($I$2:I1539="Duplicate"))&lt;=1,"",SUMPRODUCT(($B$2:B1539=B1539)*($D$2:D1539=D1539)*($E$2:E1539=E1539)*($F$2:F1539=F1539)*($G$2:G1539=G1539)*($I$2:I1539="Duplicate"))-1),"")&amp;".jpeg")</f>
        <v/>
      </c>
      <c r="L1539" s="6"/>
      <c r="M1539" s="5" t="str">
        <f>IFERROR(VLOOKUP(E1539,Specifications!$A$2:$D$9,2,FALSE),"")</f>
        <v/>
      </c>
      <c r="N1539" s="5" t="str">
        <f>IFERROR(VLOOKUP(E1539,Specifications!$A$2:$D$9,3,FALSE),"")</f>
        <v/>
      </c>
      <c r="O1539" s="5" t="str">
        <f>IFERROR(VLOOKUP(E1539,Specifications!$A$2:$D$9,4,FALSE),"")</f>
        <v/>
      </c>
      <c r="P1539" s="8" t="str">
        <f t="shared" si="75"/>
        <v/>
      </c>
      <c r="Q1539" s="9"/>
    </row>
    <row r="1540" spans="1:17" ht="15">
      <c r="A1540" s="5" t="str">
        <f t="shared" si="73"/>
        <v/>
      </c>
      <c r="B1540" s="6"/>
      <c r="C1540" s="5" t="str">
        <f>IFERROR(VLOOKUP(B1540,Lists!$A$2:$B$25,2,FALSE),"")</f>
        <v/>
      </c>
      <c r="D1540" s="7"/>
      <c r="E1540" s="6"/>
      <c r="F1540" s="6" t="str">
        <f t="shared" si="74"/>
        <v/>
      </c>
      <c r="G1540" s="6"/>
      <c r="H1540" s="6"/>
      <c r="I1540" s="6"/>
      <c r="J1540" s="7"/>
      <c r="K1540" s="5" t="str" cm="1">
        <f t="array" ref="K1540">IF(OR(A1540="",B1540="",D1540="",E1540=""),"",A1540&amp;"_"&amp;SUBSTITUTE(B1540," ","-")&amp;"_"&amp;D1540&amp;"_"&amp;SUBSTITUTE(SUBSTITUTE(E1540," ",""),"€","Euro")&amp;"_"&amp;IF(F1540="","Unknown",F1540)&amp;IF(F1540="Commemorative",IF(G1540="","","_"&amp;SUBSTITUTE(SUBSTITUTE(SUBSTITUTE(G1540," ","-"),"/","-"),CHAR(39),"")),"")&amp;IF(I1540="Duplicate","_Dub"&amp;IF(SUMPRODUCT(($B$2:B1540=B1540)*($D$2:D1540=D1540)*($E$2:E1540=E1540)*($F$2:F1540=F1540)*($G$2:G1540=G1540)*($I$2:I1540="Duplicate"))&lt;=1,"",SUMPRODUCT(($B$2:B1540=B1540)*($D$2:D1540=D1540)*($E$2:E1540=E1540)*($F$2:F1540=F1540)*($G$2:G1540=G1540)*($I$2:I1540="Duplicate"))-1),"")&amp;".jpeg")</f>
        <v/>
      </c>
      <c r="L1540" s="6"/>
      <c r="M1540" s="5" t="str">
        <f>IFERROR(VLOOKUP(E1540,Specifications!$A$2:$D$9,2,FALSE),"")</f>
        <v/>
      </c>
      <c r="N1540" s="5" t="str">
        <f>IFERROR(VLOOKUP(E1540,Specifications!$A$2:$D$9,3,FALSE),"")</f>
        <v/>
      </c>
      <c r="O1540" s="5" t="str">
        <f>IFERROR(VLOOKUP(E1540,Specifications!$A$2:$D$9,4,FALSE),"")</f>
        <v/>
      </c>
      <c r="P1540" s="8" t="str">
        <f t="shared" si="75"/>
        <v/>
      </c>
      <c r="Q1540" s="9"/>
    </row>
    <row r="1541" spans="1:17" ht="15">
      <c r="A1541" s="5" t="str">
        <f t="shared" si="73"/>
        <v/>
      </c>
      <c r="B1541" s="6"/>
      <c r="C1541" s="5" t="str">
        <f>IFERROR(VLOOKUP(B1541,Lists!$A$2:$B$25,2,FALSE),"")</f>
        <v/>
      </c>
      <c r="D1541" s="7"/>
      <c r="E1541" s="6"/>
      <c r="F1541" s="6" t="str">
        <f t="shared" si="74"/>
        <v/>
      </c>
      <c r="G1541" s="6"/>
      <c r="H1541" s="6"/>
      <c r="I1541" s="6"/>
      <c r="J1541" s="7"/>
      <c r="K1541" s="5" t="str" cm="1">
        <f t="array" ref="K1541">IF(OR(A1541="",B1541="",D1541="",E1541=""),"",A1541&amp;"_"&amp;SUBSTITUTE(B1541," ","-")&amp;"_"&amp;D1541&amp;"_"&amp;SUBSTITUTE(SUBSTITUTE(E1541," ",""),"€","Euro")&amp;"_"&amp;IF(F1541="","Unknown",F1541)&amp;IF(F1541="Commemorative",IF(G1541="","","_"&amp;SUBSTITUTE(SUBSTITUTE(SUBSTITUTE(G1541," ","-"),"/","-"),CHAR(39),"")),"")&amp;IF(I1541="Duplicate","_Dub"&amp;IF(SUMPRODUCT(($B$2:B1541=B1541)*($D$2:D1541=D1541)*($E$2:E1541=E1541)*($F$2:F1541=F1541)*($G$2:G1541=G1541)*($I$2:I1541="Duplicate"))&lt;=1,"",SUMPRODUCT(($B$2:B1541=B1541)*($D$2:D1541=D1541)*($E$2:E1541=E1541)*($F$2:F1541=F1541)*($G$2:G1541=G1541)*($I$2:I1541="Duplicate"))-1),"")&amp;".jpeg")</f>
        <v/>
      </c>
      <c r="L1541" s="6"/>
      <c r="M1541" s="5" t="str">
        <f>IFERROR(VLOOKUP(E1541,Specifications!$A$2:$D$9,2,FALSE),"")</f>
        <v/>
      </c>
      <c r="N1541" s="5" t="str">
        <f>IFERROR(VLOOKUP(E1541,Specifications!$A$2:$D$9,3,FALSE),"")</f>
        <v/>
      </c>
      <c r="O1541" s="5" t="str">
        <f>IFERROR(VLOOKUP(E1541,Specifications!$A$2:$D$9,4,FALSE),"")</f>
        <v/>
      </c>
      <c r="P1541" s="8" t="str">
        <f t="shared" si="75"/>
        <v/>
      </c>
      <c r="Q1541" s="9"/>
    </row>
    <row r="1542" spans="1:17" ht="15">
      <c r="A1542" s="5" t="str">
        <f t="shared" si="73"/>
        <v/>
      </c>
      <c r="B1542" s="6"/>
      <c r="C1542" s="5" t="str">
        <f>IFERROR(VLOOKUP(B1542,Lists!$A$2:$B$25,2,FALSE),"")</f>
        <v/>
      </c>
      <c r="D1542" s="7"/>
      <c r="E1542" s="6"/>
      <c r="F1542" s="6" t="str">
        <f t="shared" si="74"/>
        <v/>
      </c>
      <c r="G1542" s="6"/>
      <c r="H1542" s="6"/>
      <c r="I1542" s="6"/>
      <c r="J1542" s="7"/>
      <c r="K1542" s="5" t="str" cm="1">
        <f t="array" ref="K1542">IF(OR(A1542="",B1542="",D1542="",E1542=""),"",A1542&amp;"_"&amp;SUBSTITUTE(B1542," ","-")&amp;"_"&amp;D1542&amp;"_"&amp;SUBSTITUTE(SUBSTITUTE(E1542," ",""),"€","Euro")&amp;"_"&amp;IF(F1542="","Unknown",F1542)&amp;IF(F1542="Commemorative",IF(G1542="","","_"&amp;SUBSTITUTE(SUBSTITUTE(SUBSTITUTE(G1542," ","-"),"/","-"),CHAR(39),"")),"")&amp;IF(I1542="Duplicate","_Dub"&amp;IF(SUMPRODUCT(($B$2:B1542=B1542)*($D$2:D1542=D1542)*($E$2:E1542=E1542)*($F$2:F1542=F1542)*($G$2:G1542=G1542)*($I$2:I1542="Duplicate"))&lt;=1,"",SUMPRODUCT(($B$2:B1542=B1542)*($D$2:D1542=D1542)*($E$2:E1542=E1542)*($F$2:F1542=F1542)*($G$2:G1542=G1542)*($I$2:I1542="Duplicate"))-1),"")&amp;".jpeg")</f>
        <v/>
      </c>
      <c r="L1542" s="6"/>
      <c r="M1542" s="5" t="str">
        <f>IFERROR(VLOOKUP(E1542,Specifications!$A$2:$D$9,2,FALSE),"")</f>
        <v/>
      </c>
      <c r="N1542" s="5" t="str">
        <f>IFERROR(VLOOKUP(E1542,Specifications!$A$2:$D$9,3,FALSE),"")</f>
        <v/>
      </c>
      <c r="O1542" s="5" t="str">
        <f>IFERROR(VLOOKUP(E1542,Specifications!$A$2:$D$9,4,FALSE),"")</f>
        <v/>
      </c>
      <c r="P1542" s="8" t="str">
        <f t="shared" si="75"/>
        <v/>
      </c>
      <c r="Q1542" s="9"/>
    </row>
    <row r="1543" spans="1:17" ht="15">
      <c r="A1543" s="5" t="str">
        <f t="shared" si="73"/>
        <v/>
      </c>
      <c r="B1543" s="6"/>
      <c r="C1543" s="5" t="str">
        <f>IFERROR(VLOOKUP(B1543,Lists!$A$2:$B$25,2,FALSE),"")</f>
        <v/>
      </c>
      <c r="D1543" s="7"/>
      <c r="E1543" s="6"/>
      <c r="F1543" s="6" t="str">
        <f t="shared" si="74"/>
        <v/>
      </c>
      <c r="G1543" s="6"/>
      <c r="H1543" s="6"/>
      <c r="I1543" s="6"/>
      <c r="J1543" s="7"/>
      <c r="K1543" s="5" t="str" cm="1">
        <f t="array" ref="K1543">IF(OR(A1543="",B1543="",D1543="",E1543=""),"",A1543&amp;"_"&amp;SUBSTITUTE(B1543," ","-")&amp;"_"&amp;D1543&amp;"_"&amp;SUBSTITUTE(SUBSTITUTE(E1543," ",""),"€","Euro")&amp;"_"&amp;IF(F1543="","Unknown",F1543)&amp;IF(F1543="Commemorative",IF(G1543="","","_"&amp;SUBSTITUTE(SUBSTITUTE(SUBSTITUTE(G1543," ","-"),"/","-"),CHAR(39),"")),"")&amp;IF(I1543="Duplicate","_Dub"&amp;IF(SUMPRODUCT(($B$2:B1543=B1543)*($D$2:D1543=D1543)*($E$2:E1543=E1543)*($F$2:F1543=F1543)*($G$2:G1543=G1543)*($I$2:I1543="Duplicate"))&lt;=1,"",SUMPRODUCT(($B$2:B1543=B1543)*($D$2:D1543=D1543)*($E$2:E1543=E1543)*($F$2:F1543=F1543)*($G$2:G1543=G1543)*($I$2:I1543="Duplicate"))-1),"")&amp;".jpeg")</f>
        <v/>
      </c>
      <c r="L1543" s="6"/>
      <c r="M1543" s="5" t="str">
        <f>IFERROR(VLOOKUP(E1543,Specifications!$A$2:$D$9,2,FALSE),"")</f>
        <v/>
      </c>
      <c r="N1543" s="5" t="str">
        <f>IFERROR(VLOOKUP(E1543,Specifications!$A$2:$D$9,3,FALSE),"")</f>
        <v/>
      </c>
      <c r="O1543" s="5" t="str">
        <f>IFERROR(VLOOKUP(E1543,Specifications!$A$2:$D$9,4,FALSE),"")</f>
        <v/>
      </c>
      <c r="P1543" s="8" t="str">
        <f t="shared" si="75"/>
        <v/>
      </c>
      <c r="Q1543" s="9"/>
    </row>
    <row r="1544" spans="1:17" ht="15">
      <c r="A1544" s="5" t="str">
        <f t="shared" si="73"/>
        <v/>
      </c>
      <c r="B1544" s="6"/>
      <c r="C1544" s="5" t="str">
        <f>IFERROR(VLOOKUP(B1544,Lists!$A$2:$B$25,2,FALSE),"")</f>
        <v/>
      </c>
      <c r="D1544" s="7"/>
      <c r="E1544" s="6"/>
      <c r="F1544" s="6" t="str">
        <f t="shared" si="74"/>
        <v/>
      </c>
      <c r="G1544" s="6"/>
      <c r="H1544" s="6"/>
      <c r="I1544" s="6"/>
      <c r="J1544" s="7"/>
      <c r="K1544" s="5" t="str" cm="1">
        <f t="array" ref="K1544">IF(OR(A1544="",B1544="",D1544="",E1544=""),"",A1544&amp;"_"&amp;SUBSTITUTE(B1544," ","-")&amp;"_"&amp;D1544&amp;"_"&amp;SUBSTITUTE(SUBSTITUTE(E1544," ",""),"€","Euro")&amp;"_"&amp;IF(F1544="","Unknown",F1544)&amp;IF(F1544="Commemorative",IF(G1544="","","_"&amp;SUBSTITUTE(SUBSTITUTE(SUBSTITUTE(G1544," ","-"),"/","-"),CHAR(39),"")),"")&amp;IF(I1544="Duplicate","_Dub"&amp;IF(SUMPRODUCT(($B$2:B1544=B1544)*($D$2:D1544=D1544)*($E$2:E1544=E1544)*($F$2:F1544=F1544)*($G$2:G1544=G1544)*($I$2:I1544="Duplicate"))&lt;=1,"",SUMPRODUCT(($B$2:B1544=B1544)*($D$2:D1544=D1544)*($E$2:E1544=E1544)*($F$2:F1544=F1544)*($G$2:G1544=G1544)*($I$2:I1544="Duplicate"))-1),"")&amp;".jpeg")</f>
        <v/>
      </c>
      <c r="L1544" s="6"/>
      <c r="M1544" s="5" t="str">
        <f>IFERROR(VLOOKUP(E1544,Specifications!$A$2:$D$9,2,FALSE),"")</f>
        <v/>
      </c>
      <c r="N1544" s="5" t="str">
        <f>IFERROR(VLOOKUP(E1544,Specifications!$A$2:$D$9,3,FALSE),"")</f>
        <v/>
      </c>
      <c r="O1544" s="5" t="str">
        <f>IFERROR(VLOOKUP(E1544,Specifications!$A$2:$D$9,4,FALSE),"")</f>
        <v/>
      </c>
      <c r="P1544" s="8" t="str">
        <f t="shared" si="75"/>
        <v/>
      </c>
      <c r="Q1544" s="9"/>
    </row>
    <row r="1545" spans="1:17" ht="15">
      <c r="A1545" s="5" t="str">
        <f t="shared" si="73"/>
        <v/>
      </c>
      <c r="B1545" s="6"/>
      <c r="C1545" s="5" t="str">
        <f>IFERROR(VLOOKUP(B1545,Lists!$A$2:$B$25,2,FALSE),"")</f>
        <v/>
      </c>
      <c r="D1545" s="7"/>
      <c r="E1545" s="6"/>
      <c r="F1545" s="6" t="str">
        <f t="shared" si="74"/>
        <v/>
      </c>
      <c r="G1545" s="6"/>
      <c r="H1545" s="6"/>
      <c r="I1545" s="6"/>
      <c r="J1545" s="7"/>
      <c r="K1545" s="5" t="str" cm="1">
        <f t="array" ref="K1545">IF(OR(A1545="",B1545="",D1545="",E1545=""),"",A1545&amp;"_"&amp;SUBSTITUTE(B1545," ","-")&amp;"_"&amp;D1545&amp;"_"&amp;SUBSTITUTE(SUBSTITUTE(E1545," ",""),"€","Euro")&amp;"_"&amp;IF(F1545="","Unknown",F1545)&amp;IF(F1545="Commemorative",IF(G1545="","","_"&amp;SUBSTITUTE(SUBSTITUTE(SUBSTITUTE(G1545," ","-"),"/","-"),CHAR(39),"")),"")&amp;IF(I1545="Duplicate","_Dub"&amp;IF(SUMPRODUCT(($B$2:B1545=B1545)*($D$2:D1545=D1545)*($E$2:E1545=E1545)*($F$2:F1545=F1545)*($G$2:G1545=G1545)*($I$2:I1545="Duplicate"))&lt;=1,"",SUMPRODUCT(($B$2:B1545=B1545)*($D$2:D1545=D1545)*($E$2:E1545=E1545)*($F$2:F1545=F1545)*($G$2:G1545=G1545)*($I$2:I1545="Duplicate"))-1),"")&amp;".jpeg")</f>
        <v/>
      </c>
      <c r="L1545" s="6"/>
      <c r="M1545" s="5" t="str">
        <f>IFERROR(VLOOKUP(E1545,Specifications!$A$2:$D$9,2,FALSE),"")</f>
        <v/>
      </c>
      <c r="N1545" s="5" t="str">
        <f>IFERROR(VLOOKUP(E1545,Specifications!$A$2:$D$9,3,FALSE),"")</f>
        <v/>
      </c>
      <c r="O1545" s="5" t="str">
        <f>IFERROR(VLOOKUP(E1545,Specifications!$A$2:$D$9,4,FALSE),"")</f>
        <v/>
      </c>
      <c r="P1545" s="8" t="str">
        <f t="shared" si="75"/>
        <v/>
      </c>
      <c r="Q1545" s="9"/>
    </row>
    <row r="1546" spans="1:17" ht="15">
      <c r="A1546" s="5" t="str">
        <f t="shared" si="73"/>
        <v/>
      </c>
      <c r="B1546" s="6"/>
      <c r="C1546" s="5" t="str">
        <f>IFERROR(VLOOKUP(B1546,Lists!$A$2:$B$25,2,FALSE),"")</f>
        <v/>
      </c>
      <c r="D1546" s="7"/>
      <c r="E1546" s="6"/>
      <c r="F1546" s="6" t="str">
        <f t="shared" si="74"/>
        <v/>
      </c>
      <c r="G1546" s="6"/>
      <c r="H1546" s="6"/>
      <c r="I1546" s="6"/>
      <c r="J1546" s="7"/>
      <c r="K1546" s="5" t="str" cm="1">
        <f t="array" ref="K1546">IF(OR(A1546="",B1546="",D1546="",E1546=""),"",A1546&amp;"_"&amp;SUBSTITUTE(B1546," ","-")&amp;"_"&amp;D1546&amp;"_"&amp;SUBSTITUTE(SUBSTITUTE(E1546," ",""),"€","Euro")&amp;"_"&amp;IF(F1546="","Unknown",F1546)&amp;IF(F1546="Commemorative",IF(G1546="","","_"&amp;SUBSTITUTE(SUBSTITUTE(SUBSTITUTE(G1546," ","-"),"/","-"),CHAR(39),"")),"")&amp;IF(I1546="Duplicate","_Dub"&amp;IF(SUMPRODUCT(($B$2:B1546=B1546)*($D$2:D1546=D1546)*($E$2:E1546=E1546)*($F$2:F1546=F1546)*($G$2:G1546=G1546)*($I$2:I1546="Duplicate"))&lt;=1,"",SUMPRODUCT(($B$2:B1546=B1546)*($D$2:D1546=D1546)*($E$2:E1546=E1546)*($F$2:F1546=F1546)*($G$2:G1546=G1546)*($I$2:I1546="Duplicate"))-1),"")&amp;".jpeg")</f>
        <v/>
      </c>
      <c r="L1546" s="6"/>
      <c r="M1546" s="5" t="str">
        <f>IFERROR(VLOOKUP(E1546,Specifications!$A$2:$D$9,2,FALSE),"")</f>
        <v/>
      </c>
      <c r="N1546" s="5" t="str">
        <f>IFERROR(VLOOKUP(E1546,Specifications!$A$2:$D$9,3,FALSE),"")</f>
        <v/>
      </c>
      <c r="O1546" s="5" t="str">
        <f>IFERROR(VLOOKUP(E1546,Specifications!$A$2:$D$9,4,FALSE),"")</f>
        <v/>
      </c>
      <c r="P1546" s="8" t="str">
        <f t="shared" si="75"/>
        <v/>
      </c>
      <c r="Q1546" s="9"/>
    </row>
    <row r="1547" spans="1:17" ht="15">
      <c r="A1547" s="5" t="str">
        <f t="shared" si="73"/>
        <v/>
      </c>
      <c r="B1547" s="6"/>
      <c r="C1547" s="5" t="str">
        <f>IFERROR(VLOOKUP(B1547,Lists!$A$2:$B$25,2,FALSE),"")</f>
        <v/>
      </c>
      <c r="D1547" s="7"/>
      <c r="E1547" s="6"/>
      <c r="F1547" s="6" t="str">
        <f t="shared" si="74"/>
        <v/>
      </c>
      <c r="G1547" s="6"/>
      <c r="H1547" s="6"/>
      <c r="I1547" s="6"/>
      <c r="J1547" s="7"/>
      <c r="K1547" s="5" t="str" cm="1">
        <f t="array" ref="K1547">IF(OR(A1547="",B1547="",D1547="",E1547=""),"",A1547&amp;"_"&amp;SUBSTITUTE(B1547," ","-")&amp;"_"&amp;D1547&amp;"_"&amp;SUBSTITUTE(SUBSTITUTE(E1547," ",""),"€","Euro")&amp;"_"&amp;IF(F1547="","Unknown",F1547)&amp;IF(F1547="Commemorative",IF(G1547="","","_"&amp;SUBSTITUTE(SUBSTITUTE(SUBSTITUTE(G1547," ","-"),"/","-"),CHAR(39),"")),"")&amp;IF(I1547="Duplicate","_Dub"&amp;IF(SUMPRODUCT(($B$2:B1547=B1547)*($D$2:D1547=D1547)*($E$2:E1547=E1547)*($F$2:F1547=F1547)*($G$2:G1547=G1547)*($I$2:I1547="Duplicate"))&lt;=1,"",SUMPRODUCT(($B$2:B1547=B1547)*($D$2:D1547=D1547)*($E$2:E1547=E1547)*($F$2:F1547=F1547)*($G$2:G1547=G1547)*($I$2:I1547="Duplicate"))-1),"")&amp;".jpeg")</f>
        <v/>
      </c>
      <c r="L1547" s="6"/>
      <c r="M1547" s="5" t="str">
        <f>IFERROR(VLOOKUP(E1547,Specifications!$A$2:$D$9,2,FALSE),"")</f>
        <v/>
      </c>
      <c r="N1547" s="5" t="str">
        <f>IFERROR(VLOOKUP(E1547,Specifications!$A$2:$D$9,3,FALSE),"")</f>
        <v/>
      </c>
      <c r="O1547" s="5" t="str">
        <f>IFERROR(VLOOKUP(E1547,Specifications!$A$2:$D$9,4,FALSE),"")</f>
        <v/>
      </c>
      <c r="P1547" s="8" t="str">
        <f t="shared" si="75"/>
        <v/>
      </c>
      <c r="Q1547" s="9"/>
    </row>
    <row r="1548" spans="1:17" ht="15">
      <c r="A1548" s="5" t="str">
        <f t="shared" si="73"/>
        <v/>
      </c>
      <c r="B1548" s="6"/>
      <c r="C1548" s="5" t="str">
        <f>IFERROR(VLOOKUP(B1548,Lists!$A$2:$B$25,2,FALSE),"")</f>
        <v/>
      </c>
      <c r="D1548" s="7"/>
      <c r="E1548" s="6"/>
      <c r="F1548" s="6" t="str">
        <f t="shared" si="74"/>
        <v/>
      </c>
      <c r="G1548" s="6"/>
      <c r="H1548" s="6"/>
      <c r="I1548" s="6"/>
      <c r="J1548" s="7"/>
      <c r="K1548" s="5" t="str" cm="1">
        <f t="array" ref="K1548">IF(OR(A1548="",B1548="",D1548="",E1548=""),"",A1548&amp;"_"&amp;SUBSTITUTE(B1548," ","-")&amp;"_"&amp;D1548&amp;"_"&amp;SUBSTITUTE(SUBSTITUTE(E1548," ",""),"€","Euro")&amp;"_"&amp;IF(F1548="","Unknown",F1548)&amp;IF(F1548="Commemorative",IF(G1548="","","_"&amp;SUBSTITUTE(SUBSTITUTE(SUBSTITUTE(G1548," ","-"),"/","-"),CHAR(39),"")),"")&amp;IF(I1548="Duplicate","_Dub"&amp;IF(SUMPRODUCT(($B$2:B1548=B1548)*($D$2:D1548=D1548)*($E$2:E1548=E1548)*($F$2:F1548=F1548)*($G$2:G1548=G1548)*($I$2:I1548="Duplicate"))&lt;=1,"",SUMPRODUCT(($B$2:B1548=B1548)*($D$2:D1548=D1548)*($E$2:E1548=E1548)*($F$2:F1548=F1548)*($G$2:G1548=G1548)*($I$2:I1548="Duplicate"))-1),"")&amp;".jpeg")</f>
        <v/>
      </c>
      <c r="L1548" s="6"/>
      <c r="M1548" s="5" t="str">
        <f>IFERROR(VLOOKUP(E1548,Specifications!$A$2:$D$9,2,FALSE),"")</f>
        <v/>
      </c>
      <c r="N1548" s="5" t="str">
        <f>IFERROR(VLOOKUP(E1548,Specifications!$A$2:$D$9,3,FALSE),"")</f>
        <v/>
      </c>
      <c r="O1548" s="5" t="str">
        <f>IFERROR(VLOOKUP(E1548,Specifications!$A$2:$D$9,4,FALSE),"")</f>
        <v/>
      </c>
      <c r="P1548" s="8" t="str">
        <f t="shared" si="75"/>
        <v/>
      </c>
      <c r="Q1548" s="9"/>
    </row>
    <row r="1549" spans="1:17" ht="15">
      <c r="A1549" s="5" t="str">
        <f t="shared" si="73"/>
        <v/>
      </c>
      <c r="B1549" s="6"/>
      <c r="C1549" s="5" t="str">
        <f>IFERROR(VLOOKUP(B1549,Lists!$A$2:$B$25,2,FALSE),"")</f>
        <v/>
      </c>
      <c r="D1549" s="7"/>
      <c r="E1549" s="6"/>
      <c r="F1549" s="6" t="str">
        <f t="shared" si="74"/>
        <v/>
      </c>
      <c r="G1549" s="6"/>
      <c r="H1549" s="6"/>
      <c r="I1549" s="6"/>
      <c r="J1549" s="7"/>
      <c r="K1549" s="5" t="str" cm="1">
        <f t="array" ref="K1549">IF(OR(A1549="",B1549="",D1549="",E1549=""),"",A1549&amp;"_"&amp;SUBSTITUTE(B1549," ","-")&amp;"_"&amp;D1549&amp;"_"&amp;SUBSTITUTE(SUBSTITUTE(E1549," ",""),"€","Euro")&amp;"_"&amp;IF(F1549="","Unknown",F1549)&amp;IF(F1549="Commemorative",IF(G1549="","","_"&amp;SUBSTITUTE(SUBSTITUTE(SUBSTITUTE(G1549," ","-"),"/","-"),CHAR(39),"")),"")&amp;IF(I1549="Duplicate","_Dub"&amp;IF(SUMPRODUCT(($B$2:B1549=B1549)*($D$2:D1549=D1549)*($E$2:E1549=E1549)*($F$2:F1549=F1549)*($G$2:G1549=G1549)*($I$2:I1549="Duplicate"))&lt;=1,"",SUMPRODUCT(($B$2:B1549=B1549)*($D$2:D1549=D1549)*($E$2:E1549=E1549)*($F$2:F1549=F1549)*($G$2:G1549=G1549)*($I$2:I1549="Duplicate"))-1),"")&amp;".jpeg")</f>
        <v/>
      </c>
      <c r="L1549" s="6"/>
      <c r="M1549" s="5" t="str">
        <f>IFERROR(VLOOKUP(E1549,Specifications!$A$2:$D$9,2,FALSE),"")</f>
        <v/>
      </c>
      <c r="N1549" s="5" t="str">
        <f>IFERROR(VLOOKUP(E1549,Specifications!$A$2:$D$9,3,FALSE),"")</f>
        <v/>
      </c>
      <c r="O1549" s="5" t="str">
        <f>IFERROR(VLOOKUP(E1549,Specifications!$A$2:$D$9,4,FALSE),"")</f>
        <v/>
      </c>
      <c r="P1549" s="8" t="str">
        <f t="shared" si="75"/>
        <v/>
      </c>
      <c r="Q1549" s="9"/>
    </row>
    <row r="1550" spans="1:17" ht="15">
      <c r="A1550" s="5" t="str">
        <f t="shared" si="73"/>
        <v/>
      </c>
      <c r="B1550" s="6"/>
      <c r="C1550" s="5" t="str">
        <f>IFERROR(VLOOKUP(B1550,Lists!$A$2:$B$25,2,FALSE),"")</f>
        <v/>
      </c>
      <c r="D1550" s="7"/>
      <c r="E1550" s="6"/>
      <c r="F1550" s="6" t="str">
        <f t="shared" si="74"/>
        <v/>
      </c>
      <c r="G1550" s="6"/>
      <c r="H1550" s="6"/>
      <c r="I1550" s="6"/>
      <c r="J1550" s="7"/>
      <c r="K1550" s="5" t="str" cm="1">
        <f t="array" ref="K1550">IF(OR(A1550="",B1550="",D1550="",E1550=""),"",A1550&amp;"_"&amp;SUBSTITUTE(B1550," ","-")&amp;"_"&amp;D1550&amp;"_"&amp;SUBSTITUTE(SUBSTITUTE(E1550," ",""),"€","Euro")&amp;"_"&amp;IF(F1550="","Unknown",F1550)&amp;IF(F1550="Commemorative",IF(G1550="","","_"&amp;SUBSTITUTE(SUBSTITUTE(SUBSTITUTE(G1550," ","-"),"/","-"),CHAR(39),"")),"")&amp;IF(I1550="Duplicate","_Dub"&amp;IF(SUMPRODUCT(($B$2:B1550=B1550)*($D$2:D1550=D1550)*($E$2:E1550=E1550)*($F$2:F1550=F1550)*($G$2:G1550=G1550)*($I$2:I1550="Duplicate"))&lt;=1,"",SUMPRODUCT(($B$2:B1550=B1550)*($D$2:D1550=D1550)*($E$2:E1550=E1550)*($F$2:F1550=F1550)*($G$2:G1550=G1550)*($I$2:I1550="Duplicate"))-1),"")&amp;".jpeg")</f>
        <v/>
      </c>
      <c r="L1550" s="6"/>
      <c r="M1550" s="5" t="str">
        <f>IFERROR(VLOOKUP(E1550,Specifications!$A$2:$D$9,2,FALSE),"")</f>
        <v/>
      </c>
      <c r="N1550" s="5" t="str">
        <f>IFERROR(VLOOKUP(E1550,Specifications!$A$2:$D$9,3,FALSE),"")</f>
        <v/>
      </c>
      <c r="O1550" s="5" t="str">
        <f>IFERROR(VLOOKUP(E1550,Specifications!$A$2:$D$9,4,FALSE),"")</f>
        <v/>
      </c>
      <c r="P1550" s="8" t="str">
        <f t="shared" si="75"/>
        <v/>
      </c>
      <c r="Q1550" s="9"/>
    </row>
    <row r="1551" spans="1:17" ht="15">
      <c r="A1551" s="5" t="str">
        <f t="shared" si="73"/>
        <v/>
      </c>
      <c r="B1551" s="6"/>
      <c r="C1551" s="5" t="str">
        <f>IFERROR(VLOOKUP(B1551,Lists!$A$2:$B$25,2,FALSE),"")</f>
        <v/>
      </c>
      <c r="D1551" s="7"/>
      <c r="E1551" s="6"/>
      <c r="F1551" s="6" t="str">
        <f t="shared" si="74"/>
        <v/>
      </c>
      <c r="G1551" s="6"/>
      <c r="H1551" s="6"/>
      <c r="I1551" s="6"/>
      <c r="J1551" s="7"/>
      <c r="K1551" s="5" t="str" cm="1">
        <f t="array" ref="K1551">IF(OR(A1551="",B1551="",D1551="",E1551=""),"",A1551&amp;"_"&amp;SUBSTITUTE(B1551," ","-")&amp;"_"&amp;D1551&amp;"_"&amp;SUBSTITUTE(SUBSTITUTE(E1551," ",""),"€","Euro")&amp;"_"&amp;IF(F1551="","Unknown",F1551)&amp;IF(F1551="Commemorative",IF(G1551="","","_"&amp;SUBSTITUTE(SUBSTITUTE(SUBSTITUTE(G1551," ","-"),"/","-"),CHAR(39),"")),"")&amp;IF(I1551="Duplicate","_Dub"&amp;IF(SUMPRODUCT(($B$2:B1551=B1551)*($D$2:D1551=D1551)*($E$2:E1551=E1551)*($F$2:F1551=F1551)*($G$2:G1551=G1551)*($I$2:I1551="Duplicate"))&lt;=1,"",SUMPRODUCT(($B$2:B1551=B1551)*($D$2:D1551=D1551)*($E$2:E1551=E1551)*($F$2:F1551=F1551)*($G$2:G1551=G1551)*($I$2:I1551="Duplicate"))-1),"")&amp;".jpeg")</f>
        <v/>
      </c>
      <c r="L1551" s="6"/>
      <c r="M1551" s="5" t="str">
        <f>IFERROR(VLOOKUP(E1551,Specifications!$A$2:$D$9,2,FALSE),"")</f>
        <v/>
      </c>
      <c r="N1551" s="5" t="str">
        <f>IFERROR(VLOOKUP(E1551,Specifications!$A$2:$D$9,3,FALSE),"")</f>
        <v/>
      </c>
      <c r="O1551" s="5" t="str">
        <f>IFERROR(VLOOKUP(E1551,Specifications!$A$2:$D$9,4,FALSE),"")</f>
        <v/>
      </c>
      <c r="P1551" s="8" t="str">
        <f t="shared" si="75"/>
        <v/>
      </c>
      <c r="Q1551" s="9"/>
    </row>
    <row r="1552" spans="1:17" ht="15">
      <c r="A1552" s="5" t="str">
        <f t="shared" si="73"/>
        <v/>
      </c>
      <c r="B1552" s="6"/>
      <c r="C1552" s="5" t="str">
        <f>IFERROR(VLOOKUP(B1552,Lists!$A$2:$B$25,2,FALSE),"")</f>
        <v/>
      </c>
      <c r="D1552" s="7"/>
      <c r="E1552" s="6"/>
      <c r="F1552" s="6" t="str">
        <f t="shared" si="74"/>
        <v/>
      </c>
      <c r="G1552" s="6"/>
      <c r="H1552" s="6"/>
      <c r="I1552" s="6"/>
      <c r="J1552" s="7"/>
      <c r="K1552" s="5" t="str" cm="1">
        <f t="array" ref="K1552">IF(OR(A1552="",B1552="",D1552="",E1552=""),"",A1552&amp;"_"&amp;SUBSTITUTE(B1552," ","-")&amp;"_"&amp;D1552&amp;"_"&amp;SUBSTITUTE(SUBSTITUTE(E1552," ",""),"€","Euro")&amp;"_"&amp;IF(F1552="","Unknown",F1552)&amp;IF(F1552="Commemorative",IF(G1552="","","_"&amp;SUBSTITUTE(SUBSTITUTE(SUBSTITUTE(G1552," ","-"),"/","-"),CHAR(39),"")),"")&amp;IF(I1552="Duplicate","_Dub"&amp;IF(SUMPRODUCT(($B$2:B1552=B1552)*($D$2:D1552=D1552)*($E$2:E1552=E1552)*($F$2:F1552=F1552)*($G$2:G1552=G1552)*($I$2:I1552="Duplicate"))&lt;=1,"",SUMPRODUCT(($B$2:B1552=B1552)*($D$2:D1552=D1552)*($E$2:E1552=E1552)*($F$2:F1552=F1552)*($G$2:G1552=G1552)*($I$2:I1552="Duplicate"))-1),"")&amp;".jpeg")</f>
        <v/>
      </c>
      <c r="L1552" s="6"/>
      <c r="M1552" s="5" t="str">
        <f>IFERROR(VLOOKUP(E1552,Specifications!$A$2:$D$9,2,FALSE),"")</f>
        <v/>
      </c>
      <c r="N1552" s="5" t="str">
        <f>IFERROR(VLOOKUP(E1552,Specifications!$A$2:$D$9,3,FALSE),"")</f>
        <v/>
      </c>
      <c r="O1552" s="5" t="str">
        <f>IFERROR(VLOOKUP(E1552,Specifications!$A$2:$D$9,4,FALSE),"")</f>
        <v/>
      </c>
      <c r="P1552" s="8" t="str">
        <f t="shared" si="75"/>
        <v/>
      </c>
      <c r="Q1552" s="9"/>
    </row>
    <row r="1553" spans="1:17" ht="15">
      <c r="A1553" s="5" t="str">
        <f t="shared" si="73"/>
        <v/>
      </c>
      <c r="B1553" s="6"/>
      <c r="C1553" s="5" t="str">
        <f>IFERROR(VLOOKUP(B1553,Lists!$A$2:$B$25,2,FALSE),"")</f>
        <v/>
      </c>
      <c r="D1553" s="7"/>
      <c r="E1553" s="6"/>
      <c r="F1553" s="6" t="str">
        <f t="shared" si="74"/>
        <v/>
      </c>
      <c r="G1553" s="6"/>
      <c r="H1553" s="6"/>
      <c r="I1553" s="6"/>
      <c r="J1553" s="7"/>
      <c r="K1553" s="5" t="str" cm="1">
        <f t="array" ref="K1553">IF(OR(A1553="",B1553="",D1553="",E1553=""),"",A1553&amp;"_"&amp;SUBSTITUTE(B1553," ","-")&amp;"_"&amp;D1553&amp;"_"&amp;SUBSTITUTE(SUBSTITUTE(E1553," ",""),"€","Euro")&amp;"_"&amp;IF(F1553="","Unknown",F1553)&amp;IF(F1553="Commemorative",IF(G1553="","","_"&amp;SUBSTITUTE(SUBSTITUTE(SUBSTITUTE(G1553," ","-"),"/","-"),CHAR(39),"")),"")&amp;IF(I1553="Duplicate","_Dub"&amp;IF(SUMPRODUCT(($B$2:B1553=B1553)*($D$2:D1553=D1553)*($E$2:E1553=E1553)*($F$2:F1553=F1553)*($G$2:G1553=G1553)*($I$2:I1553="Duplicate"))&lt;=1,"",SUMPRODUCT(($B$2:B1553=B1553)*($D$2:D1553=D1553)*($E$2:E1553=E1553)*($F$2:F1553=F1553)*($G$2:G1553=G1553)*($I$2:I1553="Duplicate"))-1),"")&amp;".jpeg")</f>
        <v/>
      </c>
      <c r="L1553" s="6"/>
      <c r="M1553" s="5" t="str">
        <f>IFERROR(VLOOKUP(E1553,Specifications!$A$2:$D$9,2,FALSE),"")</f>
        <v/>
      </c>
      <c r="N1553" s="5" t="str">
        <f>IFERROR(VLOOKUP(E1553,Specifications!$A$2:$D$9,3,FALSE),"")</f>
        <v/>
      </c>
      <c r="O1553" s="5" t="str">
        <f>IFERROR(VLOOKUP(E1553,Specifications!$A$2:$D$9,4,FALSE),"")</f>
        <v/>
      </c>
      <c r="P1553" s="8" t="str">
        <f t="shared" si="75"/>
        <v/>
      </c>
      <c r="Q1553" s="9"/>
    </row>
    <row r="1554" spans="1:17" ht="15">
      <c r="A1554" s="5" t="str">
        <f t="shared" si="73"/>
        <v/>
      </c>
      <c r="B1554" s="6"/>
      <c r="C1554" s="5" t="str">
        <f>IFERROR(VLOOKUP(B1554,Lists!$A$2:$B$25,2,FALSE),"")</f>
        <v/>
      </c>
      <c r="D1554" s="7"/>
      <c r="E1554" s="6"/>
      <c r="F1554" s="6" t="str">
        <f t="shared" si="74"/>
        <v/>
      </c>
      <c r="G1554" s="6"/>
      <c r="H1554" s="6"/>
      <c r="I1554" s="6"/>
      <c r="J1554" s="7"/>
      <c r="K1554" s="5" t="str" cm="1">
        <f t="array" ref="K1554">IF(OR(A1554="",B1554="",D1554="",E1554=""),"",A1554&amp;"_"&amp;SUBSTITUTE(B1554," ","-")&amp;"_"&amp;D1554&amp;"_"&amp;SUBSTITUTE(SUBSTITUTE(E1554," ",""),"€","Euro")&amp;"_"&amp;IF(F1554="","Unknown",F1554)&amp;IF(F1554="Commemorative",IF(G1554="","","_"&amp;SUBSTITUTE(SUBSTITUTE(SUBSTITUTE(G1554," ","-"),"/","-"),CHAR(39),"")),"")&amp;IF(I1554="Duplicate","_Dub"&amp;IF(SUMPRODUCT(($B$2:B1554=B1554)*($D$2:D1554=D1554)*($E$2:E1554=E1554)*($F$2:F1554=F1554)*($G$2:G1554=G1554)*($I$2:I1554="Duplicate"))&lt;=1,"",SUMPRODUCT(($B$2:B1554=B1554)*($D$2:D1554=D1554)*($E$2:E1554=E1554)*($F$2:F1554=F1554)*($G$2:G1554=G1554)*($I$2:I1554="Duplicate"))-1),"")&amp;".jpeg")</f>
        <v/>
      </c>
      <c r="L1554" s="6"/>
      <c r="M1554" s="5" t="str">
        <f>IFERROR(VLOOKUP(E1554,Specifications!$A$2:$D$9,2,FALSE),"")</f>
        <v/>
      </c>
      <c r="N1554" s="5" t="str">
        <f>IFERROR(VLOOKUP(E1554,Specifications!$A$2:$D$9,3,FALSE),"")</f>
        <v/>
      </c>
      <c r="O1554" s="5" t="str">
        <f>IFERROR(VLOOKUP(E1554,Specifications!$A$2:$D$9,4,FALSE),"")</f>
        <v/>
      </c>
      <c r="P1554" s="8" t="str">
        <f t="shared" si="75"/>
        <v/>
      </c>
      <c r="Q1554" s="9"/>
    </row>
    <row r="1555" spans="1:17" ht="15">
      <c r="A1555" s="5" t="str">
        <f t="shared" si="73"/>
        <v/>
      </c>
      <c r="B1555" s="6"/>
      <c r="C1555" s="5" t="str">
        <f>IFERROR(VLOOKUP(B1555,Lists!$A$2:$B$25,2,FALSE),"")</f>
        <v/>
      </c>
      <c r="D1555" s="7"/>
      <c r="E1555" s="6"/>
      <c r="F1555" s="6" t="str">
        <f t="shared" si="74"/>
        <v/>
      </c>
      <c r="G1555" s="6"/>
      <c r="H1555" s="6"/>
      <c r="I1555" s="6"/>
      <c r="J1555" s="7"/>
      <c r="K1555" s="5" t="str" cm="1">
        <f t="array" ref="K1555">IF(OR(A1555="",B1555="",D1555="",E1555=""),"",A1555&amp;"_"&amp;SUBSTITUTE(B1555," ","-")&amp;"_"&amp;D1555&amp;"_"&amp;SUBSTITUTE(SUBSTITUTE(E1555," ",""),"€","Euro")&amp;"_"&amp;IF(F1555="","Unknown",F1555)&amp;IF(F1555="Commemorative",IF(G1555="","","_"&amp;SUBSTITUTE(SUBSTITUTE(SUBSTITUTE(G1555," ","-"),"/","-"),CHAR(39),"")),"")&amp;IF(I1555="Duplicate","_Dub"&amp;IF(SUMPRODUCT(($B$2:B1555=B1555)*($D$2:D1555=D1555)*($E$2:E1555=E1555)*($F$2:F1555=F1555)*($G$2:G1555=G1555)*($I$2:I1555="Duplicate"))&lt;=1,"",SUMPRODUCT(($B$2:B1555=B1555)*($D$2:D1555=D1555)*($E$2:E1555=E1555)*($F$2:F1555=F1555)*($G$2:G1555=G1555)*($I$2:I1555="Duplicate"))-1),"")&amp;".jpeg")</f>
        <v/>
      </c>
      <c r="L1555" s="6"/>
      <c r="M1555" s="5" t="str">
        <f>IFERROR(VLOOKUP(E1555,Specifications!$A$2:$D$9,2,FALSE),"")</f>
        <v/>
      </c>
      <c r="N1555" s="5" t="str">
        <f>IFERROR(VLOOKUP(E1555,Specifications!$A$2:$D$9,3,FALSE),"")</f>
        <v/>
      </c>
      <c r="O1555" s="5" t="str">
        <f>IFERROR(VLOOKUP(E1555,Specifications!$A$2:$D$9,4,FALSE),"")</f>
        <v/>
      </c>
      <c r="P1555" s="8" t="str">
        <f t="shared" si="75"/>
        <v/>
      </c>
      <c r="Q1555" s="9"/>
    </row>
    <row r="1556" spans="1:17" ht="15">
      <c r="A1556" s="5" t="str">
        <f t="shared" si="73"/>
        <v/>
      </c>
      <c r="B1556" s="6"/>
      <c r="C1556" s="5" t="str">
        <f>IFERROR(VLOOKUP(B1556,Lists!$A$2:$B$25,2,FALSE),"")</f>
        <v/>
      </c>
      <c r="D1556" s="7"/>
      <c r="E1556" s="6"/>
      <c r="F1556" s="6" t="str">
        <f t="shared" si="74"/>
        <v/>
      </c>
      <c r="G1556" s="6"/>
      <c r="H1556" s="6"/>
      <c r="I1556" s="6"/>
      <c r="J1556" s="7"/>
      <c r="K1556" s="5" t="str" cm="1">
        <f t="array" ref="K1556">IF(OR(A1556="",B1556="",D1556="",E1556=""),"",A1556&amp;"_"&amp;SUBSTITUTE(B1556," ","-")&amp;"_"&amp;D1556&amp;"_"&amp;SUBSTITUTE(SUBSTITUTE(E1556," ",""),"€","Euro")&amp;"_"&amp;IF(F1556="","Unknown",F1556)&amp;IF(F1556="Commemorative",IF(G1556="","","_"&amp;SUBSTITUTE(SUBSTITUTE(SUBSTITUTE(G1556," ","-"),"/","-"),CHAR(39),"")),"")&amp;IF(I1556="Duplicate","_Dub"&amp;IF(SUMPRODUCT(($B$2:B1556=B1556)*($D$2:D1556=D1556)*($E$2:E1556=E1556)*($F$2:F1556=F1556)*($G$2:G1556=G1556)*($I$2:I1556="Duplicate"))&lt;=1,"",SUMPRODUCT(($B$2:B1556=B1556)*($D$2:D1556=D1556)*($E$2:E1556=E1556)*($F$2:F1556=F1556)*($G$2:G1556=G1556)*($I$2:I1556="Duplicate"))-1),"")&amp;".jpeg")</f>
        <v/>
      </c>
      <c r="L1556" s="6"/>
      <c r="M1556" s="5" t="str">
        <f>IFERROR(VLOOKUP(E1556,Specifications!$A$2:$D$9,2,FALSE),"")</f>
        <v/>
      </c>
      <c r="N1556" s="5" t="str">
        <f>IFERROR(VLOOKUP(E1556,Specifications!$A$2:$D$9,3,FALSE),"")</f>
        <v/>
      </c>
      <c r="O1556" s="5" t="str">
        <f>IFERROR(VLOOKUP(E1556,Specifications!$A$2:$D$9,4,FALSE),"")</f>
        <v/>
      </c>
      <c r="P1556" s="8" t="str">
        <f t="shared" si="75"/>
        <v/>
      </c>
      <c r="Q1556" s="9"/>
    </row>
    <row r="1557" spans="1:17" ht="15">
      <c r="A1557" s="5" t="str">
        <f t="shared" si="73"/>
        <v/>
      </c>
      <c r="B1557" s="6"/>
      <c r="C1557" s="5" t="str">
        <f>IFERROR(VLOOKUP(B1557,Lists!$A$2:$B$25,2,FALSE),"")</f>
        <v/>
      </c>
      <c r="D1557" s="7"/>
      <c r="E1557" s="6"/>
      <c r="F1557" s="6" t="str">
        <f t="shared" si="74"/>
        <v/>
      </c>
      <c r="G1557" s="6"/>
      <c r="H1557" s="6"/>
      <c r="I1557" s="6"/>
      <c r="J1557" s="7"/>
      <c r="K1557" s="5" t="str" cm="1">
        <f t="array" ref="K1557">IF(OR(A1557="",B1557="",D1557="",E1557=""),"",A1557&amp;"_"&amp;SUBSTITUTE(B1557," ","-")&amp;"_"&amp;D1557&amp;"_"&amp;SUBSTITUTE(SUBSTITUTE(E1557," ",""),"€","Euro")&amp;"_"&amp;IF(F1557="","Unknown",F1557)&amp;IF(F1557="Commemorative",IF(G1557="","","_"&amp;SUBSTITUTE(SUBSTITUTE(SUBSTITUTE(G1557," ","-"),"/","-"),CHAR(39),"")),"")&amp;IF(I1557="Duplicate","_Dub"&amp;IF(SUMPRODUCT(($B$2:B1557=B1557)*($D$2:D1557=D1557)*($E$2:E1557=E1557)*($F$2:F1557=F1557)*($G$2:G1557=G1557)*($I$2:I1557="Duplicate"))&lt;=1,"",SUMPRODUCT(($B$2:B1557=B1557)*($D$2:D1557=D1557)*($E$2:E1557=E1557)*($F$2:F1557=F1557)*($G$2:G1557=G1557)*($I$2:I1557="Duplicate"))-1),"")&amp;".jpeg")</f>
        <v/>
      </c>
      <c r="L1557" s="6"/>
      <c r="M1557" s="5" t="str">
        <f>IFERROR(VLOOKUP(E1557,Specifications!$A$2:$D$9,2,FALSE),"")</f>
        <v/>
      </c>
      <c r="N1557" s="5" t="str">
        <f>IFERROR(VLOOKUP(E1557,Specifications!$A$2:$D$9,3,FALSE),"")</f>
        <v/>
      </c>
      <c r="O1557" s="5" t="str">
        <f>IFERROR(VLOOKUP(E1557,Specifications!$A$2:$D$9,4,FALSE),"")</f>
        <v/>
      </c>
      <c r="P1557" s="8" t="str">
        <f t="shared" si="75"/>
        <v/>
      </c>
      <c r="Q1557" s="9"/>
    </row>
    <row r="1558" spans="1:17" ht="15">
      <c r="A1558" s="5" t="str">
        <f t="shared" si="73"/>
        <v/>
      </c>
      <c r="B1558" s="6"/>
      <c r="C1558" s="5" t="str">
        <f>IFERROR(VLOOKUP(B1558,Lists!$A$2:$B$25,2,FALSE),"")</f>
        <v/>
      </c>
      <c r="D1558" s="7"/>
      <c r="E1558" s="6"/>
      <c r="F1558" s="6" t="str">
        <f t="shared" si="74"/>
        <v/>
      </c>
      <c r="G1558" s="6"/>
      <c r="H1558" s="6"/>
      <c r="I1558" s="6"/>
      <c r="J1558" s="7"/>
      <c r="K1558" s="5" t="str" cm="1">
        <f t="array" ref="K1558">IF(OR(A1558="",B1558="",D1558="",E1558=""),"",A1558&amp;"_"&amp;SUBSTITUTE(B1558," ","-")&amp;"_"&amp;D1558&amp;"_"&amp;SUBSTITUTE(SUBSTITUTE(E1558," ",""),"€","Euro")&amp;"_"&amp;IF(F1558="","Unknown",F1558)&amp;IF(F1558="Commemorative",IF(G1558="","","_"&amp;SUBSTITUTE(SUBSTITUTE(SUBSTITUTE(G1558," ","-"),"/","-"),CHAR(39),"")),"")&amp;IF(I1558="Duplicate","_Dub"&amp;IF(SUMPRODUCT(($B$2:B1558=B1558)*($D$2:D1558=D1558)*($E$2:E1558=E1558)*($F$2:F1558=F1558)*($G$2:G1558=G1558)*($I$2:I1558="Duplicate"))&lt;=1,"",SUMPRODUCT(($B$2:B1558=B1558)*($D$2:D1558=D1558)*($E$2:E1558=E1558)*($F$2:F1558=F1558)*($G$2:G1558=G1558)*($I$2:I1558="Duplicate"))-1),"")&amp;".jpeg")</f>
        <v/>
      </c>
      <c r="L1558" s="6"/>
      <c r="M1558" s="5" t="str">
        <f>IFERROR(VLOOKUP(E1558,Specifications!$A$2:$D$9,2,FALSE),"")</f>
        <v/>
      </c>
      <c r="N1558" s="5" t="str">
        <f>IFERROR(VLOOKUP(E1558,Specifications!$A$2:$D$9,3,FALSE),"")</f>
        <v/>
      </c>
      <c r="O1558" s="5" t="str">
        <f>IFERROR(VLOOKUP(E1558,Specifications!$A$2:$D$9,4,FALSE),"")</f>
        <v/>
      </c>
      <c r="P1558" s="8" t="str">
        <f t="shared" si="75"/>
        <v/>
      </c>
      <c r="Q1558" s="9"/>
    </row>
    <row r="1559" spans="1:17" ht="15">
      <c r="A1559" s="5" t="str">
        <f t="shared" si="73"/>
        <v/>
      </c>
      <c r="B1559" s="6"/>
      <c r="C1559" s="5" t="str">
        <f>IFERROR(VLOOKUP(B1559,Lists!$A$2:$B$25,2,FALSE),"")</f>
        <v/>
      </c>
      <c r="D1559" s="7"/>
      <c r="E1559" s="6"/>
      <c r="F1559" s="6" t="str">
        <f t="shared" si="74"/>
        <v/>
      </c>
      <c r="G1559" s="6"/>
      <c r="H1559" s="6"/>
      <c r="I1559" s="6"/>
      <c r="J1559" s="7"/>
      <c r="K1559" s="5" t="str" cm="1">
        <f t="array" ref="K1559">IF(OR(A1559="",B1559="",D1559="",E1559=""),"",A1559&amp;"_"&amp;SUBSTITUTE(B1559," ","-")&amp;"_"&amp;D1559&amp;"_"&amp;SUBSTITUTE(SUBSTITUTE(E1559," ",""),"€","Euro")&amp;"_"&amp;IF(F1559="","Unknown",F1559)&amp;IF(F1559="Commemorative",IF(G1559="","","_"&amp;SUBSTITUTE(SUBSTITUTE(SUBSTITUTE(G1559," ","-"),"/","-"),CHAR(39),"")),"")&amp;IF(I1559="Duplicate","_Dub"&amp;IF(SUMPRODUCT(($B$2:B1559=B1559)*($D$2:D1559=D1559)*($E$2:E1559=E1559)*($F$2:F1559=F1559)*($G$2:G1559=G1559)*($I$2:I1559="Duplicate"))&lt;=1,"",SUMPRODUCT(($B$2:B1559=B1559)*($D$2:D1559=D1559)*($E$2:E1559=E1559)*($F$2:F1559=F1559)*($G$2:G1559=G1559)*($I$2:I1559="Duplicate"))-1),"")&amp;".jpeg")</f>
        <v/>
      </c>
      <c r="L1559" s="6"/>
      <c r="M1559" s="5" t="str">
        <f>IFERROR(VLOOKUP(E1559,Specifications!$A$2:$D$9,2,FALSE),"")</f>
        <v/>
      </c>
      <c r="N1559" s="5" t="str">
        <f>IFERROR(VLOOKUP(E1559,Specifications!$A$2:$D$9,3,FALSE),"")</f>
        <v/>
      </c>
      <c r="O1559" s="5" t="str">
        <f>IFERROR(VLOOKUP(E1559,Specifications!$A$2:$D$9,4,FALSE),"")</f>
        <v/>
      </c>
      <c r="P1559" s="8" t="str">
        <f t="shared" si="75"/>
        <v/>
      </c>
      <c r="Q1559" s="9"/>
    </row>
    <row r="1560" spans="1:17" ht="15">
      <c r="A1560" s="5" t="str">
        <f t="shared" si="73"/>
        <v/>
      </c>
      <c r="B1560" s="6"/>
      <c r="C1560" s="5" t="str">
        <f>IFERROR(VLOOKUP(B1560,Lists!$A$2:$B$25,2,FALSE),"")</f>
        <v/>
      </c>
      <c r="D1560" s="7"/>
      <c r="E1560" s="6"/>
      <c r="F1560" s="6" t="str">
        <f t="shared" si="74"/>
        <v/>
      </c>
      <c r="G1560" s="6"/>
      <c r="H1560" s="6"/>
      <c r="I1560" s="6"/>
      <c r="J1560" s="7"/>
      <c r="K1560" s="5" t="str" cm="1">
        <f t="array" ref="K1560">IF(OR(A1560="",B1560="",D1560="",E1560=""),"",A1560&amp;"_"&amp;SUBSTITUTE(B1560," ","-")&amp;"_"&amp;D1560&amp;"_"&amp;SUBSTITUTE(SUBSTITUTE(E1560," ",""),"€","Euro")&amp;"_"&amp;IF(F1560="","Unknown",F1560)&amp;IF(F1560="Commemorative",IF(G1560="","","_"&amp;SUBSTITUTE(SUBSTITUTE(SUBSTITUTE(G1560," ","-"),"/","-"),CHAR(39),"")),"")&amp;IF(I1560="Duplicate","_Dub"&amp;IF(SUMPRODUCT(($B$2:B1560=B1560)*($D$2:D1560=D1560)*($E$2:E1560=E1560)*($F$2:F1560=F1560)*($G$2:G1560=G1560)*($I$2:I1560="Duplicate"))&lt;=1,"",SUMPRODUCT(($B$2:B1560=B1560)*($D$2:D1560=D1560)*($E$2:E1560=E1560)*($F$2:F1560=F1560)*($G$2:G1560=G1560)*($I$2:I1560="Duplicate"))-1),"")&amp;".jpeg")</f>
        <v/>
      </c>
      <c r="L1560" s="6"/>
      <c r="M1560" s="5" t="str">
        <f>IFERROR(VLOOKUP(E1560,Specifications!$A$2:$D$9,2,FALSE),"")</f>
        <v/>
      </c>
      <c r="N1560" s="5" t="str">
        <f>IFERROR(VLOOKUP(E1560,Specifications!$A$2:$D$9,3,FALSE),"")</f>
        <v/>
      </c>
      <c r="O1560" s="5" t="str">
        <f>IFERROR(VLOOKUP(E1560,Specifications!$A$2:$D$9,4,FALSE),"")</f>
        <v/>
      </c>
      <c r="P1560" s="8" t="str">
        <f t="shared" si="75"/>
        <v/>
      </c>
      <c r="Q1560" s="9"/>
    </row>
    <row r="1561" spans="1:17" ht="15">
      <c r="A1561" s="5" t="str">
        <f t="shared" si="73"/>
        <v/>
      </c>
      <c r="B1561" s="6"/>
      <c r="C1561" s="5" t="str">
        <f>IFERROR(VLOOKUP(B1561,Lists!$A$2:$B$25,2,FALSE),"")</f>
        <v/>
      </c>
      <c r="D1561" s="7"/>
      <c r="E1561" s="6"/>
      <c r="F1561" s="6" t="str">
        <f t="shared" si="74"/>
        <v/>
      </c>
      <c r="G1561" s="6"/>
      <c r="H1561" s="6"/>
      <c r="I1561" s="6"/>
      <c r="J1561" s="7"/>
      <c r="K1561" s="5" t="str" cm="1">
        <f t="array" ref="K1561">IF(OR(A1561="",B1561="",D1561="",E1561=""),"",A1561&amp;"_"&amp;SUBSTITUTE(B1561," ","-")&amp;"_"&amp;D1561&amp;"_"&amp;SUBSTITUTE(SUBSTITUTE(E1561," ",""),"€","Euro")&amp;"_"&amp;IF(F1561="","Unknown",F1561)&amp;IF(F1561="Commemorative",IF(G1561="","","_"&amp;SUBSTITUTE(SUBSTITUTE(SUBSTITUTE(G1561," ","-"),"/","-"),CHAR(39),"")),"")&amp;IF(I1561="Duplicate","_Dub"&amp;IF(SUMPRODUCT(($B$2:B1561=B1561)*($D$2:D1561=D1561)*($E$2:E1561=E1561)*($F$2:F1561=F1561)*($G$2:G1561=G1561)*($I$2:I1561="Duplicate"))&lt;=1,"",SUMPRODUCT(($B$2:B1561=B1561)*($D$2:D1561=D1561)*($E$2:E1561=E1561)*($F$2:F1561=F1561)*($G$2:G1561=G1561)*($I$2:I1561="Duplicate"))-1),"")&amp;".jpeg")</f>
        <v/>
      </c>
      <c r="L1561" s="6"/>
      <c r="M1561" s="5" t="str">
        <f>IFERROR(VLOOKUP(E1561,Specifications!$A$2:$D$9,2,FALSE),"")</f>
        <v/>
      </c>
      <c r="N1561" s="5" t="str">
        <f>IFERROR(VLOOKUP(E1561,Specifications!$A$2:$D$9,3,FALSE),"")</f>
        <v/>
      </c>
      <c r="O1561" s="5" t="str">
        <f>IFERROR(VLOOKUP(E1561,Specifications!$A$2:$D$9,4,FALSE),"")</f>
        <v/>
      </c>
      <c r="P1561" s="8" t="str">
        <f t="shared" si="75"/>
        <v/>
      </c>
      <c r="Q1561" s="9"/>
    </row>
    <row r="1562" spans="1:17" ht="15">
      <c r="A1562" s="5" t="str">
        <f t="shared" si="73"/>
        <v/>
      </c>
      <c r="B1562" s="6"/>
      <c r="C1562" s="5" t="str">
        <f>IFERROR(VLOOKUP(B1562,Lists!$A$2:$B$25,2,FALSE),"")</f>
        <v/>
      </c>
      <c r="D1562" s="7"/>
      <c r="E1562" s="6"/>
      <c r="F1562" s="6" t="str">
        <f t="shared" si="74"/>
        <v/>
      </c>
      <c r="G1562" s="6"/>
      <c r="H1562" s="6"/>
      <c r="I1562" s="6"/>
      <c r="J1562" s="7"/>
      <c r="K1562" s="5" t="str" cm="1">
        <f t="array" ref="K1562">IF(OR(A1562="",B1562="",D1562="",E1562=""),"",A1562&amp;"_"&amp;SUBSTITUTE(B1562," ","-")&amp;"_"&amp;D1562&amp;"_"&amp;SUBSTITUTE(SUBSTITUTE(E1562," ",""),"€","Euro")&amp;"_"&amp;IF(F1562="","Unknown",F1562)&amp;IF(F1562="Commemorative",IF(G1562="","","_"&amp;SUBSTITUTE(SUBSTITUTE(SUBSTITUTE(G1562," ","-"),"/","-"),CHAR(39),"")),"")&amp;IF(I1562="Duplicate","_Dub"&amp;IF(SUMPRODUCT(($B$2:B1562=B1562)*($D$2:D1562=D1562)*($E$2:E1562=E1562)*($F$2:F1562=F1562)*($G$2:G1562=G1562)*($I$2:I1562="Duplicate"))&lt;=1,"",SUMPRODUCT(($B$2:B1562=B1562)*($D$2:D1562=D1562)*($E$2:E1562=E1562)*($F$2:F1562=F1562)*($G$2:G1562=G1562)*($I$2:I1562="Duplicate"))-1),"")&amp;".jpeg")</f>
        <v/>
      </c>
      <c r="L1562" s="6"/>
      <c r="M1562" s="5" t="str">
        <f>IFERROR(VLOOKUP(E1562,Specifications!$A$2:$D$9,2,FALSE),"")</f>
        <v/>
      </c>
      <c r="N1562" s="5" t="str">
        <f>IFERROR(VLOOKUP(E1562,Specifications!$A$2:$D$9,3,FALSE),"")</f>
        <v/>
      </c>
      <c r="O1562" s="5" t="str">
        <f>IFERROR(VLOOKUP(E1562,Specifications!$A$2:$D$9,4,FALSE),"")</f>
        <v/>
      </c>
      <c r="P1562" s="8" t="str">
        <f t="shared" si="75"/>
        <v/>
      </c>
      <c r="Q1562" s="9"/>
    </row>
    <row r="1563" spans="1:17" ht="15">
      <c r="A1563" s="5" t="str">
        <f t="shared" si="73"/>
        <v/>
      </c>
      <c r="B1563" s="6"/>
      <c r="C1563" s="5" t="str">
        <f>IFERROR(VLOOKUP(B1563,Lists!$A$2:$B$25,2,FALSE),"")</f>
        <v/>
      </c>
      <c r="D1563" s="7"/>
      <c r="E1563" s="6"/>
      <c r="F1563" s="6" t="str">
        <f t="shared" si="74"/>
        <v/>
      </c>
      <c r="G1563" s="6"/>
      <c r="H1563" s="6"/>
      <c r="I1563" s="6"/>
      <c r="J1563" s="7"/>
      <c r="K1563" s="5" t="str" cm="1">
        <f t="array" ref="K1563">IF(OR(A1563="",B1563="",D1563="",E1563=""),"",A1563&amp;"_"&amp;SUBSTITUTE(B1563," ","-")&amp;"_"&amp;D1563&amp;"_"&amp;SUBSTITUTE(SUBSTITUTE(E1563," ",""),"€","Euro")&amp;"_"&amp;IF(F1563="","Unknown",F1563)&amp;IF(F1563="Commemorative",IF(G1563="","","_"&amp;SUBSTITUTE(SUBSTITUTE(SUBSTITUTE(G1563," ","-"),"/","-"),CHAR(39),"")),"")&amp;IF(I1563="Duplicate","_Dub"&amp;IF(SUMPRODUCT(($B$2:B1563=B1563)*($D$2:D1563=D1563)*($E$2:E1563=E1563)*($F$2:F1563=F1563)*($G$2:G1563=G1563)*($I$2:I1563="Duplicate"))&lt;=1,"",SUMPRODUCT(($B$2:B1563=B1563)*($D$2:D1563=D1563)*($E$2:E1563=E1563)*($F$2:F1563=F1563)*($G$2:G1563=G1563)*($I$2:I1563="Duplicate"))-1),"")&amp;".jpeg")</f>
        <v/>
      </c>
      <c r="L1563" s="6"/>
      <c r="M1563" s="5" t="str">
        <f>IFERROR(VLOOKUP(E1563,Specifications!$A$2:$D$9,2,FALSE),"")</f>
        <v/>
      </c>
      <c r="N1563" s="5" t="str">
        <f>IFERROR(VLOOKUP(E1563,Specifications!$A$2:$D$9,3,FALSE),"")</f>
        <v/>
      </c>
      <c r="O1563" s="5" t="str">
        <f>IFERROR(VLOOKUP(E1563,Specifications!$A$2:$D$9,4,FALSE),"")</f>
        <v/>
      </c>
      <c r="P1563" s="8" t="str">
        <f t="shared" si="75"/>
        <v/>
      </c>
      <c r="Q1563" s="9"/>
    </row>
    <row r="1564" spans="1:17" ht="15">
      <c r="A1564" s="5" t="str">
        <f t="shared" si="73"/>
        <v/>
      </c>
      <c r="B1564" s="6"/>
      <c r="C1564" s="5" t="str">
        <f>IFERROR(VLOOKUP(B1564,Lists!$A$2:$B$25,2,FALSE),"")</f>
        <v/>
      </c>
      <c r="D1564" s="7"/>
      <c r="E1564" s="6"/>
      <c r="F1564" s="6" t="str">
        <f t="shared" si="74"/>
        <v/>
      </c>
      <c r="G1564" s="6"/>
      <c r="H1564" s="6"/>
      <c r="I1564" s="6"/>
      <c r="J1564" s="7"/>
      <c r="K1564" s="5" t="str" cm="1">
        <f t="array" ref="K1564">IF(OR(A1564="",B1564="",D1564="",E1564=""),"",A1564&amp;"_"&amp;SUBSTITUTE(B1564," ","-")&amp;"_"&amp;D1564&amp;"_"&amp;SUBSTITUTE(SUBSTITUTE(E1564," ",""),"€","Euro")&amp;"_"&amp;IF(F1564="","Unknown",F1564)&amp;IF(F1564="Commemorative",IF(G1564="","","_"&amp;SUBSTITUTE(SUBSTITUTE(SUBSTITUTE(G1564," ","-"),"/","-"),CHAR(39),"")),"")&amp;IF(I1564="Duplicate","_Dub"&amp;IF(SUMPRODUCT(($B$2:B1564=B1564)*($D$2:D1564=D1564)*($E$2:E1564=E1564)*($F$2:F1564=F1564)*($G$2:G1564=G1564)*($I$2:I1564="Duplicate"))&lt;=1,"",SUMPRODUCT(($B$2:B1564=B1564)*($D$2:D1564=D1564)*($E$2:E1564=E1564)*($F$2:F1564=F1564)*($G$2:G1564=G1564)*($I$2:I1564="Duplicate"))-1),"")&amp;".jpeg")</f>
        <v/>
      </c>
      <c r="L1564" s="6"/>
      <c r="M1564" s="5" t="str">
        <f>IFERROR(VLOOKUP(E1564,Specifications!$A$2:$D$9,2,FALSE),"")</f>
        <v/>
      </c>
      <c r="N1564" s="5" t="str">
        <f>IFERROR(VLOOKUP(E1564,Specifications!$A$2:$D$9,3,FALSE),"")</f>
        <v/>
      </c>
      <c r="O1564" s="5" t="str">
        <f>IFERROR(VLOOKUP(E1564,Specifications!$A$2:$D$9,4,FALSE),"")</f>
        <v/>
      </c>
      <c r="P1564" s="8" t="str">
        <f t="shared" si="75"/>
        <v/>
      </c>
      <c r="Q1564" s="9"/>
    </row>
    <row r="1565" spans="1:17" ht="15">
      <c r="A1565" s="5" t="str">
        <f t="shared" si="73"/>
        <v/>
      </c>
      <c r="B1565" s="6"/>
      <c r="C1565" s="5" t="str">
        <f>IFERROR(VLOOKUP(B1565,Lists!$A$2:$B$25,2,FALSE),"")</f>
        <v/>
      </c>
      <c r="D1565" s="7"/>
      <c r="E1565" s="6"/>
      <c r="F1565" s="6" t="str">
        <f t="shared" si="74"/>
        <v/>
      </c>
      <c r="G1565" s="6"/>
      <c r="H1565" s="6"/>
      <c r="I1565" s="6"/>
      <c r="J1565" s="7"/>
      <c r="K1565" s="5" t="str" cm="1">
        <f t="array" ref="K1565">IF(OR(A1565="",B1565="",D1565="",E1565=""),"",A1565&amp;"_"&amp;SUBSTITUTE(B1565," ","-")&amp;"_"&amp;D1565&amp;"_"&amp;SUBSTITUTE(SUBSTITUTE(E1565," ",""),"€","Euro")&amp;"_"&amp;IF(F1565="","Unknown",F1565)&amp;IF(F1565="Commemorative",IF(G1565="","","_"&amp;SUBSTITUTE(SUBSTITUTE(SUBSTITUTE(G1565," ","-"),"/","-"),CHAR(39),"")),"")&amp;IF(I1565="Duplicate","_Dub"&amp;IF(SUMPRODUCT(($B$2:B1565=B1565)*($D$2:D1565=D1565)*($E$2:E1565=E1565)*($F$2:F1565=F1565)*($G$2:G1565=G1565)*($I$2:I1565="Duplicate"))&lt;=1,"",SUMPRODUCT(($B$2:B1565=B1565)*($D$2:D1565=D1565)*($E$2:E1565=E1565)*($F$2:F1565=F1565)*($G$2:G1565=G1565)*($I$2:I1565="Duplicate"))-1),"")&amp;".jpeg")</f>
        <v/>
      </c>
      <c r="L1565" s="6"/>
      <c r="M1565" s="5" t="str">
        <f>IFERROR(VLOOKUP(E1565,Specifications!$A$2:$D$9,2,FALSE),"")</f>
        <v/>
      </c>
      <c r="N1565" s="5" t="str">
        <f>IFERROR(VLOOKUP(E1565,Specifications!$A$2:$D$9,3,FALSE),"")</f>
        <v/>
      </c>
      <c r="O1565" s="5" t="str">
        <f>IFERROR(VLOOKUP(E1565,Specifications!$A$2:$D$9,4,FALSE),"")</f>
        <v/>
      </c>
      <c r="P1565" s="8" t="str">
        <f t="shared" si="75"/>
        <v/>
      </c>
      <c r="Q1565" s="9"/>
    </row>
    <row r="1566" spans="1:17" ht="15">
      <c r="A1566" s="5" t="str">
        <f t="shared" si="73"/>
        <v/>
      </c>
      <c r="B1566" s="6"/>
      <c r="C1566" s="5" t="str">
        <f>IFERROR(VLOOKUP(B1566,Lists!$A$2:$B$25,2,FALSE),"")</f>
        <v/>
      </c>
      <c r="D1566" s="7"/>
      <c r="E1566" s="6"/>
      <c r="F1566" s="6" t="str">
        <f t="shared" si="74"/>
        <v/>
      </c>
      <c r="G1566" s="6"/>
      <c r="H1566" s="6"/>
      <c r="I1566" s="6"/>
      <c r="J1566" s="7"/>
      <c r="K1566" s="5" t="str" cm="1">
        <f t="array" ref="K1566">IF(OR(A1566="",B1566="",D1566="",E1566=""),"",A1566&amp;"_"&amp;SUBSTITUTE(B1566," ","-")&amp;"_"&amp;D1566&amp;"_"&amp;SUBSTITUTE(SUBSTITUTE(E1566," ",""),"€","Euro")&amp;"_"&amp;IF(F1566="","Unknown",F1566)&amp;IF(F1566="Commemorative",IF(G1566="","","_"&amp;SUBSTITUTE(SUBSTITUTE(SUBSTITUTE(G1566," ","-"),"/","-"),CHAR(39),"")),"")&amp;IF(I1566="Duplicate","_Dub"&amp;IF(SUMPRODUCT(($B$2:B1566=B1566)*($D$2:D1566=D1566)*($E$2:E1566=E1566)*($F$2:F1566=F1566)*($G$2:G1566=G1566)*($I$2:I1566="Duplicate"))&lt;=1,"",SUMPRODUCT(($B$2:B1566=B1566)*($D$2:D1566=D1566)*($E$2:E1566=E1566)*($F$2:F1566=F1566)*($G$2:G1566=G1566)*($I$2:I1566="Duplicate"))-1),"")&amp;".jpeg")</f>
        <v/>
      </c>
      <c r="L1566" s="6"/>
      <c r="M1566" s="5" t="str">
        <f>IFERROR(VLOOKUP(E1566,Specifications!$A$2:$D$9,2,FALSE),"")</f>
        <v/>
      </c>
      <c r="N1566" s="5" t="str">
        <f>IFERROR(VLOOKUP(E1566,Specifications!$A$2:$D$9,3,FALSE),"")</f>
        <v/>
      </c>
      <c r="O1566" s="5" t="str">
        <f>IFERROR(VLOOKUP(E1566,Specifications!$A$2:$D$9,4,FALSE),"")</f>
        <v/>
      </c>
      <c r="P1566" s="8" t="str">
        <f t="shared" si="75"/>
        <v/>
      </c>
      <c r="Q1566" s="9"/>
    </row>
    <row r="1567" spans="1:17" ht="15">
      <c r="A1567" s="5" t="str">
        <f t="shared" si="73"/>
        <v/>
      </c>
      <c r="B1567" s="6"/>
      <c r="C1567" s="5" t="str">
        <f>IFERROR(VLOOKUP(B1567,Lists!$A$2:$B$25,2,FALSE),"")</f>
        <v/>
      </c>
      <c r="D1567" s="7"/>
      <c r="E1567" s="6"/>
      <c r="F1567" s="6" t="str">
        <f t="shared" si="74"/>
        <v/>
      </c>
      <c r="G1567" s="6"/>
      <c r="H1567" s="6"/>
      <c r="I1567" s="6"/>
      <c r="J1567" s="7"/>
      <c r="K1567" s="5" t="str" cm="1">
        <f t="array" ref="K1567">IF(OR(A1567="",B1567="",D1567="",E1567=""),"",A1567&amp;"_"&amp;SUBSTITUTE(B1567," ","-")&amp;"_"&amp;D1567&amp;"_"&amp;SUBSTITUTE(SUBSTITUTE(E1567," ",""),"€","Euro")&amp;"_"&amp;IF(F1567="","Unknown",F1567)&amp;IF(F1567="Commemorative",IF(G1567="","","_"&amp;SUBSTITUTE(SUBSTITUTE(SUBSTITUTE(G1567," ","-"),"/","-"),CHAR(39),"")),"")&amp;IF(I1567="Duplicate","_Dub"&amp;IF(SUMPRODUCT(($B$2:B1567=B1567)*($D$2:D1567=D1567)*($E$2:E1567=E1567)*($F$2:F1567=F1567)*($G$2:G1567=G1567)*($I$2:I1567="Duplicate"))&lt;=1,"",SUMPRODUCT(($B$2:B1567=B1567)*($D$2:D1567=D1567)*($E$2:E1567=E1567)*($F$2:F1567=F1567)*($G$2:G1567=G1567)*($I$2:I1567="Duplicate"))-1),"")&amp;".jpeg")</f>
        <v/>
      </c>
      <c r="L1567" s="6"/>
      <c r="M1567" s="5" t="str">
        <f>IFERROR(VLOOKUP(E1567,Specifications!$A$2:$D$9,2,FALSE),"")</f>
        <v/>
      </c>
      <c r="N1567" s="5" t="str">
        <f>IFERROR(VLOOKUP(E1567,Specifications!$A$2:$D$9,3,FALSE),"")</f>
        <v/>
      </c>
      <c r="O1567" s="5" t="str">
        <f>IFERROR(VLOOKUP(E1567,Specifications!$A$2:$D$9,4,FALSE),"")</f>
        <v/>
      </c>
      <c r="P1567" s="8" t="str">
        <f t="shared" si="75"/>
        <v/>
      </c>
      <c r="Q1567" s="9"/>
    </row>
    <row r="1568" spans="1:17" ht="15">
      <c r="A1568" s="5" t="str">
        <f t="shared" si="73"/>
        <v/>
      </c>
      <c r="B1568" s="6"/>
      <c r="C1568" s="5" t="str">
        <f>IFERROR(VLOOKUP(B1568,Lists!$A$2:$B$25,2,FALSE),"")</f>
        <v/>
      </c>
      <c r="D1568" s="7"/>
      <c r="E1568" s="6"/>
      <c r="F1568" s="6" t="str">
        <f t="shared" si="74"/>
        <v/>
      </c>
      <c r="G1568" s="6"/>
      <c r="H1568" s="6"/>
      <c r="I1568" s="6"/>
      <c r="J1568" s="7"/>
      <c r="K1568" s="5" t="str" cm="1">
        <f t="array" ref="K1568">IF(OR(A1568="",B1568="",D1568="",E1568=""),"",A1568&amp;"_"&amp;SUBSTITUTE(B1568," ","-")&amp;"_"&amp;D1568&amp;"_"&amp;SUBSTITUTE(SUBSTITUTE(E1568," ",""),"€","Euro")&amp;"_"&amp;IF(F1568="","Unknown",F1568)&amp;IF(F1568="Commemorative",IF(G1568="","","_"&amp;SUBSTITUTE(SUBSTITUTE(SUBSTITUTE(G1568," ","-"),"/","-"),CHAR(39),"")),"")&amp;IF(I1568="Duplicate","_Dub"&amp;IF(SUMPRODUCT(($B$2:B1568=B1568)*($D$2:D1568=D1568)*($E$2:E1568=E1568)*($F$2:F1568=F1568)*($G$2:G1568=G1568)*($I$2:I1568="Duplicate"))&lt;=1,"",SUMPRODUCT(($B$2:B1568=B1568)*($D$2:D1568=D1568)*($E$2:E1568=E1568)*($F$2:F1568=F1568)*($G$2:G1568=G1568)*($I$2:I1568="Duplicate"))-1),"")&amp;".jpeg")</f>
        <v/>
      </c>
      <c r="L1568" s="6"/>
      <c r="M1568" s="5" t="str">
        <f>IFERROR(VLOOKUP(E1568,Specifications!$A$2:$D$9,2,FALSE),"")</f>
        <v/>
      </c>
      <c r="N1568" s="5" t="str">
        <f>IFERROR(VLOOKUP(E1568,Specifications!$A$2:$D$9,3,FALSE),"")</f>
        <v/>
      </c>
      <c r="O1568" s="5" t="str">
        <f>IFERROR(VLOOKUP(E1568,Specifications!$A$2:$D$9,4,FALSE),"")</f>
        <v/>
      </c>
      <c r="P1568" s="8" t="str">
        <f t="shared" si="75"/>
        <v/>
      </c>
      <c r="Q1568" s="9"/>
    </row>
    <row r="1569" spans="1:17" ht="15">
      <c r="A1569" s="5" t="str">
        <f t="shared" si="73"/>
        <v/>
      </c>
      <c r="B1569" s="6"/>
      <c r="C1569" s="5" t="str">
        <f>IFERROR(VLOOKUP(B1569,Lists!$A$2:$B$25,2,FALSE),"")</f>
        <v/>
      </c>
      <c r="D1569" s="7"/>
      <c r="E1569" s="6"/>
      <c r="F1569" s="6" t="str">
        <f t="shared" si="74"/>
        <v/>
      </c>
      <c r="G1569" s="6"/>
      <c r="H1569" s="6"/>
      <c r="I1569" s="6"/>
      <c r="J1569" s="7"/>
      <c r="K1569" s="5" t="str" cm="1">
        <f t="array" ref="K1569">IF(OR(A1569="",B1569="",D1569="",E1569=""),"",A1569&amp;"_"&amp;SUBSTITUTE(B1569," ","-")&amp;"_"&amp;D1569&amp;"_"&amp;SUBSTITUTE(SUBSTITUTE(E1569," ",""),"€","Euro")&amp;"_"&amp;IF(F1569="","Unknown",F1569)&amp;IF(F1569="Commemorative",IF(G1569="","","_"&amp;SUBSTITUTE(SUBSTITUTE(SUBSTITUTE(G1569," ","-"),"/","-"),CHAR(39),"")),"")&amp;IF(I1569="Duplicate","_Dub"&amp;IF(SUMPRODUCT(($B$2:B1569=B1569)*($D$2:D1569=D1569)*($E$2:E1569=E1569)*($F$2:F1569=F1569)*($G$2:G1569=G1569)*($I$2:I1569="Duplicate"))&lt;=1,"",SUMPRODUCT(($B$2:B1569=B1569)*($D$2:D1569=D1569)*($E$2:E1569=E1569)*($F$2:F1569=F1569)*($G$2:G1569=G1569)*($I$2:I1569="Duplicate"))-1),"")&amp;".jpeg")</f>
        <v/>
      </c>
      <c r="L1569" s="6"/>
      <c r="M1569" s="5" t="str">
        <f>IFERROR(VLOOKUP(E1569,Specifications!$A$2:$D$9,2,FALSE),"")</f>
        <v/>
      </c>
      <c r="N1569" s="5" t="str">
        <f>IFERROR(VLOOKUP(E1569,Specifications!$A$2:$D$9,3,FALSE),"")</f>
        <v/>
      </c>
      <c r="O1569" s="5" t="str">
        <f>IFERROR(VLOOKUP(E1569,Specifications!$A$2:$D$9,4,FALSE),"")</f>
        <v/>
      </c>
      <c r="P1569" s="8" t="str">
        <f t="shared" si="75"/>
        <v/>
      </c>
      <c r="Q1569" s="9"/>
    </row>
    <row r="1570" spans="1:17" ht="15">
      <c r="A1570" s="5" t="str">
        <f t="shared" si="73"/>
        <v/>
      </c>
      <c r="B1570" s="6"/>
      <c r="C1570" s="5" t="str">
        <f>IFERROR(VLOOKUP(B1570,Lists!$A$2:$B$25,2,FALSE),"")</f>
        <v/>
      </c>
      <c r="D1570" s="7"/>
      <c r="E1570" s="6"/>
      <c r="F1570" s="6" t="str">
        <f t="shared" si="74"/>
        <v/>
      </c>
      <c r="G1570" s="6"/>
      <c r="H1570" s="6"/>
      <c r="I1570" s="6"/>
      <c r="J1570" s="7"/>
      <c r="K1570" s="5" t="str" cm="1">
        <f t="array" ref="K1570">IF(OR(A1570="",B1570="",D1570="",E1570=""),"",A1570&amp;"_"&amp;SUBSTITUTE(B1570," ","-")&amp;"_"&amp;D1570&amp;"_"&amp;SUBSTITUTE(SUBSTITUTE(E1570," ",""),"€","Euro")&amp;"_"&amp;IF(F1570="","Unknown",F1570)&amp;IF(F1570="Commemorative",IF(G1570="","","_"&amp;SUBSTITUTE(SUBSTITUTE(SUBSTITUTE(G1570," ","-"),"/","-"),CHAR(39),"")),"")&amp;IF(I1570="Duplicate","_Dub"&amp;IF(SUMPRODUCT(($B$2:B1570=B1570)*($D$2:D1570=D1570)*($E$2:E1570=E1570)*($F$2:F1570=F1570)*($G$2:G1570=G1570)*($I$2:I1570="Duplicate"))&lt;=1,"",SUMPRODUCT(($B$2:B1570=B1570)*($D$2:D1570=D1570)*($E$2:E1570=E1570)*($F$2:F1570=F1570)*($G$2:G1570=G1570)*($I$2:I1570="Duplicate"))-1),"")&amp;".jpeg")</f>
        <v/>
      </c>
      <c r="L1570" s="6"/>
      <c r="M1570" s="5" t="str">
        <f>IFERROR(VLOOKUP(E1570,Specifications!$A$2:$D$9,2,FALSE),"")</f>
        <v/>
      </c>
      <c r="N1570" s="5" t="str">
        <f>IFERROR(VLOOKUP(E1570,Specifications!$A$2:$D$9,3,FALSE),"")</f>
        <v/>
      </c>
      <c r="O1570" s="5" t="str">
        <f>IFERROR(VLOOKUP(E1570,Specifications!$A$2:$D$9,4,FALSE),"")</f>
        <v/>
      </c>
      <c r="P1570" s="8" t="str">
        <f t="shared" si="75"/>
        <v/>
      </c>
      <c r="Q1570" s="9"/>
    </row>
    <row r="1571" spans="1:17" ht="15">
      <c r="A1571" s="5" t="str">
        <f t="shared" si="73"/>
        <v/>
      </c>
      <c r="B1571" s="6"/>
      <c r="C1571" s="5" t="str">
        <f>IFERROR(VLOOKUP(B1571,Lists!$A$2:$B$25,2,FALSE),"")</f>
        <v/>
      </c>
      <c r="D1571" s="7"/>
      <c r="E1571" s="6"/>
      <c r="F1571" s="6" t="str">
        <f t="shared" si="74"/>
        <v/>
      </c>
      <c r="G1571" s="6"/>
      <c r="H1571" s="6"/>
      <c r="I1571" s="6"/>
      <c r="J1571" s="7"/>
      <c r="K1571" s="5" t="str" cm="1">
        <f t="array" ref="K1571">IF(OR(A1571="",B1571="",D1571="",E1571=""),"",A1571&amp;"_"&amp;SUBSTITUTE(B1571," ","-")&amp;"_"&amp;D1571&amp;"_"&amp;SUBSTITUTE(SUBSTITUTE(E1571," ",""),"€","Euro")&amp;"_"&amp;IF(F1571="","Unknown",F1571)&amp;IF(F1571="Commemorative",IF(G1571="","","_"&amp;SUBSTITUTE(SUBSTITUTE(SUBSTITUTE(G1571," ","-"),"/","-"),CHAR(39),"")),"")&amp;IF(I1571="Duplicate","_Dub"&amp;IF(SUMPRODUCT(($B$2:B1571=B1571)*($D$2:D1571=D1571)*($E$2:E1571=E1571)*($F$2:F1571=F1571)*($G$2:G1571=G1571)*($I$2:I1571="Duplicate"))&lt;=1,"",SUMPRODUCT(($B$2:B1571=B1571)*($D$2:D1571=D1571)*($E$2:E1571=E1571)*($F$2:F1571=F1571)*($G$2:G1571=G1571)*($I$2:I1571="Duplicate"))-1),"")&amp;".jpeg")</f>
        <v/>
      </c>
      <c r="L1571" s="6"/>
      <c r="M1571" s="5" t="str">
        <f>IFERROR(VLOOKUP(E1571,Specifications!$A$2:$D$9,2,FALSE),"")</f>
        <v/>
      </c>
      <c r="N1571" s="5" t="str">
        <f>IFERROR(VLOOKUP(E1571,Specifications!$A$2:$D$9,3,FALSE),"")</f>
        <v/>
      </c>
      <c r="O1571" s="5" t="str">
        <f>IFERROR(VLOOKUP(E1571,Specifications!$A$2:$D$9,4,FALSE),"")</f>
        <v/>
      </c>
      <c r="P1571" s="8" t="str">
        <f t="shared" si="75"/>
        <v/>
      </c>
      <c r="Q1571" s="9"/>
    </row>
    <row r="1572" spans="1:17" ht="15">
      <c r="A1572" s="5" t="str">
        <f t="shared" si="73"/>
        <v/>
      </c>
      <c r="B1572" s="6"/>
      <c r="C1572" s="5" t="str">
        <f>IFERROR(VLOOKUP(B1572,Lists!$A$2:$B$25,2,FALSE),"")</f>
        <v/>
      </c>
      <c r="D1572" s="7"/>
      <c r="E1572" s="6"/>
      <c r="F1572" s="6" t="str">
        <f t="shared" si="74"/>
        <v/>
      </c>
      <c r="G1572" s="6"/>
      <c r="H1572" s="6"/>
      <c r="I1572" s="6"/>
      <c r="J1572" s="7"/>
      <c r="K1572" s="5" t="str" cm="1">
        <f t="array" ref="K1572">IF(OR(A1572="",B1572="",D1572="",E1572=""),"",A1572&amp;"_"&amp;SUBSTITUTE(B1572," ","-")&amp;"_"&amp;D1572&amp;"_"&amp;SUBSTITUTE(SUBSTITUTE(E1572," ",""),"€","Euro")&amp;"_"&amp;IF(F1572="","Unknown",F1572)&amp;IF(F1572="Commemorative",IF(G1572="","","_"&amp;SUBSTITUTE(SUBSTITUTE(SUBSTITUTE(G1572," ","-"),"/","-"),CHAR(39),"")),"")&amp;IF(I1572="Duplicate","_Dub"&amp;IF(SUMPRODUCT(($B$2:B1572=B1572)*($D$2:D1572=D1572)*($E$2:E1572=E1572)*($F$2:F1572=F1572)*($G$2:G1572=G1572)*($I$2:I1572="Duplicate"))&lt;=1,"",SUMPRODUCT(($B$2:B1572=B1572)*($D$2:D1572=D1572)*($E$2:E1572=E1572)*($F$2:F1572=F1572)*($G$2:G1572=G1572)*($I$2:I1572="Duplicate"))-1),"")&amp;".jpeg")</f>
        <v/>
      </c>
      <c r="L1572" s="6"/>
      <c r="M1572" s="5" t="str">
        <f>IFERROR(VLOOKUP(E1572,Specifications!$A$2:$D$9,2,FALSE),"")</f>
        <v/>
      </c>
      <c r="N1572" s="5" t="str">
        <f>IFERROR(VLOOKUP(E1572,Specifications!$A$2:$D$9,3,FALSE),"")</f>
        <v/>
      </c>
      <c r="O1572" s="5" t="str">
        <f>IFERROR(VLOOKUP(E1572,Specifications!$A$2:$D$9,4,FALSE),"")</f>
        <v/>
      </c>
      <c r="P1572" s="8" t="str">
        <f t="shared" si="75"/>
        <v/>
      </c>
      <c r="Q1572" s="9"/>
    </row>
    <row r="1573" spans="1:17" ht="15">
      <c r="A1573" s="5" t="str">
        <f t="shared" si="73"/>
        <v/>
      </c>
      <c r="B1573" s="6"/>
      <c r="C1573" s="5" t="str">
        <f>IFERROR(VLOOKUP(B1573,Lists!$A$2:$B$25,2,FALSE),"")</f>
        <v/>
      </c>
      <c r="D1573" s="7"/>
      <c r="E1573" s="6"/>
      <c r="F1573" s="6" t="str">
        <f t="shared" si="74"/>
        <v/>
      </c>
      <c r="G1573" s="6"/>
      <c r="H1573" s="6"/>
      <c r="I1573" s="6"/>
      <c r="J1573" s="7"/>
      <c r="K1573" s="5" t="str" cm="1">
        <f t="array" ref="K1573">IF(OR(A1573="",B1573="",D1573="",E1573=""),"",A1573&amp;"_"&amp;SUBSTITUTE(B1573," ","-")&amp;"_"&amp;D1573&amp;"_"&amp;SUBSTITUTE(SUBSTITUTE(E1573," ",""),"€","Euro")&amp;"_"&amp;IF(F1573="","Unknown",F1573)&amp;IF(F1573="Commemorative",IF(G1573="","","_"&amp;SUBSTITUTE(SUBSTITUTE(SUBSTITUTE(G1573," ","-"),"/","-"),CHAR(39),"")),"")&amp;IF(I1573="Duplicate","_Dub"&amp;IF(SUMPRODUCT(($B$2:B1573=B1573)*($D$2:D1573=D1573)*($E$2:E1573=E1573)*($F$2:F1573=F1573)*($G$2:G1573=G1573)*($I$2:I1573="Duplicate"))&lt;=1,"",SUMPRODUCT(($B$2:B1573=B1573)*($D$2:D1573=D1573)*($E$2:E1573=E1573)*($F$2:F1573=F1573)*($G$2:G1573=G1573)*($I$2:I1573="Duplicate"))-1),"")&amp;".jpeg")</f>
        <v/>
      </c>
      <c r="L1573" s="6"/>
      <c r="M1573" s="5" t="str">
        <f>IFERROR(VLOOKUP(E1573,Specifications!$A$2:$D$9,2,FALSE),"")</f>
        <v/>
      </c>
      <c r="N1573" s="5" t="str">
        <f>IFERROR(VLOOKUP(E1573,Specifications!$A$2:$D$9,3,FALSE),"")</f>
        <v/>
      </c>
      <c r="O1573" s="5" t="str">
        <f>IFERROR(VLOOKUP(E1573,Specifications!$A$2:$D$9,4,FALSE),"")</f>
        <v/>
      </c>
      <c r="P1573" s="8" t="str">
        <f t="shared" si="75"/>
        <v/>
      </c>
      <c r="Q1573" s="9"/>
    </row>
    <row r="1574" spans="1:17" ht="15">
      <c r="A1574" s="5" t="str">
        <f t="shared" si="73"/>
        <v/>
      </c>
      <c r="B1574" s="6"/>
      <c r="C1574" s="5" t="str">
        <f>IFERROR(VLOOKUP(B1574,Lists!$A$2:$B$25,2,FALSE),"")</f>
        <v/>
      </c>
      <c r="D1574" s="7"/>
      <c r="E1574" s="6"/>
      <c r="F1574" s="6" t="str">
        <f t="shared" si="74"/>
        <v/>
      </c>
      <c r="G1574" s="6"/>
      <c r="H1574" s="6"/>
      <c r="I1574" s="6"/>
      <c r="J1574" s="7"/>
      <c r="K1574" s="5" t="str" cm="1">
        <f t="array" ref="K1574">IF(OR(A1574="",B1574="",D1574="",E1574=""),"",A1574&amp;"_"&amp;SUBSTITUTE(B1574," ","-")&amp;"_"&amp;D1574&amp;"_"&amp;SUBSTITUTE(SUBSTITUTE(E1574," ",""),"€","Euro")&amp;"_"&amp;IF(F1574="","Unknown",F1574)&amp;IF(F1574="Commemorative",IF(G1574="","","_"&amp;SUBSTITUTE(SUBSTITUTE(SUBSTITUTE(G1574," ","-"),"/","-"),CHAR(39),"")),"")&amp;IF(I1574="Duplicate","_Dub"&amp;IF(SUMPRODUCT(($B$2:B1574=B1574)*($D$2:D1574=D1574)*($E$2:E1574=E1574)*($F$2:F1574=F1574)*($G$2:G1574=G1574)*($I$2:I1574="Duplicate"))&lt;=1,"",SUMPRODUCT(($B$2:B1574=B1574)*($D$2:D1574=D1574)*($E$2:E1574=E1574)*($F$2:F1574=F1574)*($G$2:G1574=G1574)*($I$2:I1574="Duplicate"))-1),"")&amp;".jpeg")</f>
        <v/>
      </c>
      <c r="L1574" s="6"/>
      <c r="M1574" s="5" t="str">
        <f>IFERROR(VLOOKUP(E1574,Specifications!$A$2:$D$9,2,FALSE),"")</f>
        <v/>
      </c>
      <c r="N1574" s="5" t="str">
        <f>IFERROR(VLOOKUP(E1574,Specifications!$A$2:$D$9,3,FALSE),"")</f>
        <v/>
      </c>
      <c r="O1574" s="5" t="str">
        <f>IFERROR(VLOOKUP(E1574,Specifications!$A$2:$D$9,4,FALSE),"")</f>
        <v/>
      </c>
      <c r="P1574" s="8" t="str">
        <f t="shared" si="75"/>
        <v/>
      </c>
      <c r="Q1574" s="9"/>
    </row>
    <row r="1575" spans="1:17" ht="15">
      <c r="A1575" s="5" t="str">
        <f t="shared" si="73"/>
        <v/>
      </c>
      <c r="B1575" s="6"/>
      <c r="C1575" s="5" t="str">
        <f>IFERROR(VLOOKUP(B1575,Lists!$A$2:$B$25,2,FALSE),"")</f>
        <v/>
      </c>
      <c r="D1575" s="7"/>
      <c r="E1575" s="6"/>
      <c r="F1575" s="6" t="str">
        <f t="shared" si="74"/>
        <v/>
      </c>
      <c r="G1575" s="6"/>
      <c r="H1575" s="6"/>
      <c r="I1575" s="6"/>
      <c r="J1575" s="7"/>
      <c r="K1575" s="5" t="str" cm="1">
        <f t="array" ref="K1575">IF(OR(A1575="",B1575="",D1575="",E1575=""),"",A1575&amp;"_"&amp;SUBSTITUTE(B1575," ","-")&amp;"_"&amp;D1575&amp;"_"&amp;SUBSTITUTE(SUBSTITUTE(E1575," ",""),"€","Euro")&amp;"_"&amp;IF(F1575="","Unknown",F1575)&amp;IF(F1575="Commemorative",IF(G1575="","","_"&amp;SUBSTITUTE(SUBSTITUTE(SUBSTITUTE(G1575," ","-"),"/","-"),CHAR(39),"")),"")&amp;IF(I1575="Duplicate","_Dub"&amp;IF(SUMPRODUCT(($B$2:B1575=B1575)*($D$2:D1575=D1575)*($E$2:E1575=E1575)*($F$2:F1575=F1575)*($G$2:G1575=G1575)*($I$2:I1575="Duplicate"))&lt;=1,"",SUMPRODUCT(($B$2:B1575=B1575)*($D$2:D1575=D1575)*($E$2:E1575=E1575)*($F$2:F1575=F1575)*($G$2:G1575=G1575)*($I$2:I1575="Duplicate"))-1),"")&amp;".jpeg")</f>
        <v/>
      </c>
      <c r="L1575" s="6"/>
      <c r="M1575" s="5" t="str">
        <f>IFERROR(VLOOKUP(E1575,Specifications!$A$2:$D$9,2,FALSE),"")</f>
        <v/>
      </c>
      <c r="N1575" s="5" t="str">
        <f>IFERROR(VLOOKUP(E1575,Specifications!$A$2:$D$9,3,FALSE),"")</f>
        <v/>
      </c>
      <c r="O1575" s="5" t="str">
        <f>IFERROR(VLOOKUP(E1575,Specifications!$A$2:$D$9,4,FALSE),"")</f>
        <v/>
      </c>
      <c r="P1575" s="8" t="str">
        <f t="shared" si="75"/>
        <v/>
      </c>
      <c r="Q1575" s="9"/>
    </row>
    <row r="1576" spans="1:17" ht="15">
      <c r="A1576" s="5" t="str">
        <f t="shared" si="73"/>
        <v/>
      </c>
      <c r="B1576" s="6"/>
      <c r="C1576" s="5" t="str">
        <f>IFERROR(VLOOKUP(B1576,Lists!$A$2:$B$25,2,FALSE),"")</f>
        <v/>
      </c>
      <c r="D1576" s="7"/>
      <c r="E1576" s="6"/>
      <c r="F1576" s="6" t="str">
        <f t="shared" si="74"/>
        <v/>
      </c>
      <c r="G1576" s="6"/>
      <c r="H1576" s="6"/>
      <c r="I1576" s="6"/>
      <c r="J1576" s="7"/>
      <c r="K1576" s="5" t="str" cm="1">
        <f t="array" ref="K1576">IF(OR(A1576="",B1576="",D1576="",E1576=""),"",A1576&amp;"_"&amp;SUBSTITUTE(B1576," ","-")&amp;"_"&amp;D1576&amp;"_"&amp;SUBSTITUTE(SUBSTITUTE(E1576," ",""),"€","Euro")&amp;"_"&amp;IF(F1576="","Unknown",F1576)&amp;IF(F1576="Commemorative",IF(G1576="","","_"&amp;SUBSTITUTE(SUBSTITUTE(SUBSTITUTE(G1576," ","-"),"/","-"),CHAR(39),"")),"")&amp;IF(I1576="Duplicate","_Dub"&amp;IF(SUMPRODUCT(($B$2:B1576=B1576)*($D$2:D1576=D1576)*($E$2:E1576=E1576)*($F$2:F1576=F1576)*($G$2:G1576=G1576)*($I$2:I1576="Duplicate"))&lt;=1,"",SUMPRODUCT(($B$2:B1576=B1576)*($D$2:D1576=D1576)*($E$2:E1576=E1576)*($F$2:F1576=F1576)*($G$2:G1576=G1576)*($I$2:I1576="Duplicate"))-1),"")&amp;".jpeg")</f>
        <v/>
      </c>
      <c r="L1576" s="6"/>
      <c r="M1576" s="5" t="str">
        <f>IFERROR(VLOOKUP(E1576,Specifications!$A$2:$D$9,2,FALSE),"")</f>
        <v/>
      </c>
      <c r="N1576" s="5" t="str">
        <f>IFERROR(VLOOKUP(E1576,Specifications!$A$2:$D$9,3,FALSE),"")</f>
        <v/>
      </c>
      <c r="O1576" s="5" t="str">
        <f>IFERROR(VLOOKUP(E1576,Specifications!$A$2:$D$9,4,FALSE),"")</f>
        <v/>
      </c>
      <c r="P1576" s="8" t="str">
        <f t="shared" si="75"/>
        <v/>
      </c>
      <c r="Q1576" s="9"/>
    </row>
    <row r="1577" spans="1:17" ht="15">
      <c r="A1577" s="5" t="str">
        <f t="shared" si="73"/>
        <v/>
      </c>
      <c r="B1577" s="6"/>
      <c r="C1577" s="5" t="str">
        <f>IFERROR(VLOOKUP(B1577,Lists!$A$2:$B$25,2,FALSE),"")</f>
        <v/>
      </c>
      <c r="D1577" s="7"/>
      <c r="E1577" s="6"/>
      <c r="F1577" s="6" t="str">
        <f t="shared" si="74"/>
        <v/>
      </c>
      <c r="G1577" s="6"/>
      <c r="H1577" s="6"/>
      <c r="I1577" s="6"/>
      <c r="J1577" s="7"/>
      <c r="K1577" s="5" t="str" cm="1">
        <f t="array" ref="K1577">IF(OR(A1577="",B1577="",D1577="",E1577=""),"",A1577&amp;"_"&amp;SUBSTITUTE(B1577," ","-")&amp;"_"&amp;D1577&amp;"_"&amp;SUBSTITUTE(SUBSTITUTE(E1577," ",""),"€","Euro")&amp;"_"&amp;IF(F1577="","Unknown",F1577)&amp;IF(F1577="Commemorative",IF(G1577="","","_"&amp;SUBSTITUTE(SUBSTITUTE(SUBSTITUTE(G1577," ","-"),"/","-"),CHAR(39),"")),"")&amp;IF(I1577="Duplicate","_Dub"&amp;IF(SUMPRODUCT(($B$2:B1577=B1577)*($D$2:D1577=D1577)*($E$2:E1577=E1577)*($F$2:F1577=F1577)*($G$2:G1577=G1577)*($I$2:I1577="Duplicate"))&lt;=1,"",SUMPRODUCT(($B$2:B1577=B1577)*($D$2:D1577=D1577)*($E$2:E1577=E1577)*($F$2:F1577=F1577)*($G$2:G1577=G1577)*($I$2:I1577="Duplicate"))-1),"")&amp;".jpeg")</f>
        <v/>
      </c>
      <c r="L1577" s="6"/>
      <c r="M1577" s="5" t="str">
        <f>IFERROR(VLOOKUP(E1577,Specifications!$A$2:$D$9,2,FALSE),"")</f>
        <v/>
      </c>
      <c r="N1577" s="5" t="str">
        <f>IFERROR(VLOOKUP(E1577,Specifications!$A$2:$D$9,3,FALSE),"")</f>
        <v/>
      </c>
      <c r="O1577" s="5" t="str">
        <f>IFERROR(VLOOKUP(E1577,Specifications!$A$2:$D$9,4,FALSE),"")</f>
        <v/>
      </c>
      <c r="P1577" s="8" t="str">
        <f t="shared" si="75"/>
        <v/>
      </c>
      <c r="Q1577" s="9"/>
    </row>
    <row r="1578" spans="1:17" ht="15">
      <c r="A1578" s="5" t="str">
        <f t="shared" si="73"/>
        <v/>
      </c>
      <c r="B1578" s="6"/>
      <c r="C1578" s="5" t="str">
        <f>IFERROR(VLOOKUP(B1578,Lists!$A$2:$B$25,2,FALSE),"")</f>
        <v/>
      </c>
      <c r="D1578" s="7"/>
      <c r="E1578" s="6"/>
      <c r="F1578" s="6" t="str">
        <f t="shared" si="74"/>
        <v/>
      </c>
      <c r="G1578" s="6"/>
      <c r="H1578" s="6"/>
      <c r="I1578" s="6"/>
      <c r="J1578" s="7"/>
      <c r="K1578" s="5" t="str" cm="1">
        <f t="array" ref="K1578">IF(OR(A1578="",B1578="",D1578="",E1578=""),"",A1578&amp;"_"&amp;SUBSTITUTE(B1578," ","-")&amp;"_"&amp;D1578&amp;"_"&amp;SUBSTITUTE(SUBSTITUTE(E1578," ",""),"€","Euro")&amp;"_"&amp;IF(F1578="","Unknown",F1578)&amp;IF(F1578="Commemorative",IF(G1578="","","_"&amp;SUBSTITUTE(SUBSTITUTE(SUBSTITUTE(G1578," ","-"),"/","-"),CHAR(39),"")),"")&amp;IF(I1578="Duplicate","_Dub"&amp;IF(SUMPRODUCT(($B$2:B1578=B1578)*($D$2:D1578=D1578)*($E$2:E1578=E1578)*($F$2:F1578=F1578)*($G$2:G1578=G1578)*($I$2:I1578="Duplicate"))&lt;=1,"",SUMPRODUCT(($B$2:B1578=B1578)*($D$2:D1578=D1578)*($E$2:E1578=E1578)*($F$2:F1578=F1578)*($G$2:G1578=G1578)*($I$2:I1578="Duplicate"))-1),"")&amp;".jpeg")</f>
        <v/>
      </c>
      <c r="L1578" s="6"/>
      <c r="M1578" s="5" t="str">
        <f>IFERROR(VLOOKUP(E1578,Specifications!$A$2:$D$9,2,FALSE),"")</f>
        <v/>
      </c>
      <c r="N1578" s="5" t="str">
        <f>IFERROR(VLOOKUP(E1578,Specifications!$A$2:$D$9,3,FALSE),"")</f>
        <v/>
      </c>
      <c r="O1578" s="5" t="str">
        <f>IFERROR(VLOOKUP(E1578,Specifications!$A$2:$D$9,4,FALSE),"")</f>
        <v/>
      </c>
      <c r="P1578" s="8" t="str">
        <f t="shared" si="75"/>
        <v/>
      </c>
      <c r="Q1578" s="9"/>
    </row>
    <row r="1579" spans="1:17" ht="15">
      <c r="A1579" s="5" t="str">
        <f t="shared" si="73"/>
        <v/>
      </c>
      <c r="B1579" s="6"/>
      <c r="C1579" s="5" t="str">
        <f>IFERROR(VLOOKUP(B1579,Lists!$A$2:$B$25,2,FALSE),"")</f>
        <v/>
      </c>
      <c r="D1579" s="7"/>
      <c r="E1579" s="6"/>
      <c r="F1579" s="6" t="str">
        <f t="shared" si="74"/>
        <v/>
      </c>
      <c r="G1579" s="6"/>
      <c r="H1579" s="6"/>
      <c r="I1579" s="6"/>
      <c r="J1579" s="7"/>
      <c r="K1579" s="5" t="str" cm="1">
        <f t="array" ref="K1579">IF(OR(A1579="",B1579="",D1579="",E1579=""),"",A1579&amp;"_"&amp;SUBSTITUTE(B1579," ","-")&amp;"_"&amp;D1579&amp;"_"&amp;SUBSTITUTE(SUBSTITUTE(E1579," ",""),"€","Euro")&amp;"_"&amp;IF(F1579="","Unknown",F1579)&amp;IF(F1579="Commemorative",IF(G1579="","","_"&amp;SUBSTITUTE(SUBSTITUTE(SUBSTITUTE(G1579," ","-"),"/","-"),CHAR(39),"")),"")&amp;IF(I1579="Duplicate","_Dub"&amp;IF(SUMPRODUCT(($B$2:B1579=B1579)*($D$2:D1579=D1579)*($E$2:E1579=E1579)*($F$2:F1579=F1579)*($G$2:G1579=G1579)*($I$2:I1579="Duplicate"))&lt;=1,"",SUMPRODUCT(($B$2:B1579=B1579)*($D$2:D1579=D1579)*($E$2:E1579=E1579)*($F$2:F1579=F1579)*($G$2:G1579=G1579)*($I$2:I1579="Duplicate"))-1),"")&amp;".jpeg")</f>
        <v/>
      </c>
      <c r="L1579" s="6"/>
      <c r="M1579" s="5" t="str">
        <f>IFERROR(VLOOKUP(E1579,Specifications!$A$2:$D$9,2,FALSE),"")</f>
        <v/>
      </c>
      <c r="N1579" s="5" t="str">
        <f>IFERROR(VLOOKUP(E1579,Specifications!$A$2:$D$9,3,FALSE),"")</f>
        <v/>
      </c>
      <c r="O1579" s="5" t="str">
        <f>IFERROR(VLOOKUP(E1579,Specifications!$A$2:$D$9,4,FALSE),"")</f>
        <v/>
      </c>
      <c r="P1579" s="8" t="str">
        <f t="shared" si="75"/>
        <v/>
      </c>
      <c r="Q1579" s="9"/>
    </row>
    <row r="1580" spans="1:17" ht="15">
      <c r="A1580" s="5" t="str">
        <f t="shared" si="73"/>
        <v/>
      </c>
      <c r="B1580" s="6"/>
      <c r="C1580" s="5" t="str">
        <f>IFERROR(VLOOKUP(B1580,Lists!$A$2:$B$25,2,FALSE),"")</f>
        <v/>
      </c>
      <c r="D1580" s="7"/>
      <c r="E1580" s="6"/>
      <c r="F1580" s="6" t="str">
        <f t="shared" si="74"/>
        <v/>
      </c>
      <c r="G1580" s="6"/>
      <c r="H1580" s="6"/>
      <c r="I1580" s="6"/>
      <c r="J1580" s="7"/>
      <c r="K1580" s="5" t="str" cm="1">
        <f t="array" ref="K1580">IF(OR(A1580="",B1580="",D1580="",E1580=""),"",A1580&amp;"_"&amp;SUBSTITUTE(B1580," ","-")&amp;"_"&amp;D1580&amp;"_"&amp;SUBSTITUTE(SUBSTITUTE(E1580," ",""),"€","Euro")&amp;"_"&amp;IF(F1580="","Unknown",F1580)&amp;IF(F1580="Commemorative",IF(G1580="","","_"&amp;SUBSTITUTE(SUBSTITUTE(SUBSTITUTE(G1580," ","-"),"/","-"),CHAR(39),"")),"")&amp;IF(I1580="Duplicate","_Dub"&amp;IF(SUMPRODUCT(($B$2:B1580=B1580)*($D$2:D1580=D1580)*($E$2:E1580=E1580)*($F$2:F1580=F1580)*($G$2:G1580=G1580)*($I$2:I1580="Duplicate"))&lt;=1,"",SUMPRODUCT(($B$2:B1580=B1580)*($D$2:D1580=D1580)*($E$2:E1580=E1580)*($F$2:F1580=F1580)*($G$2:G1580=G1580)*($I$2:I1580="Duplicate"))-1),"")&amp;".jpeg")</f>
        <v/>
      </c>
      <c r="L1580" s="6"/>
      <c r="M1580" s="5" t="str">
        <f>IFERROR(VLOOKUP(E1580,Specifications!$A$2:$D$9,2,FALSE),"")</f>
        <v/>
      </c>
      <c r="N1580" s="5" t="str">
        <f>IFERROR(VLOOKUP(E1580,Specifications!$A$2:$D$9,3,FALSE),"")</f>
        <v/>
      </c>
      <c r="O1580" s="5" t="str">
        <f>IFERROR(VLOOKUP(E1580,Specifications!$A$2:$D$9,4,FALSE),"")</f>
        <v/>
      </c>
      <c r="P1580" s="8" t="str">
        <f t="shared" si="75"/>
        <v/>
      </c>
      <c r="Q1580" s="9"/>
    </row>
    <row r="1581" spans="1:17" ht="15">
      <c r="A1581" s="5" t="str">
        <f t="shared" si="73"/>
        <v/>
      </c>
      <c r="B1581" s="6"/>
      <c r="C1581" s="5" t="str">
        <f>IFERROR(VLOOKUP(B1581,Lists!$A$2:$B$25,2,FALSE),"")</f>
        <v/>
      </c>
      <c r="D1581" s="7"/>
      <c r="E1581" s="6"/>
      <c r="F1581" s="6" t="str">
        <f t="shared" si="74"/>
        <v/>
      </c>
      <c r="G1581" s="6"/>
      <c r="H1581" s="6"/>
      <c r="I1581" s="6"/>
      <c r="J1581" s="7"/>
      <c r="K1581" s="5" t="str" cm="1">
        <f t="array" ref="K1581">IF(OR(A1581="",B1581="",D1581="",E1581=""),"",A1581&amp;"_"&amp;SUBSTITUTE(B1581," ","-")&amp;"_"&amp;D1581&amp;"_"&amp;SUBSTITUTE(SUBSTITUTE(E1581," ",""),"€","Euro")&amp;"_"&amp;IF(F1581="","Unknown",F1581)&amp;IF(F1581="Commemorative",IF(G1581="","","_"&amp;SUBSTITUTE(SUBSTITUTE(SUBSTITUTE(G1581," ","-"),"/","-"),CHAR(39),"")),"")&amp;IF(I1581="Duplicate","_Dub"&amp;IF(SUMPRODUCT(($B$2:B1581=B1581)*($D$2:D1581=D1581)*($E$2:E1581=E1581)*($F$2:F1581=F1581)*($G$2:G1581=G1581)*($I$2:I1581="Duplicate"))&lt;=1,"",SUMPRODUCT(($B$2:B1581=B1581)*($D$2:D1581=D1581)*($E$2:E1581=E1581)*($F$2:F1581=F1581)*($G$2:G1581=G1581)*($I$2:I1581="Duplicate"))-1),"")&amp;".jpeg")</f>
        <v/>
      </c>
      <c r="L1581" s="6"/>
      <c r="M1581" s="5" t="str">
        <f>IFERROR(VLOOKUP(E1581,Specifications!$A$2:$D$9,2,FALSE),"")</f>
        <v/>
      </c>
      <c r="N1581" s="5" t="str">
        <f>IFERROR(VLOOKUP(E1581,Specifications!$A$2:$D$9,3,FALSE),"")</f>
        <v/>
      </c>
      <c r="O1581" s="5" t="str">
        <f>IFERROR(VLOOKUP(E1581,Specifications!$A$2:$D$9,4,FALSE),"")</f>
        <v/>
      </c>
      <c r="P1581" s="8" t="str">
        <f t="shared" si="75"/>
        <v/>
      </c>
      <c r="Q1581" s="9"/>
    </row>
    <row r="1582" spans="1:17" ht="15">
      <c r="A1582" s="5" t="str">
        <f t="shared" si="73"/>
        <v/>
      </c>
      <c r="B1582" s="6"/>
      <c r="C1582" s="5" t="str">
        <f>IFERROR(VLOOKUP(B1582,Lists!$A$2:$B$25,2,FALSE),"")</f>
        <v/>
      </c>
      <c r="D1582" s="7"/>
      <c r="E1582" s="6"/>
      <c r="F1582" s="6" t="str">
        <f t="shared" si="74"/>
        <v/>
      </c>
      <c r="G1582" s="6"/>
      <c r="H1582" s="6"/>
      <c r="I1582" s="6"/>
      <c r="J1582" s="7"/>
      <c r="K1582" s="5" t="str" cm="1">
        <f t="array" ref="K1582">IF(OR(A1582="",B1582="",D1582="",E1582=""),"",A1582&amp;"_"&amp;SUBSTITUTE(B1582," ","-")&amp;"_"&amp;D1582&amp;"_"&amp;SUBSTITUTE(SUBSTITUTE(E1582," ",""),"€","Euro")&amp;"_"&amp;IF(F1582="","Unknown",F1582)&amp;IF(F1582="Commemorative",IF(G1582="","","_"&amp;SUBSTITUTE(SUBSTITUTE(SUBSTITUTE(G1582," ","-"),"/","-"),CHAR(39),"")),"")&amp;IF(I1582="Duplicate","_Dub"&amp;IF(SUMPRODUCT(($B$2:B1582=B1582)*($D$2:D1582=D1582)*($E$2:E1582=E1582)*($F$2:F1582=F1582)*($G$2:G1582=G1582)*($I$2:I1582="Duplicate"))&lt;=1,"",SUMPRODUCT(($B$2:B1582=B1582)*($D$2:D1582=D1582)*($E$2:E1582=E1582)*($F$2:F1582=F1582)*($G$2:G1582=G1582)*($I$2:I1582="Duplicate"))-1),"")&amp;".jpeg")</f>
        <v/>
      </c>
      <c r="L1582" s="6"/>
      <c r="M1582" s="5" t="str">
        <f>IFERROR(VLOOKUP(E1582,Specifications!$A$2:$D$9,2,FALSE),"")</f>
        <v/>
      </c>
      <c r="N1582" s="5" t="str">
        <f>IFERROR(VLOOKUP(E1582,Specifications!$A$2:$D$9,3,FALSE),"")</f>
        <v/>
      </c>
      <c r="O1582" s="5" t="str">
        <f>IFERROR(VLOOKUP(E1582,Specifications!$A$2:$D$9,4,FALSE),"")</f>
        <v/>
      </c>
      <c r="P1582" s="8" t="str">
        <f t="shared" si="75"/>
        <v/>
      </c>
      <c r="Q1582" s="9"/>
    </row>
    <row r="1583" spans="1:17" ht="15">
      <c r="A1583" s="5" t="str">
        <f t="shared" si="73"/>
        <v/>
      </c>
      <c r="B1583" s="6"/>
      <c r="C1583" s="5" t="str">
        <f>IFERROR(VLOOKUP(B1583,Lists!$A$2:$B$25,2,FALSE),"")</f>
        <v/>
      </c>
      <c r="D1583" s="7"/>
      <c r="E1583" s="6"/>
      <c r="F1583" s="6" t="str">
        <f t="shared" si="74"/>
        <v/>
      </c>
      <c r="G1583" s="6"/>
      <c r="H1583" s="6"/>
      <c r="I1583" s="6"/>
      <c r="J1583" s="7"/>
      <c r="K1583" s="5" t="str" cm="1">
        <f t="array" ref="K1583">IF(OR(A1583="",B1583="",D1583="",E1583=""),"",A1583&amp;"_"&amp;SUBSTITUTE(B1583," ","-")&amp;"_"&amp;D1583&amp;"_"&amp;SUBSTITUTE(SUBSTITUTE(E1583," ",""),"€","Euro")&amp;"_"&amp;IF(F1583="","Unknown",F1583)&amp;IF(F1583="Commemorative",IF(G1583="","","_"&amp;SUBSTITUTE(SUBSTITUTE(SUBSTITUTE(G1583," ","-"),"/","-"),CHAR(39),"")),"")&amp;IF(I1583="Duplicate","_Dub"&amp;IF(SUMPRODUCT(($B$2:B1583=B1583)*($D$2:D1583=D1583)*($E$2:E1583=E1583)*($F$2:F1583=F1583)*($G$2:G1583=G1583)*($I$2:I1583="Duplicate"))&lt;=1,"",SUMPRODUCT(($B$2:B1583=B1583)*($D$2:D1583=D1583)*($E$2:E1583=E1583)*($F$2:F1583=F1583)*($G$2:G1583=G1583)*($I$2:I1583="Duplicate"))-1),"")&amp;".jpeg")</f>
        <v/>
      </c>
      <c r="L1583" s="6"/>
      <c r="M1583" s="5" t="str">
        <f>IFERROR(VLOOKUP(E1583,Specifications!$A$2:$D$9,2,FALSE),"")</f>
        <v/>
      </c>
      <c r="N1583" s="5" t="str">
        <f>IFERROR(VLOOKUP(E1583,Specifications!$A$2:$D$9,3,FALSE),"")</f>
        <v/>
      </c>
      <c r="O1583" s="5" t="str">
        <f>IFERROR(VLOOKUP(E1583,Specifications!$A$2:$D$9,4,FALSE),"")</f>
        <v/>
      </c>
      <c r="P1583" s="8" t="str">
        <f t="shared" si="75"/>
        <v/>
      </c>
      <c r="Q1583" s="9"/>
    </row>
    <row r="1584" spans="1:17" ht="15">
      <c r="A1584" s="5" t="str">
        <f t="shared" si="73"/>
        <v/>
      </c>
      <c r="B1584" s="6"/>
      <c r="C1584" s="5" t="str">
        <f>IFERROR(VLOOKUP(B1584,Lists!$A$2:$B$25,2,FALSE),"")</f>
        <v/>
      </c>
      <c r="D1584" s="7"/>
      <c r="E1584" s="6"/>
      <c r="F1584" s="6" t="str">
        <f t="shared" si="74"/>
        <v/>
      </c>
      <c r="G1584" s="6"/>
      <c r="H1584" s="6"/>
      <c r="I1584" s="6"/>
      <c r="J1584" s="7"/>
      <c r="K1584" s="5" t="str" cm="1">
        <f t="array" ref="K1584">IF(OR(A1584="",B1584="",D1584="",E1584=""),"",A1584&amp;"_"&amp;SUBSTITUTE(B1584," ","-")&amp;"_"&amp;D1584&amp;"_"&amp;SUBSTITUTE(SUBSTITUTE(E1584," ",""),"€","Euro")&amp;"_"&amp;IF(F1584="","Unknown",F1584)&amp;IF(F1584="Commemorative",IF(G1584="","","_"&amp;SUBSTITUTE(SUBSTITUTE(SUBSTITUTE(G1584," ","-"),"/","-"),CHAR(39),"")),"")&amp;IF(I1584="Duplicate","_Dub"&amp;IF(SUMPRODUCT(($B$2:B1584=B1584)*($D$2:D1584=D1584)*($E$2:E1584=E1584)*($F$2:F1584=F1584)*($G$2:G1584=G1584)*($I$2:I1584="Duplicate"))&lt;=1,"",SUMPRODUCT(($B$2:B1584=B1584)*($D$2:D1584=D1584)*($E$2:E1584=E1584)*($F$2:F1584=F1584)*($G$2:G1584=G1584)*($I$2:I1584="Duplicate"))-1),"")&amp;".jpeg")</f>
        <v/>
      </c>
      <c r="L1584" s="6"/>
      <c r="M1584" s="5" t="str">
        <f>IFERROR(VLOOKUP(E1584,Specifications!$A$2:$D$9,2,FALSE),"")</f>
        <v/>
      </c>
      <c r="N1584" s="5" t="str">
        <f>IFERROR(VLOOKUP(E1584,Specifications!$A$2:$D$9,3,FALSE),"")</f>
        <v/>
      </c>
      <c r="O1584" s="5" t="str">
        <f>IFERROR(VLOOKUP(E1584,Specifications!$A$2:$D$9,4,FALSE),"")</f>
        <v/>
      </c>
      <c r="P1584" s="8" t="str">
        <f t="shared" si="75"/>
        <v/>
      </c>
      <c r="Q1584" s="9"/>
    </row>
    <row r="1585" spans="1:17" ht="15">
      <c r="A1585" s="5" t="str">
        <f t="shared" si="73"/>
        <v/>
      </c>
      <c r="B1585" s="6"/>
      <c r="C1585" s="5" t="str">
        <f>IFERROR(VLOOKUP(B1585,Lists!$A$2:$B$25,2,FALSE),"")</f>
        <v/>
      </c>
      <c r="D1585" s="7"/>
      <c r="E1585" s="6"/>
      <c r="F1585" s="6" t="str">
        <f t="shared" si="74"/>
        <v/>
      </c>
      <c r="G1585" s="6"/>
      <c r="H1585" s="6"/>
      <c r="I1585" s="6"/>
      <c r="J1585" s="7"/>
      <c r="K1585" s="5" t="str" cm="1">
        <f t="array" ref="K1585">IF(OR(A1585="",B1585="",D1585="",E1585=""),"",A1585&amp;"_"&amp;SUBSTITUTE(B1585," ","-")&amp;"_"&amp;D1585&amp;"_"&amp;SUBSTITUTE(SUBSTITUTE(E1585," ",""),"€","Euro")&amp;"_"&amp;IF(F1585="","Unknown",F1585)&amp;IF(F1585="Commemorative",IF(G1585="","","_"&amp;SUBSTITUTE(SUBSTITUTE(SUBSTITUTE(G1585," ","-"),"/","-"),CHAR(39),"")),"")&amp;IF(I1585="Duplicate","_Dub"&amp;IF(SUMPRODUCT(($B$2:B1585=B1585)*($D$2:D1585=D1585)*($E$2:E1585=E1585)*($F$2:F1585=F1585)*($G$2:G1585=G1585)*($I$2:I1585="Duplicate"))&lt;=1,"",SUMPRODUCT(($B$2:B1585=B1585)*($D$2:D1585=D1585)*($E$2:E1585=E1585)*($F$2:F1585=F1585)*($G$2:G1585=G1585)*($I$2:I1585="Duplicate"))-1),"")&amp;".jpeg")</f>
        <v/>
      </c>
      <c r="L1585" s="6"/>
      <c r="M1585" s="5" t="str">
        <f>IFERROR(VLOOKUP(E1585,Specifications!$A$2:$D$9,2,FALSE),"")</f>
        <v/>
      </c>
      <c r="N1585" s="5" t="str">
        <f>IFERROR(VLOOKUP(E1585,Specifications!$A$2:$D$9,3,FALSE),"")</f>
        <v/>
      </c>
      <c r="O1585" s="5" t="str">
        <f>IFERROR(VLOOKUP(E1585,Specifications!$A$2:$D$9,4,FALSE),"")</f>
        <v/>
      </c>
      <c r="P1585" s="8" t="str">
        <f t="shared" si="75"/>
        <v/>
      </c>
      <c r="Q1585" s="9"/>
    </row>
    <row r="1586" spans="1:17" ht="15">
      <c r="A1586" s="5" t="str">
        <f t="shared" si="73"/>
        <v/>
      </c>
      <c r="B1586" s="6"/>
      <c r="C1586" s="5" t="str">
        <f>IFERROR(VLOOKUP(B1586,Lists!$A$2:$B$25,2,FALSE),"")</f>
        <v/>
      </c>
      <c r="D1586" s="7"/>
      <c r="E1586" s="6"/>
      <c r="F1586" s="6" t="str">
        <f t="shared" si="74"/>
        <v/>
      </c>
      <c r="G1586" s="6"/>
      <c r="H1586" s="6"/>
      <c r="I1586" s="6"/>
      <c r="J1586" s="7"/>
      <c r="K1586" s="5" t="str" cm="1">
        <f t="array" ref="K1586">IF(OR(A1586="",B1586="",D1586="",E1586=""),"",A1586&amp;"_"&amp;SUBSTITUTE(B1586," ","-")&amp;"_"&amp;D1586&amp;"_"&amp;SUBSTITUTE(SUBSTITUTE(E1586," ",""),"€","Euro")&amp;"_"&amp;IF(F1586="","Unknown",F1586)&amp;IF(F1586="Commemorative",IF(G1586="","","_"&amp;SUBSTITUTE(SUBSTITUTE(SUBSTITUTE(G1586," ","-"),"/","-"),CHAR(39),"")),"")&amp;IF(I1586="Duplicate","_Dub"&amp;IF(SUMPRODUCT(($B$2:B1586=B1586)*($D$2:D1586=D1586)*($E$2:E1586=E1586)*($F$2:F1586=F1586)*($G$2:G1586=G1586)*($I$2:I1586="Duplicate"))&lt;=1,"",SUMPRODUCT(($B$2:B1586=B1586)*($D$2:D1586=D1586)*($E$2:E1586=E1586)*($F$2:F1586=F1586)*($G$2:G1586=G1586)*($I$2:I1586="Duplicate"))-1),"")&amp;".jpeg")</f>
        <v/>
      </c>
      <c r="L1586" s="6"/>
      <c r="M1586" s="5" t="str">
        <f>IFERROR(VLOOKUP(E1586,Specifications!$A$2:$D$9,2,FALSE),"")</f>
        <v/>
      </c>
      <c r="N1586" s="5" t="str">
        <f>IFERROR(VLOOKUP(E1586,Specifications!$A$2:$D$9,3,FALSE),"")</f>
        <v/>
      </c>
      <c r="O1586" s="5" t="str">
        <f>IFERROR(VLOOKUP(E1586,Specifications!$A$2:$D$9,4,FALSE),"")</f>
        <v/>
      </c>
      <c r="P1586" s="8" t="str">
        <f t="shared" si="75"/>
        <v/>
      </c>
      <c r="Q1586" s="9"/>
    </row>
    <row r="1587" spans="1:17" ht="15">
      <c r="A1587" s="5" t="str">
        <f t="shared" si="73"/>
        <v/>
      </c>
      <c r="B1587" s="6"/>
      <c r="C1587" s="5" t="str">
        <f>IFERROR(VLOOKUP(B1587,Lists!$A$2:$B$25,2,FALSE),"")</f>
        <v/>
      </c>
      <c r="D1587" s="7"/>
      <c r="E1587" s="6"/>
      <c r="F1587" s="6" t="str">
        <f t="shared" si="74"/>
        <v/>
      </c>
      <c r="G1587" s="6"/>
      <c r="H1587" s="6"/>
      <c r="I1587" s="6"/>
      <c r="J1587" s="7"/>
      <c r="K1587" s="5" t="str" cm="1">
        <f t="array" ref="K1587">IF(OR(A1587="",B1587="",D1587="",E1587=""),"",A1587&amp;"_"&amp;SUBSTITUTE(B1587," ","-")&amp;"_"&amp;D1587&amp;"_"&amp;SUBSTITUTE(SUBSTITUTE(E1587," ",""),"€","Euro")&amp;"_"&amp;IF(F1587="","Unknown",F1587)&amp;IF(F1587="Commemorative",IF(G1587="","","_"&amp;SUBSTITUTE(SUBSTITUTE(SUBSTITUTE(G1587," ","-"),"/","-"),CHAR(39),"")),"")&amp;IF(I1587="Duplicate","_Dub"&amp;IF(SUMPRODUCT(($B$2:B1587=B1587)*($D$2:D1587=D1587)*($E$2:E1587=E1587)*($F$2:F1587=F1587)*($G$2:G1587=G1587)*($I$2:I1587="Duplicate"))&lt;=1,"",SUMPRODUCT(($B$2:B1587=B1587)*($D$2:D1587=D1587)*($E$2:E1587=E1587)*($F$2:F1587=F1587)*($G$2:G1587=G1587)*($I$2:I1587="Duplicate"))-1),"")&amp;".jpeg")</f>
        <v/>
      </c>
      <c r="L1587" s="6"/>
      <c r="M1587" s="5" t="str">
        <f>IFERROR(VLOOKUP(E1587,Specifications!$A$2:$D$9,2,FALSE),"")</f>
        <v/>
      </c>
      <c r="N1587" s="5" t="str">
        <f>IFERROR(VLOOKUP(E1587,Specifications!$A$2:$D$9,3,FALSE),"")</f>
        <v/>
      </c>
      <c r="O1587" s="5" t="str">
        <f>IFERROR(VLOOKUP(E1587,Specifications!$A$2:$D$9,4,FALSE),"")</f>
        <v/>
      </c>
      <c r="P1587" s="8" t="str">
        <f t="shared" si="75"/>
        <v/>
      </c>
      <c r="Q1587" s="9"/>
    </row>
    <row r="1588" spans="1:17" ht="15">
      <c r="A1588" s="5" t="str">
        <f t="shared" si="73"/>
        <v/>
      </c>
      <c r="B1588" s="6"/>
      <c r="C1588" s="5" t="str">
        <f>IFERROR(VLOOKUP(B1588,Lists!$A$2:$B$25,2,FALSE),"")</f>
        <v/>
      </c>
      <c r="D1588" s="7"/>
      <c r="E1588" s="6"/>
      <c r="F1588" s="6" t="str">
        <f t="shared" si="74"/>
        <v/>
      </c>
      <c r="G1588" s="6"/>
      <c r="H1588" s="6"/>
      <c r="I1588" s="6"/>
      <c r="J1588" s="7"/>
      <c r="K1588" s="5" t="str" cm="1">
        <f t="array" ref="K1588">IF(OR(A1588="",B1588="",D1588="",E1588=""),"",A1588&amp;"_"&amp;SUBSTITUTE(B1588," ","-")&amp;"_"&amp;D1588&amp;"_"&amp;SUBSTITUTE(SUBSTITUTE(E1588," ",""),"€","Euro")&amp;"_"&amp;IF(F1588="","Unknown",F1588)&amp;IF(F1588="Commemorative",IF(G1588="","","_"&amp;SUBSTITUTE(SUBSTITUTE(SUBSTITUTE(G1588," ","-"),"/","-"),CHAR(39),"")),"")&amp;IF(I1588="Duplicate","_Dub"&amp;IF(SUMPRODUCT(($B$2:B1588=B1588)*($D$2:D1588=D1588)*($E$2:E1588=E1588)*($F$2:F1588=F1588)*($G$2:G1588=G1588)*($I$2:I1588="Duplicate"))&lt;=1,"",SUMPRODUCT(($B$2:B1588=B1588)*($D$2:D1588=D1588)*($E$2:E1588=E1588)*($F$2:F1588=F1588)*($G$2:G1588=G1588)*($I$2:I1588="Duplicate"))-1),"")&amp;".jpeg")</f>
        <v/>
      </c>
      <c r="L1588" s="6"/>
      <c r="M1588" s="5" t="str">
        <f>IFERROR(VLOOKUP(E1588,Specifications!$A$2:$D$9,2,FALSE),"")</f>
        <v/>
      </c>
      <c r="N1588" s="5" t="str">
        <f>IFERROR(VLOOKUP(E1588,Specifications!$A$2:$D$9,3,FALSE),"")</f>
        <v/>
      </c>
      <c r="O1588" s="5" t="str">
        <f>IFERROR(VLOOKUP(E1588,Specifications!$A$2:$D$9,4,FALSE),"")</f>
        <v/>
      </c>
      <c r="P1588" s="8" t="str">
        <f t="shared" si="75"/>
        <v/>
      </c>
      <c r="Q1588" s="9"/>
    </row>
    <row r="1589" spans="1:17" ht="15">
      <c r="A1589" s="5" t="str">
        <f t="shared" si="73"/>
        <v/>
      </c>
      <c r="B1589" s="6"/>
      <c r="C1589" s="5" t="str">
        <f>IFERROR(VLOOKUP(B1589,Lists!$A$2:$B$25,2,FALSE),"")</f>
        <v/>
      </c>
      <c r="D1589" s="7"/>
      <c r="E1589" s="6"/>
      <c r="F1589" s="6" t="str">
        <f t="shared" si="74"/>
        <v/>
      </c>
      <c r="G1589" s="6"/>
      <c r="H1589" s="6"/>
      <c r="I1589" s="6"/>
      <c r="J1589" s="7"/>
      <c r="K1589" s="5" t="str" cm="1">
        <f t="array" ref="K1589">IF(OR(A1589="",B1589="",D1589="",E1589=""),"",A1589&amp;"_"&amp;SUBSTITUTE(B1589," ","-")&amp;"_"&amp;D1589&amp;"_"&amp;SUBSTITUTE(SUBSTITUTE(E1589," ",""),"€","Euro")&amp;"_"&amp;IF(F1589="","Unknown",F1589)&amp;IF(F1589="Commemorative",IF(G1589="","","_"&amp;SUBSTITUTE(SUBSTITUTE(SUBSTITUTE(G1589," ","-"),"/","-"),CHAR(39),"")),"")&amp;IF(I1589="Duplicate","_Dub"&amp;IF(SUMPRODUCT(($B$2:B1589=B1589)*($D$2:D1589=D1589)*($E$2:E1589=E1589)*($F$2:F1589=F1589)*($G$2:G1589=G1589)*($I$2:I1589="Duplicate"))&lt;=1,"",SUMPRODUCT(($B$2:B1589=B1589)*($D$2:D1589=D1589)*($E$2:E1589=E1589)*($F$2:F1589=F1589)*($G$2:G1589=G1589)*($I$2:I1589="Duplicate"))-1),"")&amp;".jpeg")</f>
        <v/>
      </c>
      <c r="L1589" s="6"/>
      <c r="M1589" s="5" t="str">
        <f>IFERROR(VLOOKUP(E1589,Specifications!$A$2:$D$9,2,FALSE),"")</f>
        <v/>
      </c>
      <c r="N1589" s="5" t="str">
        <f>IFERROR(VLOOKUP(E1589,Specifications!$A$2:$D$9,3,FALSE),"")</f>
        <v/>
      </c>
      <c r="O1589" s="5" t="str">
        <f>IFERROR(VLOOKUP(E1589,Specifications!$A$2:$D$9,4,FALSE),"")</f>
        <v/>
      </c>
      <c r="P1589" s="8" t="str">
        <f t="shared" si="75"/>
        <v/>
      </c>
      <c r="Q1589" s="9"/>
    </row>
    <row r="1590" spans="1:17" ht="15">
      <c r="A1590" s="5" t="str">
        <f t="shared" si="73"/>
        <v/>
      </c>
      <c r="B1590" s="6"/>
      <c r="C1590" s="5" t="str">
        <f>IFERROR(VLOOKUP(B1590,Lists!$A$2:$B$25,2,FALSE),"")</f>
        <v/>
      </c>
      <c r="D1590" s="7"/>
      <c r="E1590" s="6"/>
      <c r="F1590" s="6" t="str">
        <f t="shared" si="74"/>
        <v/>
      </c>
      <c r="G1590" s="6"/>
      <c r="H1590" s="6"/>
      <c r="I1590" s="6"/>
      <c r="J1590" s="7"/>
      <c r="K1590" s="5" t="str" cm="1">
        <f t="array" ref="K1590">IF(OR(A1590="",B1590="",D1590="",E1590=""),"",A1590&amp;"_"&amp;SUBSTITUTE(B1590," ","-")&amp;"_"&amp;D1590&amp;"_"&amp;SUBSTITUTE(SUBSTITUTE(E1590," ",""),"€","Euro")&amp;"_"&amp;IF(F1590="","Unknown",F1590)&amp;IF(F1590="Commemorative",IF(G1590="","","_"&amp;SUBSTITUTE(SUBSTITUTE(SUBSTITUTE(G1590," ","-"),"/","-"),CHAR(39),"")),"")&amp;IF(I1590="Duplicate","_Dub"&amp;IF(SUMPRODUCT(($B$2:B1590=B1590)*($D$2:D1590=D1590)*($E$2:E1590=E1590)*($F$2:F1590=F1590)*($G$2:G1590=G1590)*($I$2:I1590="Duplicate"))&lt;=1,"",SUMPRODUCT(($B$2:B1590=B1590)*($D$2:D1590=D1590)*($E$2:E1590=E1590)*($F$2:F1590=F1590)*($G$2:G1590=G1590)*($I$2:I1590="Duplicate"))-1),"")&amp;".jpeg")</f>
        <v/>
      </c>
      <c r="L1590" s="6"/>
      <c r="M1590" s="5" t="str">
        <f>IFERROR(VLOOKUP(E1590,Specifications!$A$2:$D$9,2,FALSE),"")</f>
        <v/>
      </c>
      <c r="N1590" s="5" t="str">
        <f>IFERROR(VLOOKUP(E1590,Specifications!$A$2:$D$9,3,FALSE),"")</f>
        <v/>
      </c>
      <c r="O1590" s="5" t="str">
        <f>IFERROR(VLOOKUP(E1590,Specifications!$A$2:$D$9,4,FALSE),"")</f>
        <v/>
      </c>
      <c r="P1590" s="8" t="str">
        <f t="shared" si="75"/>
        <v/>
      </c>
      <c r="Q1590" s="9"/>
    </row>
    <row r="1591" spans="1:17" ht="15">
      <c r="A1591" s="5" t="str">
        <f t="shared" si="73"/>
        <v/>
      </c>
      <c r="B1591" s="6"/>
      <c r="C1591" s="5" t="str">
        <f>IFERROR(VLOOKUP(B1591,Lists!$A$2:$B$25,2,FALSE),"")</f>
        <v/>
      </c>
      <c r="D1591" s="7"/>
      <c r="E1591" s="6"/>
      <c r="F1591" s="6" t="str">
        <f t="shared" si="74"/>
        <v/>
      </c>
      <c r="G1591" s="6"/>
      <c r="H1591" s="6"/>
      <c r="I1591" s="6"/>
      <c r="J1591" s="7"/>
      <c r="K1591" s="5" t="str" cm="1">
        <f t="array" ref="K1591">IF(OR(A1591="",B1591="",D1591="",E1591=""),"",A1591&amp;"_"&amp;SUBSTITUTE(B1591," ","-")&amp;"_"&amp;D1591&amp;"_"&amp;SUBSTITUTE(SUBSTITUTE(E1591," ",""),"€","Euro")&amp;"_"&amp;IF(F1591="","Unknown",F1591)&amp;IF(F1591="Commemorative",IF(G1591="","","_"&amp;SUBSTITUTE(SUBSTITUTE(SUBSTITUTE(G1591," ","-"),"/","-"),CHAR(39),"")),"")&amp;IF(I1591="Duplicate","_Dub"&amp;IF(SUMPRODUCT(($B$2:B1591=B1591)*($D$2:D1591=D1591)*($E$2:E1591=E1591)*($F$2:F1591=F1591)*($G$2:G1591=G1591)*($I$2:I1591="Duplicate"))&lt;=1,"",SUMPRODUCT(($B$2:B1591=B1591)*($D$2:D1591=D1591)*($E$2:E1591=E1591)*($F$2:F1591=F1591)*($G$2:G1591=G1591)*($I$2:I1591="Duplicate"))-1),"")&amp;".jpeg")</f>
        <v/>
      </c>
      <c r="L1591" s="6"/>
      <c r="M1591" s="5" t="str">
        <f>IFERROR(VLOOKUP(E1591,Specifications!$A$2:$D$9,2,FALSE),"")</f>
        <v/>
      </c>
      <c r="N1591" s="5" t="str">
        <f>IFERROR(VLOOKUP(E1591,Specifications!$A$2:$D$9,3,FALSE),"")</f>
        <v/>
      </c>
      <c r="O1591" s="5" t="str">
        <f>IFERROR(VLOOKUP(E1591,Specifications!$A$2:$D$9,4,FALSE),"")</f>
        <v/>
      </c>
      <c r="P1591" s="8" t="str">
        <f t="shared" si="75"/>
        <v/>
      </c>
      <c r="Q1591" s="9"/>
    </row>
    <row r="1592" spans="1:17" ht="15">
      <c r="A1592" s="5" t="str">
        <f t="shared" si="73"/>
        <v/>
      </c>
      <c r="B1592" s="6"/>
      <c r="C1592" s="5" t="str">
        <f>IFERROR(VLOOKUP(B1592,Lists!$A$2:$B$25,2,FALSE),"")</f>
        <v/>
      </c>
      <c r="D1592" s="7"/>
      <c r="E1592" s="6"/>
      <c r="F1592" s="6" t="str">
        <f t="shared" si="74"/>
        <v/>
      </c>
      <c r="G1592" s="6"/>
      <c r="H1592" s="6"/>
      <c r="I1592" s="6"/>
      <c r="J1592" s="7"/>
      <c r="K1592" s="5" t="str" cm="1">
        <f t="array" ref="K1592">IF(OR(A1592="",B1592="",D1592="",E1592=""),"",A1592&amp;"_"&amp;SUBSTITUTE(B1592," ","-")&amp;"_"&amp;D1592&amp;"_"&amp;SUBSTITUTE(SUBSTITUTE(E1592," ",""),"€","Euro")&amp;"_"&amp;IF(F1592="","Unknown",F1592)&amp;IF(F1592="Commemorative",IF(G1592="","","_"&amp;SUBSTITUTE(SUBSTITUTE(SUBSTITUTE(G1592," ","-"),"/","-"),CHAR(39),"")),"")&amp;IF(I1592="Duplicate","_Dub"&amp;IF(SUMPRODUCT(($B$2:B1592=B1592)*($D$2:D1592=D1592)*($E$2:E1592=E1592)*($F$2:F1592=F1592)*($G$2:G1592=G1592)*($I$2:I1592="Duplicate"))&lt;=1,"",SUMPRODUCT(($B$2:B1592=B1592)*($D$2:D1592=D1592)*($E$2:E1592=E1592)*($F$2:F1592=F1592)*($G$2:G1592=G1592)*($I$2:I1592="Duplicate"))-1),"")&amp;".jpeg")</f>
        <v/>
      </c>
      <c r="L1592" s="6"/>
      <c r="M1592" s="5" t="str">
        <f>IFERROR(VLOOKUP(E1592,Specifications!$A$2:$D$9,2,FALSE),"")</f>
        <v/>
      </c>
      <c r="N1592" s="5" t="str">
        <f>IFERROR(VLOOKUP(E1592,Specifications!$A$2:$D$9,3,FALSE),"")</f>
        <v/>
      </c>
      <c r="O1592" s="5" t="str">
        <f>IFERROR(VLOOKUP(E1592,Specifications!$A$2:$D$9,4,FALSE),"")</f>
        <v/>
      </c>
      <c r="P1592" s="8" t="str">
        <f t="shared" si="75"/>
        <v/>
      </c>
      <c r="Q1592" s="9"/>
    </row>
    <row r="1593" spans="1:17" ht="15">
      <c r="A1593" s="5" t="str">
        <f t="shared" si="73"/>
        <v/>
      </c>
      <c r="B1593" s="6"/>
      <c r="C1593" s="5" t="str">
        <f>IFERROR(VLOOKUP(B1593,Lists!$A$2:$B$25,2,FALSE),"")</f>
        <v/>
      </c>
      <c r="D1593" s="7"/>
      <c r="E1593" s="6"/>
      <c r="F1593" s="6" t="str">
        <f t="shared" si="74"/>
        <v/>
      </c>
      <c r="G1593" s="6"/>
      <c r="H1593" s="6"/>
      <c r="I1593" s="6"/>
      <c r="J1593" s="7"/>
      <c r="K1593" s="5" t="str" cm="1">
        <f t="array" ref="K1593">IF(OR(A1593="",B1593="",D1593="",E1593=""),"",A1593&amp;"_"&amp;SUBSTITUTE(B1593," ","-")&amp;"_"&amp;D1593&amp;"_"&amp;SUBSTITUTE(SUBSTITUTE(E1593," ",""),"€","Euro")&amp;"_"&amp;IF(F1593="","Unknown",F1593)&amp;IF(F1593="Commemorative",IF(G1593="","","_"&amp;SUBSTITUTE(SUBSTITUTE(SUBSTITUTE(G1593," ","-"),"/","-"),CHAR(39),"")),"")&amp;IF(I1593="Duplicate","_Dub"&amp;IF(SUMPRODUCT(($B$2:B1593=B1593)*($D$2:D1593=D1593)*($E$2:E1593=E1593)*($F$2:F1593=F1593)*($G$2:G1593=G1593)*($I$2:I1593="Duplicate"))&lt;=1,"",SUMPRODUCT(($B$2:B1593=B1593)*($D$2:D1593=D1593)*($E$2:E1593=E1593)*($F$2:F1593=F1593)*($G$2:G1593=G1593)*($I$2:I1593="Duplicate"))-1),"")&amp;".jpeg")</f>
        <v/>
      </c>
      <c r="L1593" s="6"/>
      <c r="M1593" s="5" t="str">
        <f>IFERROR(VLOOKUP(E1593,Specifications!$A$2:$D$9,2,FALSE),"")</f>
        <v/>
      </c>
      <c r="N1593" s="5" t="str">
        <f>IFERROR(VLOOKUP(E1593,Specifications!$A$2:$D$9,3,FALSE),"")</f>
        <v/>
      </c>
      <c r="O1593" s="5" t="str">
        <f>IFERROR(VLOOKUP(E1593,Specifications!$A$2:$D$9,4,FALSE),"")</f>
        <v/>
      </c>
      <c r="P1593" s="8" t="str">
        <f t="shared" si="75"/>
        <v/>
      </c>
      <c r="Q1593" s="9"/>
    </row>
    <row r="1594" spans="1:17" ht="15">
      <c r="A1594" s="5" t="str">
        <f t="shared" si="73"/>
        <v/>
      </c>
      <c r="B1594" s="6"/>
      <c r="C1594" s="5" t="str">
        <f>IFERROR(VLOOKUP(B1594,Lists!$A$2:$B$25,2,FALSE),"")</f>
        <v/>
      </c>
      <c r="D1594" s="7"/>
      <c r="E1594" s="6"/>
      <c r="F1594" s="6" t="str">
        <f t="shared" si="74"/>
        <v/>
      </c>
      <c r="G1594" s="6"/>
      <c r="H1594" s="6"/>
      <c r="I1594" s="6"/>
      <c r="J1594" s="7"/>
      <c r="K1594" s="5" t="str" cm="1">
        <f t="array" ref="K1594">IF(OR(A1594="",B1594="",D1594="",E1594=""),"",A1594&amp;"_"&amp;SUBSTITUTE(B1594," ","-")&amp;"_"&amp;D1594&amp;"_"&amp;SUBSTITUTE(SUBSTITUTE(E1594," ",""),"€","Euro")&amp;"_"&amp;IF(F1594="","Unknown",F1594)&amp;IF(F1594="Commemorative",IF(G1594="","","_"&amp;SUBSTITUTE(SUBSTITUTE(SUBSTITUTE(G1594," ","-"),"/","-"),CHAR(39),"")),"")&amp;IF(I1594="Duplicate","_Dub"&amp;IF(SUMPRODUCT(($B$2:B1594=B1594)*($D$2:D1594=D1594)*($E$2:E1594=E1594)*($F$2:F1594=F1594)*($G$2:G1594=G1594)*($I$2:I1594="Duplicate"))&lt;=1,"",SUMPRODUCT(($B$2:B1594=B1594)*($D$2:D1594=D1594)*($E$2:E1594=E1594)*($F$2:F1594=F1594)*($G$2:G1594=G1594)*($I$2:I1594="Duplicate"))-1),"")&amp;".jpeg")</f>
        <v/>
      </c>
      <c r="L1594" s="6"/>
      <c r="M1594" s="5" t="str">
        <f>IFERROR(VLOOKUP(E1594,Specifications!$A$2:$D$9,2,FALSE),"")</f>
        <v/>
      </c>
      <c r="N1594" s="5" t="str">
        <f>IFERROR(VLOOKUP(E1594,Specifications!$A$2:$D$9,3,FALSE),"")</f>
        <v/>
      </c>
      <c r="O1594" s="5" t="str">
        <f>IFERROR(VLOOKUP(E1594,Specifications!$A$2:$D$9,4,FALSE),"")</f>
        <v/>
      </c>
      <c r="P1594" s="8" t="str">
        <f t="shared" si="75"/>
        <v/>
      </c>
      <c r="Q1594" s="9"/>
    </row>
    <row r="1595" spans="1:17" ht="15">
      <c r="A1595" s="5" t="str">
        <f t="shared" si="73"/>
        <v/>
      </c>
      <c r="B1595" s="6"/>
      <c r="C1595" s="5" t="str">
        <f>IFERROR(VLOOKUP(B1595,Lists!$A$2:$B$25,2,FALSE),"")</f>
        <v/>
      </c>
      <c r="D1595" s="7"/>
      <c r="E1595" s="6"/>
      <c r="F1595" s="6" t="str">
        <f t="shared" si="74"/>
        <v/>
      </c>
      <c r="G1595" s="6"/>
      <c r="H1595" s="6"/>
      <c r="I1595" s="6"/>
      <c r="J1595" s="7"/>
      <c r="K1595" s="5" t="str" cm="1">
        <f t="array" ref="K1595">IF(OR(A1595="",B1595="",D1595="",E1595=""),"",A1595&amp;"_"&amp;SUBSTITUTE(B1595," ","-")&amp;"_"&amp;D1595&amp;"_"&amp;SUBSTITUTE(SUBSTITUTE(E1595," ",""),"€","Euro")&amp;"_"&amp;IF(F1595="","Unknown",F1595)&amp;IF(F1595="Commemorative",IF(G1595="","","_"&amp;SUBSTITUTE(SUBSTITUTE(SUBSTITUTE(G1595," ","-"),"/","-"),CHAR(39),"")),"")&amp;IF(I1595="Duplicate","_Dub"&amp;IF(SUMPRODUCT(($B$2:B1595=B1595)*($D$2:D1595=D1595)*($E$2:E1595=E1595)*($F$2:F1595=F1595)*($G$2:G1595=G1595)*($I$2:I1595="Duplicate"))&lt;=1,"",SUMPRODUCT(($B$2:B1595=B1595)*($D$2:D1595=D1595)*($E$2:E1595=E1595)*($F$2:F1595=F1595)*($G$2:G1595=G1595)*($I$2:I1595="Duplicate"))-1),"")&amp;".jpeg")</f>
        <v/>
      </c>
      <c r="L1595" s="6"/>
      <c r="M1595" s="5" t="str">
        <f>IFERROR(VLOOKUP(E1595,Specifications!$A$2:$D$9,2,FALSE),"")</f>
        <v/>
      </c>
      <c r="N1595" s="5" t="str">
        <f>IFERROR(VLOOKUP(E1595,Specifications!$A$2:$D$9,3,FALSE),"")</f>
        <v/>
      </c>
      <c r="O1595" s="5" t="str">
        <f>IFERROR(VLOOKUP(E1595,Specifications!$A$2:$D$9,4,FALSE),"")</f>
        <v/>
      </c>
      <c r="P1595" s="8" t="str">
        <f t="shared" si="75"/>
        <v/>
      </c>
      <c r="Q1595" s="9"/>
    </row>
    <row r="1596" spans="1:17" ht="15">
      <c r="A1596" s="5" t="str">
        <f t="shared" si="73"/>
        <v/>
      </c>
      <c r="B1596" s="6"/>
      <c r="C1596" s="5" t="str">
        <f>IFERROR(VLOOKUP(B1596,Lists!$A$2:$B$25,2,FALSE),"")</f>
        <v/>
      </c>
      <c r="D1596" s="7"/>
      <c r="E1596" s="6"/>
      <c r="F1596" s="6" t="str">
        <f t="shared" si="74"/>
        <v/>
      </c>
      <c r="G1596" s="6"/>
      <c r="H1596" s="6"/>
      <c r="I1596" s="6"/>
      <c r="J1596" s="7"/>
      <c r="K1596" s="5" t="str" cm="1">
        <f t="array" ref="K1596">IF(OR(A1596="",B1596="",D1596="",E1596=""),"",A1596&amp;"_"&amp;SUBSTITUTE(B1596," ","-")&amp;"_"&amp;D1596&amp;"_"&amp;SUBSTITUTE(SUBSTITUTE(E1596," ",""),"€","Euro")&amp;"_"&amp;IF(F1596="","Unknown",F1596)&amp;IF(F1596="Commemorative",IF(G1596="","","_"&amp;SUBSTITUTE(SUBSTITUTE(SUBSTITUTE(G1596," ","-"),"/","-"),CHAR(39),"")),"")&amp;IF(I1596="Duplicate","_Dub"&amp;IF(SUMPRODUCT(($B$2:B1596=B1596)*($D$2:D1596=D1596)*($E$2:E1596=E1596)*($F$2:F1596=F1596)*($G$2:G1596=G1596)*($I$2:I1596="Duplicate"))&lt;=1,"",SUMPRODUCT(($B$2:B1596=B1596)*($D$2:D1596=D1596)*($E$2:E1596=E1596)*($F$2:F1596=F1596)*($G$2:G1596=G1596)*($I$2:I1596="Duplicate"))-1),"")&amp;".jpeg")</f>
        <v/>
      </c>
      <c r="L1596" s="6"/>
      <c r="M1596" s="5" t="str">
        <f>IFERROR(VLOOKUP(E1596,Specifications!$A$2:$D$9,2,FALSE),"")</f>
        <v/>
      </c>
      <c r="N1596" s="5" t="str">
        <f>IFERROR(VLOOKUP(E1596,Specifications!$A$2:$D$9,3,FALSE),"")</f>
        <v/>
      </c>
      <c r="O1596" s="5" t="str">
        <f>IFERROR(VLOOKUP(E1596,Specifications!$A$2:$D$9,4,FALSE),"")</f>
        <v/>
      </c>
      <c r="P1596" s="8" t="str">
        <f t="shared" si="75"/>
        <v/>
      </c>
      <c r="Q1596" s="9"/>
    </row>
    <row r="1597" spans="1:17" ht="15">
      <c r="A1597" s="5" t="str">
        <f t="shared" si="73"/>
        <v/>
      </c>
      <c r="B1597" s="6"/>
      <c r="C1597" s="5" t="str">
        <f>IFERROR(VLOOKUP(B1597,Lists!$A$2:$B$25,2,FALSE),"")</f>
        <v/>
      </c>
      <c r="D1597" s="7"/>
      <c r="E1597" s="6"/>
      <c r="F1597" s="6" t="str">
        <f t="shared" si="74"/>
        <v/>
      </c>
      <c r="G1597" s="6"/>
      <c r="H1597" s="6"/>
      <c r="I1597" s="6"/>
      <c r="J1597" s="7"/>
      <c r="K1597" s="5" t="str" cm="1">
        <f t="array" ref="K1597">IF(OR(A1597="",B1597="",D1597="",E1597=""),"",A1597&amp;"_"&amp;SUBSTITUTE(B1597," ","-")&amp;"_"&amp;D1597&amp;"_"&amp;SUBSTITUTE(SUBSTITUTE(E1597," ",""),"€","Euro")&amp;"_"&amp;IF(F1597="","Unknown",F1597)&amp;IF(F1597="Commemorative",IF(G1597="","","_"&amp;SUBSTITUTE(SUBSTITUTE(SUBSTITUTE(G1597," ","-"),"/","-"),CHAR(39),"")),"")&amp;IF(I1597="Duplicate","_Dub"&amp;IF(SUMPRODUCT(($B$2:B1597=B1597)*($D$2:D1597=D1597)*($E$2:E1597=E1597)*($F$2:F1597=F1597)*($G$2:G1597=G1597)*($I$2:I1597="Duplicate"))&lt;=1,"",SUMPRODUCT(($B$2:B1597=B1597)*($D$2:D1597=D1597)*($E$2:E1597=E1597)*($F$2:F1597=F1597)*($G$2:G1597=G1597)*($I$2:I1597="Duplicate"))-1),"")&amp;".jpeg")</f>
        <v/>
      </c>
      <c r="L1597" s="6"/>
      <c r="M1597" s="5" t="str">
        <f>IFERROR(VLOOKUP(E1597,Specifications!$A$2:$D$9,2,FALSE),"")</f>
        <v/>
      </c>
      <c r="N1597" s="5" t="str">
        <f>IFERROR(VLOOKUP(E1597,Specifications!$A$2:$D$9,3,FALSE),"")</f>
        <v/>
      </c>
      <c r="O1597" s="5" t="str">
        <f>IFERROR(VLOOKUP(E1597,Specifications!$A$2:$D$9,4,FALSE),"")</f>
        <v/>
      </c>
      <c r="P1597" s="8" t="str">
        <f t="shared" si="75"/>
        <v/>
      </c>
      <c r="Q1597" s="9"/>
    </row>
    <row r="1598" spans="1:17" ht="15">
      <c r="A1598" s="5" t="str">
        <f t="shared" si="73"/>
        <v/>
      </c>
      <c r="B1598" s="6"/>
      <c r="C1598" s="5" t="str">
        <f>IFERROR(VLOOKUP(B1598,Lists!$A$2:$B$25,2,FALSE),"")</f>
        <v/>
      </c>
      <c r="D1598" s="7"/>
      <c r="E1598" s="6"/>
      <c r="F1598" s="6" t="str">
        <f t="shared" si="74"/>
        <v/>
      </c>
      <c r="G1598" s="6"/>
      <c r="H1598" s="6"/>
      <c r="I1598" s="6"/>
      <c r="J1598" s="7"/>
      <c r="K1598" s="5" t="str" cm="1">
        <f t="array" ref="K1598">IF(OR(A1598="",B1598="",D1598="",E1598=""),"",A1598&amp;"_"&amp;SUBSTITUTE(B1598," ","-")&amp;"_"&amp;D1598&amp;"_"&amp;SUBSTITUTE(SUBSTITUTE(E1598," ",""),"€","Euro")&amp;"_"&amp;IF(F1598="","Unknown",F1598)&amp;IF(F1598="Commemorative",IF(G1598="","","_"&amp;SUBSTITUTE(SUBSTITUTE(SUBSTITUTE(G1598," ","-"),"/","-"),CHAR(39),"")),"")&amp;IF(I1598="Duplicate","_Dub"&amp;IF(SUMPRODUCT(($B$2:B1598=B1598)*($D$2:D1598=D1598)*($E$2:E1598=E1598)*($F$2:F1598=F1598)*($G$2:G1598=G1598)*($I$2:I1598="Duplicate"))&lt;=1,"",SUMPRODUCT(($B$2:B1598=B1598)*($D$2:D1598=D1598)*($E$2:E1598=E1598)*($F$2:F1598=F1598)*($G$2:G1598=G1598)*($I$2:I1598="Duplicate"))-1),"")&amp;".jpeg")</f>
        <v/>
      </c>
      <c r="L1598" s="6"/>
      <c r="M1598" s="5" t="str">
        <f>IFERROR(VLOOKUP(E1598,Specifications!$A$2:$D$9,2,FALSE),"")</f>
        <v/>
      </c>
      <c r="N1598" s="5" t="str">
        <f>IFERROR(VLOOKUP(E1598,Specifications!$A$2:$D$9,3,FALSE),"")</f>
        <v/>
      </c>
      <c r="O1598" s="5" t="str">
        <f>IFERROR(VLOOKUP(E1598,Specifications!$A$2:$D$9,4,FALSE),"")</f>
        <v/>
      </c>
      <c r="P1598" s="8" t="str">
        <f t="shared" si="75"/>
        <v/>
      </c>
      <c r="Q1598" s="9"/>
    </row>
    <row r="1599" spans="1:17" ht="15">
      <c r="A1599" s="5" t="str">
        <f t="shared" si="73"/>
        <v/>
      </c>
      <c r="B1599" s="6"/>
      <c r="C1599" s="5" t="str">
        <f>IFERROR(VLOOKUP(B1599,Lists!$A$2:$B$25,2,FALSE),"")</f>
        <v/>
      </c>
      <c r="D1599" s="7"/>
      <c r="E1599" s="6"/>
      <c r="F1599" s="6" t="str">
        <f t="shared" si="74"/>
        <v/>
      </c>
      <c r="G1599" s="6"/>
      <c r="H1599" s="6"/>
      <c r="I1599" s="6"/>
      <c r="J1599" s="7"/>
      <c r="K1599" s="5" t="str" cm="1">
        <f t="array" ref="K1599">IF(OR(A1599="",B1599="",D1599="",E1599=""),"",A1599&amp;"_"&amp;SUBSTITUTE(B1599," ","-")&amp;"_"&amp;D1599&amp;"_"&amp;SUBSTITUTE(SUBSTITUTE(E1599," ",""),"€","Euro")&amp;"_"&amp;IF(F1599="","Unknown",F1599)&amp;IF(F1599="Commemorative",IF(G1599="","","_"&amp;SUBSTITUTE(SUBSTITUTE(SUBSTITUTE(G1599," ","-"),"/","-"),CHAR(39),"")),"")&amp;IF(I1599="Duplicate","_Dub"&amp;IF(SUMPRODUCT(($B$2:B1599=B1599)*($D$2:D1599=D1599)*($E$2:E1599=E1599)*($F$2:F1599=F1599)*($G$2:G1599=G1599)*($I$2:I1599="Duplicate"))&lt;=1,"",SUMPRODUCT(($B$2:B1599=B1599)*($D$2:D1599=D1599)*($E$2:E1599=E1599)*($F$2:F1599=F1599)*($G$2:G1599=G1599)*($I$2:I1599="Duplicate"))-1),"")&amp;".jpeg")</f>
        <v/>
      </c>
      <c r="L1599" s="6"/>
      <c r="M1599" s="5" t="str">
        <f>IFERROR(VLOOKUP(E1599,Specifications!$A$2:$D$9,2,FALSE),"")</f>
        <v/>
      </c>
      <c r="N1599" s="5" t="str">
        <f>IFERROR(VLOOKUP(E1599,Specifications!$A$2:$D$9,3,FALSE),"")</f>
        <v/>
      </c>
      <c r="O1599" s="5" t="str">
        <f>IFERROR(VLOOKUP(E1599,Specifications!$A$2:$D$9,4,FALSE),"")</f>
        <v/>
      </c>
      <c r="P1599" s="8" t="str">
        <f t="shared" si="75"/>
        <v/>
      </c>
      <c r="Q1599" s="9"/>
    </row>
    <row r="1600" spans="1:17" ht="15">
      <c r="A1600" s="5" t="str">
        <f t="shared" si="73"/>
        <v/>
      </c>
      <c r="B1600" s="6"/>
      <c r="C1600" s="5" t="str">
        <f>IFERROR(VLOOKUP(B1600,Lists!$A$2:$B$25,2,FALSE),"")</f>
        <v/>
      </c>
      <c r="D1600" s="7"/>
      <c r="E1600" s="6"/>
      <c r="F1600" s="6" t="str">
        <f t="shared" si="74"/>
        <v/>
      </c>
      <c r="G1600" s="6"/>
      <c r="H1600" s="6"/>
      <c r="I1600" s="6"/>
      <c r="J1600" s="7"/>
      <c r="K1600" s="5" t="str" cm="1">
        <f t="array" ref="K1600">IF(OR(A1600="",B1600="",D1600="",E1600=""),"",A1600&amp;"_"&amp;SUBSTITUTE(B1600," ","-")&amp;"_"&amp;D1600&amp;"_"&amp;SUBSTITUTE(SUBSTITUTE(E1600," ",""),"€","Euro")&amp;"_"&amp;IF(F1600="","Unknown",F1600)&amp;IF(F1600="Commemorative",IF(G1600="","","_"&amp;SUBSTITUTE(SUBSTITUTE(SUBSTITUTE(G1600," ","-"),"/","-"),CHAR(39),"")),"")&amp;IF(I1600="Duplicate","_Dub"&amp;IF(SUMPRODUCT(($B$2:B1600=B1600)*($D$2:D1600=D1600)*($E$2:E1600=E1600)*($F$2:F1600=F1600)*($G$2:G1600=G1600)*($I$2:I1600="Duplicate"))&lt;=1,"",SUMPRODUCT(($B$2:B1600=B1600)*($D$2:D1600=D1600)*($E$2:E1600=E1600)*($F$2:F1600=F1600)*($G$2:G1600=G1600)*($I$2:I1600="Duplicate"))-1),"")&amp;".jpeg")</f>
        <v/>
      </c>
      <c r="L1600" s="6"/>
      <c r="M1600" s="5" t="str">
        <f>IFERROR(VLOOKUP(E1600,Specifications!$A$2:$D$9,2,FALSE),"")</f>
        <v/>
      </c>
      <c r="N1600" s="5" t="str">
        <f>IFERROR(VLOOKUP(E1600,Specifications!$A$2:$D$9,3,FALSE),"")</f>
        <v/>
      </c>
      <c r="O1600" s="5" t="str">
        <f>IFERROR(VLOOKUP(E1600,Specifications!$A$2:$D$9,4,FALSE),"")</f>
        <v/>
      </c>
      <c r="P1600" s="8" t="str">
        <f t="shared" si="75"/>
        <v/>
      </c>
      <c r="Q1600" s="9"/>
    </row>
    <row r="1601" spans="1:17" ht="15">
      <c r="A1601" s="5" t="str">
        <f t="shared" si="73"/>
        <v/>
      </c>
      <c r="B1601" s="6"/>
      <c r="C1601" s="5" t="str">
        <f>IFERROR(VLOOKUP(B1601,Lists!$A$2:$B$25,2,FALSE),"")</f>
        <v/>
      </c>
      <c r="D1601" s="7"/>
      <c r="E1601" s="6"/>
      <c r="F1601" s="6" t="str">
        <f t="shared" si="74"/>
        <v/>
      </c>
      <c r="G1601" s="6"/>
      <c r="H1601" s="6"/>
      <c r="I1601" s="6"/>
      <c r="J1601" s="7"/>
      <c r="K1601" s="5" t="str" cm="1">
        <f t="array" ref="K1601">IF(OR(A1601="",B1601="",D1601="",E1601=""),"",A1601&amp;"_"&amp;SUBSTITUTE(B1601," ","-")&amp;"_"&amp;D1601&amp;"_"&amp;SUBSTITUTE(SUBSTITUTE(E1601," ",""),"€","Euro")&amp;"_"&amp;IF(F1601="","Unknown",F1601)&amp;IF(F1601="Commemorative",IF(G1601="","","_"&amp;SUBSTITUTE(SUBSTITUTE(SUBSTITUTE(G1601," ","-"),"/","-"),CHAR(39),"")),"")&amp;IF(I1601="Duplicate","_Dub"&amp;IF(SUMPRODUCT(($B$2:B1601=B1601)*($D$2:D1601=D1601)*($E$2:E1601=E1601)*($F$2:F1601=F1601)*($G$2:G1601=G1601)*($I$2:I1601="Duplicate"))&lt;=1,"",SUMPRODUCT(($B$2:B1601=B1601)*($D$2:D1601=D1601)*($E$2:E1601=E1601)*($F$2:F1601=F1601)*($G$2:G1601=G1601)*($I$2:I1601="Duplicate"))-1),"")&amp;".jpeg")</f>
        <v/>
      </c>
      <c r="L1601" s="6"/>
      <c r="M1601" s="5" t="str">
        <f>IFERROR(VLOOKUP(E1601,Specifications!$A$2:$D$9,2,FALSE),"")</f>
        <v/>
      </c>
      <c r="N1601" s="5" t="str">
        <f>IFERROR(VLOOKUP(E1601,Specifications!$A$2:$D$9,3,FALSE),"")</f>
        <v/>
      </c>
      <c r="O1601" s="5" t="str">
        <f>IFERROR(VLOOKUP(E1601,Specifications!$A$2:$D$9,4,FALSE),"")</f>
        <v/>
      </c>
      <c r="P1601" s="8" t="str">
        <f t="shared" si="75"/>
        <v/>
      </c>
      <c r="Q1601" s="9"/>
    </row>
    <row r="1602" spans="1:17" ht="15">
      <c r="A1602" s="5" t="str">
        <f t="shared" ref="A1602:A1665" si="76">IF(B1602="","",TEXT(ROW()-1,"000"))</f>
        <v/>
      </c>
      <c r="B1602" s="6"/>
      <c r="C1602" s="5" t="str">
        <f>IFERROR(VLOOKUP(B1602,Lists!$A$2:$B$25,2,FALSE),"")</f>
        <v/>
      </c>
      <c r="D1602" s="7"/>
      <c r="E1602" s="6"/>
      <c r="F1602" s="6" t="str">
        <f t="shared" ref="F1602:F1665" si="77">IF(E1602="","",IF(E1602="2 €","", "Regular"))</f>
        <v/>
      </c>
      <c r="G1602" s="6"/>
      <c r="H1602" s="6"/>
      <c r="I1602" s="6"/>
      <c r="J1602" s="7"/>
      <c r="K1602" s="5" t="str" cm="1">
        <f t="array" ref="K1602">IF(OR(A1602="",B1602="",D1602="",E1602=""),"",A1602&amp;"_"&amp;SUBSTITUTE(B1602," ","-")&amp;"_"&amp;D1602&amp;"_"&amp;SUBSTITUTE(SUBSTITUTE(E1602," ",""),"€","Euro")&amp;"_"&amp;IF(F1602="","Unknown",F1602)&amp;IF(F1602="Commemorative",IF(G1602="","","_"&amp;SUBSTITUTE(SUBSTITUTE(SUBSTITUTE(G1602," ","-"),"/","-"),CHAR(39),"")),"")&amp;IF(I1602="Duplicate","_Dub"&amp;IF(SUMPRODUCT(($B$2:B1602=B1602)*($D$2:D1602=D1602)*($E$2:E1602=E1602)*($F$2:F1602=F1602)*($G$2:G1602=G1602)*($I$2:I1602="Duplicate"))&lt;=1,"",SUMPRODUCT(($B$2:B1602=B1602)*($D$2:D1602=D1602)*($E$2:E1602=E1602)*($F$2:F1602=F1602)*($G$2:G1602=G1602)*($I$2:I1602="Duplicate"))-1),"")&amp;".jpeg")</f>
        <v/>
      </c>
      <c r="L1602" s="6"/>
      <c r="M1602" s="5" t="str">
        <f>IFERROR(VLOOKUP(E1602,Specifications!$A$2:$D$9,2,FALSE),"")</f>
        <v/>
      </c>
      <c r="N1602" s="5" t="str">
        <f>IFERROR(VLOOKUP(E1602,Specifications!$A$2:$D$9,3,FALSE),"")</f>
        <v/>
      </c>
      <c r="O1602" s="5" t="str">
        <f>IFERROR(VLOOKUP(E1602,Specifications!$A$2:$D$9,4,FALSE),"")</f>
        <v/>
      </c>
      <c r="P1602" s="8" t="str">
        <f t="shared" ref="P1602:P1665" si="78">IF(OR(B1602="",E1602="",F1602=""),"",IF(F1602="Regular","Regular "&amp;E1602&amp;" circulation coin of "&amp;B1602&amp;".",IF(F1602="Commemorative",IF(G1602="","",E1602&amp;" commemorative coin of "&amp;B1602&amp;" – "&amp;G1602&amp;"."),"")))</f>
        <v/>
      </c>
      <c r="Q1602" s="9"/>
    </row>
    <row r="1603" spans="1:17" ht="15">
      <c r="A1603" s="5" t="str">
        <f t="shared" si="76"/>
        <v/>
      </c>
      <c r="B1603" s="6"/>
      <c r="C1603" s="5" t="str">
        <f>IFERROR(VLOOKUP(B1603,Lists!$A$2:$B$25,2,FALSE),"")</f>
        <v/>
      </c>
      <c r="D1603" s="7"/>
      <c r="E1603" s="6"/>
      <c r="F1603" s="6" t="str">
        <f t="shared" si="77"/>
        <v/>
      </c>
      <c r="G1603" s="6"/>
      <c r="H1603" s="6"/>
      <c r="I1603" s="6"/>
      <c r="J1603" s="7"/>
      <c r="K1603" s="5" t="str" cm="1">
        <f t="array" ref="K1603">IF(OR(A1603="",B1603="",D1603="",E1603=""),"",A1603&amp;"_"&amp;SUBSTITUTE(B1603," ","-")&amp;"_"&amp;D1603&amp;"_"&amp;SUBSTITUTE(SUBSTITUTE(E1603," ",""),"€","Euro")&amp;"_"&amp;IF(F1603="","Unknown",F1603)&amp;IF(F1603="Commemorative",IF(G1603="","","_"&amp;SUBSTITUTE(SUBSTITUTE(SUBSTITUTE(G1603," ","-"),"/","-"),CHAR(39),"")),"")&amp;IF(I1603="Duplicate","_Dub"&amp;IF(SUMPRODUCT(($B$2:B1603=B1603)*($D$2:D1603=D1603)*($E$2:E1603=E1603)*($F$2:F1603=F1603)*($G$2:G1603=G1603)*($I$2:I1603="Duplicate"))&lt;=1,"",SUMPRODUCT(($B$2:B1603=B1603)*($D$2:D1603=D1603)*($E$2:E1603=E1603)*($F$2:F1603=F1603)*($G$2:G1603=G1603)*($I$2:I1603="Duplicate"))-1),"")&amp;".jpeg")</f>
        <v/>
      </c>
      <c r="L1603" s="6"/>
      <c r="M1603" s="5" t="str">
        <f>IFERROR(VLOOKUP(E1603,Specifications!$A$2:$D$9,2,FALSE),"")</f>
        <v/>
      </c>
      <c r="N1603" s="5" t="str">
        <f>IFERROR(VLOOKUP(E1603,Specifications!$A$2:$D$9,3,FALSE),"")</f>
        <v/>
      </c>
      <c r="O1603" s="5" t="str">
        <f>IFERROR(VLOOKUP(E1603,Specifications!$A$2:$D$9,4,FALSE),"")</f>
        <v/>
      </c>
      <c r="P1603" s="8" t="str">
        <f t="shared" si="78"/>
        <v/>
      </c>
      <c r="Q1603" s="9"/>
    </row>
    <row r="1604" spans="1:17" ht="15">
      <c r="A1604" s="5" t="str">
        <f t="shared" si="76"/>
        <v/>
      </c>
      <c r="B1604" s="6"/>
      <c r="C1604" s="5" t="str">
        <f>IFERROR(VLOOKUP(B1604,Lists!$A$2:$B$25,2,FALSE),"")</f>
        <v/>
      </c>
      <c r="D1604" s="7"/>
      <c r="E1604" s="6"/>
      <c r="F1604" s="6" t="str">
        <f t="shared" si="77"/>
        <v/>
      </c>
      <c r="G1604" s="6"/>
      <c r="H1604" s="6"/>
      <c r="I1604" s="6"/>
      <c r="J1604" s="7"/>
      <c r="K1604" s="5" t="str" cm="1">
        <f t="array" ref="K1604">IF(OR(A1604="",B1604="",D1604="",E1604=""),"",A1604&amp;"_"&amp;SUBSTITUTE(B1604," ","-")&amp;"_"&amp;D1604&amp;"_"&amp;SUBSTITUTE(SUBSTITUTE(E1604," ",""),"€","Euro")&amp;"_"&amp;IF(F1604="","Unknown",F1604)&amp;IF(F1604="Commemorative",IF(G1604="","","_"&amp;SUBSTITUTE(SUBSTITUTE(SUBSTITUTE(G1604," ","-"),"/","-"),CHAR(39),"")),"")&amp;IF(I1604="Duplicate","_Dub"&amp;IF(SUMPRODUCT(($B$2:B1604=B1604)*($D$2:D1604=D1604)*($E$2:E1604=E1604)*($F$2:F1604=F1604)*($G$2:G1604=G1604)*($I$2:I1604="Duplicate"))&lt;=1,"",SUMPRODUCT(($B$2:B1604=B1604)*($D$2:D1604=D1604)*($E$2:E1604=E1604)*($F$2:F1604=F1604)*($G$2:G1604=G1604)*($I$2:I1604="Duplicate"))-1),"")&amp;".jpeg")</f>
        <v/>
      </c>
      <c r="L1604" s="6"/>
      <c r="M1604" s="5" t="str">
        <f>IFERROR(VLOOKUP(E1604,Specifications!$A$2:$D$9,2,FALSE),"")</f>
        <v/>
      </c>
      <c r="N1604" s="5" t="str">
        <f>IFERROR(VLOOKUP(E1604,Specifications!$A$2:$D$9,3,FALSE),"")</f>
        <v/>
      </c>
      <c r="O1604" s="5" t="str">
        <f>IFERROR(VLOOKUP(E1604,Specifications!$A$2:$D$9,4,FALSE),"")</f>
        <v/>
      </c>
      <c r="P1604" s="8" t="str">
        <f t="shared" si="78"/>
        <v/>
      </c>
      <c r="Q1604" s="9"/>
    </row>
    <row r="1605" spans="1:17" ht="15">
      <c r="A1605" s="5" t="str">
        <f t="shared" si="76"/>
        <v/>
      </c>
      <c r="B1605" s="6"/>
      <c r="C1605" s="5" t="str">
        <f>IFERROR(VLOOKUP(B1605,Lists!$A$2:$B$25,2,FALSE),"")</f>
        <v/>
      </c>
      <c r="D1605" s="7"/>
      <c r="E1605" s="6"/>
      <c r="F1605" s="6" t="str">
        <f t="shared" si="77"/>
        <v/>
      </c>
      <c r="G1605" s="6"/>
      <c r="H1605" s="6"/>
      <c r="I1605" s="6"/>
      <c r="J1605" s="7"/>
      <c r="K1605" s="5" t="str" cm="1">
        <f t="array" ref="K1605">IF(OR(A1605="",B1605="",D1605="",E1605=""),"",A1605&amp;"_"&amp;SUBSTITUTE(B1605," ","-")&amp;"_"&amp;D1605&amp;"_"&amp;SUBSTITUTE(SUBSTITUTE(E1605," ",""),"€","Euro")&amp;"_"&amp;IF(F1605="","Unknown",F1605)&amp;IF(F1605="Commemorative",IF(G1605="","","_"&amp;SUBSTITUTE(SUBSTITUTE(SUBSTITUTE(G1605," ","-"),"/","-"),CHAR(39),"")),"")&amp;IF(I1605="Duplicate","_Dub"&amp;IF(SUMPRODUCT(($B$2:B1605=B1605)*($D$2:D1605=D1605)*($E$2:E1605=E1605)*($F$2:F1605=F1605)*($G$2:G1605=G1605)*($I$2:I1605="Duplicate"))&lt;=1,"",SUMPRODUCT(($B$2:B1605=B1605)*($D$2:D1605=D1605)*($E$2:E1605=E1605)*($F$2:F1605=F1605)*($G$2:G1605=G1605)*($I$2:I1605="Duplicate"))-1),"")&amp;".jpeg")</f>
        <v/>
      </c>
      <c r="L1605" s="6"/>
      <c r="M1605" s="5" t="str">
        <f>IFERROR(VLOOKUP(E1605,Specifications!$A$2:$D$9,2,FALSE),"")</f>
        <v/>
      </c>
      <c r="N1605" s="5" t="str">
        <f>IFERROR(VLOOKUP(E1605,Specifications!$A$2:$D$9,3,FALSE),"")</f>
        <v/>
      </c>
      <c r="O1605" s="5" t="str">
        <f>IFERROR(VLOOKUP(E1605,Specifications!$A$2:$D$9,4,FALSE),"")</f>
        <v/>
      </c>
      <c r="P1605" s="8" t="str">
        <f t="shared" si="78"/>
        <v/>
      </c>
      <c r="Q1605" s="9"/>
    </row>
    <row r="1606" spans="1:17" ht="15">
      <c r="A1606" s="5" t="str">
        <f t="shared" si="76"/>
        <v/>
      </c>
      <c r="B1606" s="6"/>
      <c r="C1606" s="5" t="str">
        <f>IFERROR(VLOOKUP(B1606,Lists!$A$2:$B$25,2,FALSE),"")</f>
        <v/>
      </c>
      <c r="D1606" s="7"/>
      <c r="E1606" s="6"/>
      <c r="F1606" s="6" t="str">
        <f t="shared" si="77"/>
        <v/>
      </c>
      <c r="G1606" s="6"/>
      <c r="H1606" s="6"/>
      <c r="I1606" s="6"/>
      <c r="J1606" s="7"/>
      <c r="K1606" s="5" t="str" cm="1">
        <f t="array" ref="K1606">IF(OR(A1606="",B1606="",D1606="",E1606=""),"",A1606&amp;"_"&amp;SUBSTITUTE(B1606," ","-")&amp;"_"&amp;D1606&amp;"_"&amp;SUBSTITUTE(SUBSTITUTE(E1606," ",""),"€","Euro")&amp;"_"&amp;IF(F1606="","Unknown",F1606)&amp;IF(F1606="Commemorative",IF(G1606="","","_"&amp;SUBSTITUTE(SUBSTITUTE(SUBSTITUTE(G1606," ","-"),"/","-"),CHAR(39),"")),"")&amp;IF(I1606="Duplicate","_Dub"&amp;IF(SUMPRODUCT(($B$2:B1606=B1606)*($D$2:D1606=D1606)*($E$2:E1606=E1606)*($F$2:F1606=F1606)*($G$2:G1606=G1606)*($I$2:I1606="Duplicate"))&lt;=1,"",SUMPRODUCT(($B$2:B1606=B1606)*($D$2:D1606=D1606)*($E$2:E1606=E1606)*($F$2:F1606=F1606)*($G$2:G1606=G1606)*($I$2:I1606="Duplicate"))-1),"")&amp;".jpeg")</f>
        <v/>
      </c>
      <c r="L1606" s="6"/>
      <c r="M1606" s="5" t="str">
        <f>IFERROR(VLOOKUP(E1606,Specifications!$A$2:$D$9,2,FALSE),"")</f>
        <v/>
      </c>
      <c r="N1606" s="5" t="str">
        <f>IFERROR(VLOOKUP(E1606,Specifications!$A$2:$D$9,3,FALSE),"")</f>
        <v/>
      </c>
      <c r="O1606" s="5" t="str">
        <f>IFERROR(VLOOKUP(E1606,Specifications!$A$2:$D$9,4,FALSE),"")</f>
        <v/>
      </c>
      <c r="P1606" s="8" t="str">
        <f t="shared" si="78"/>
        <v/>
      </c>
      <c r="Q1606" s="9"/>
    </row>
    <row r="1607" spans="1:17" ht="15">
      <c r="A1607" s="5" t="str">
        <f t="shared" si="76"/>
        <v/>
      </c>
      <c r="B1607" s="6"/>
      <c r="C1607" s="5" t="str">
        <f>IFERROR(VLOOKUP(B1607,Lists!$A$2:$B$25,2,FALSE),"")</f>
        <v/>
      </c>
      <c r="D1607" s="7"/>
      <c r="E1607" s="6"/>
      <c r="F1607" s="6" t="str">
        <f t="shared" si="77"/>
        <v/>
      </c>
      <c r="G1607" s="6"/>
      <c r="H1607" s="6"/>
      <c r="I1607" s="6"/>
      <c r="J1607" s="7"/>
      <c r="K1607" s="5" t="str" cm="1">
        <f t="array" ref="K1607">IF(OR(A1607="",B1607="",D1607="",E1607=""),"",A1607&amp;"_"&amp;SUBSTITUTE(B1607," ","-")&amp;"_"&amp;D1607&amp;"_"&amp;SUBSTITUTE(SUBSTITUTE(E1607," ",""),"€","Euro")&amp;"_"&amp;IF(F1607="","Unknown",F1607)&amp;IF(F1607="Commemorative",IF(G1607="","","_"&amp;SUBSTITUTE(SUBSTITUTE(SUBSTITUTE(G1607," ","-"),"/","-"),CHAR(39),"")),"")&amp;IF(I1607="Duplicate","_Dub"&amp;IF(SUMPRODUCT(($B$2:B1607=B1607)*($D$2:D1607=D1607)*($E$2:E1607=E1607)*($F$2:F1607=F1607)*($G$2:G1607=G1607)*($I$2:I1607="Duplicate"))&lt;=1,"",SUMPRODUCT(($B$2:B1607=B1607)*($D$2:D1607=D1607)*($E$2:E1607=E1607)*($F$2:F1607=F1607)*($G$2:G1607=G1607)*($I$2:I1607="Duplicate"))-1),"")&amp;".jpeg")</f>
        <v/>
      </c>
      <c r="L1607" s="6"/>
      <c r="M1607" s="5" t="str">
        <f>IFERROR(VLOOKUP(E1607,Specifications!$A$2:$D$9,2,FALSE),"")</f>
        <v/>
      </c>
      <c r="N1607" s="5" t="str">
        <f>IFERROR(VLOOKUP(E1607,Specifications!$A$2:$D$9,3,FALSE),"")</f>
        <v/>
      </c>
      <c r="O1607" s="5" t="str">
        <f>IFERROR(VLOOKUP(E1607,Specifications!$A$2:$D$9,4,FALSE),"")</f>
        <v/>
      </c>
      <c r="P1607" s="8" t="str">
        <f t="shared" si="78"/>
        <v/>
      </c>
      <c r="Q1607" s="9"/>
    </row>
    <row r="1608" spans="1:17" ht="15">
      <c r="A1608" s="5" t="str">
        <f t="shared" si="76"/>
        <v/>
      </c>
      <c r="B1608" s="6"/>
      <c r="C1608" s="5" t="str">
        <f>IFERROR(VLOOKUP(B1608,Lists!$A$2:$B$25,2,FALSE),"")</f>
        <v/>
      </c>
      <c r="D1608" s="7"/>
      <c r="E1608" s="6"/>
      <c r="F1608" s="6" t="str">
        <f t="shared" si="77"/>
        <v/>
      </c>
      <c r="G1608" s="6"/>
      <c r="H1608" s="6"/>
      <c r="I1608" s="6"/>
      <c r="J1608" s="7"/>
      <c r="K1608" s="5" t="str" cm="1">
        <f t="array" ref="K1608">IF(OR(A1608="",B1608="",D1608="",E1608=""),"",A1608&amp;"_"&amp;SUBSTITUTE(B1608," ","-")&amp;"_"&amp;D1608&amp;"_"&amp;SUBSTITUTE(SUBSTITUTE(E1608," ",""),"€","Euro")&amp;"_"&amp;IF(F1608="","Unknown",F1608)&amp;IF(F1608="Commemorative",IF(G1608="","","_"&amp;SUBSTITUTE(SUBSTITUTE(SUBSTITUTE(G1608," ","-"),"/","-"),CHAR(39),"")),"")&amp;IF(I1608="Duplicate","_Dub"&amp;IF(SUMPRODUCT(($B$2:B1608=B1608)*($D$2:D1608=D1608)*($E$2:E1608=E1608)*($F$2:F1608=F1608)*($G$2:G1608=G1608)*($I$2:I1608="Duplicate"))&lt;=1,"",SUMPRODUCT(($B$2:B1608=B1608)*($D$2:D1608=D1608)*($E$2:E1608=E1608)*($F$2:F1608=F1608)*($G$2:G1608=G1608)*($I$2:I1608="Duplicate"))-1),"")&amp;".jpeg")</f>
        <v/>
      </c>
      <c r="L1608" s="6"/>
      <c r="M1608" s="5" t="str">
        <f>IFERROR(VLOOKUP(E1608,Specifications!$A$2:$D$9,2,FALSE),"")</f>
        <v/>
      </c>
      <c r="N1608" s="5" t="str">
        <f>IFERROR(VLOOKUP(E1608,Specifications!$A$2:$D$9,3,FALSE),"")</f>
        <v/>
      </c>
      <c r="O1608" s="5" t="str">
        <f>IFERROR(VLOOKUP(E1608,Specifications!$A$2:$D$9,4,FALSE),"")</f>
        <v/>
      </c>
      <c r="P1608" s="8" t="str">
        <f t="shared" si="78"/>
        <v/>
      </c>
      <c r="Q1608" s="9"/>
    </row>
    <row r="1609" spans="1:17" ht="15">
      <c r="A1609" s="5" t="str">
        <f t="shared" si="76"/>
        <v/>
      </c>
      <c r="B1609" s="6"/>
      <c r="C1609" s="5" t="str">
        <f>IFERROR(VLOOKUP(B1609,Lists!$A$2:$B$25,2,FALSE),"")</f>
        <v/>
      </c>
      <c r="D1609" s="7"/>
      <c r="E1609" s="6"/>
      <c r="F1609" s="6" t="str">
        <f t="shared" si="77"/>
        <v/>
      </c>
      <c r="G1609" s="6"/>
      <c r="H1609" s="6"/>
      <c r="I1609" s="6"/>
      <c r="J1609" s="7"/>
      <c r="K1609" s="5" t="str" cm="1">
        <f t="array" ref="K1609">IF(OR(A1609="",B1609="",D1609="",E1609=""),"",A1609&amp;"_"&amp;SUBSTITUTE(B1609," ","-")&amp;"_"&amp;D1609&amp;"_"&amp;SUBSTITUTE(SUBSTITUTE(E1609," ",""),"€","Euro")&amp;"_"&amp;IF(F1609="","Unknown",F1609)&amp;IF(F1609="Commemorative",IF(G1609="","","_"&amp;SUBSTITUTE(SUBSTITUTE(SUBSTITUTE(G1609," ","-"),"/","-"),CHAR(39),"")),"")&amp;IF(I1609="Duplicate","_Dub"&amp;IF(SUMPRODUCT(($B$2:B1609=B1609)*($D$2:D1609=D1609)*($E$2:E1609=E1609)*($F$2:F1609=F1609)*($G$2:G1609=G1609)*($I$2:I1609="Duplicate"))&lt;=1,"",SUMPRODUCT(($B$2:B1609=B1609)*($D$2:D1609=D1609)*($E$2:E1609=E1609)*($F$2:F1609=F1609)*($G$2:G1609=G1609)*($I$2:I1609="Duplicate"))-1),"")&amp;".jpeg")</f>
        <v/>
      </c>
      <c r="L1609" s="6"/>
      <c r="M1609" s="5" t="str">
        <f>IFERROR(VLOOKUP(E1609,Specifications!$A$2:$D$9,2,FALSE),"")</f>
        <v/>
      </c>
      <c r="N1609" s="5" t="str">
        <f>IFERROR(VLOOKUP(E1609,Specifications!$A$2:$D$9,3,FALSE),"")</f>
        <v/>
      </c>
      <c r="O1609" s="5" t="str">
        <f>IFERROR(VLOOKUP(E1609,Specifications!$A$2:$D$9,4,FALSE),"")</f>
        <v/>
      </c>
      <c r="P1609" s="8" t="str">
        <f t="shared" si="78"/>
        <v/>
      </c>
      <c r="Q1609" s="9"/>
    </row>
    <row r="1610" spans="1:17" ht="15">
      <c r="A1610" s="5" t="str">
        <f t="shared" si="76"/>
        <v/>
      </c>
      <c r="B1610" s="6"/>
      <c r="C1610" s="5" t="str">
        <f>IFERROR(VLOOKUP(B1610,Lists!$A$2:$B$25,2,FALSE),"")</f>
        <v/>
      </c>
      <c r="D1610" s="7"/>
      <c r="E1610" s="6"/>
      <c r="F1610" s="6" t="str">
        <f t="shared" si="77"/>
        <v/>
      </c>
      <c r="G1610" s="6"/>
      <c r="H1610" s="6"/>
      <c r="I1610" s="6"/>
      <c r="J1610" s="7"/>
      <c r="K1610" s="5" t="str" cm="1">
        <f t="array" ref="K1610">IF(OR(A1610="",B1610="",D1610="",E1610=""),"",A1610&amp;"_"&amp;SUBSTITUTE(B1610," ","-")&amp;"_"&amp;D1610&amp;"_"&amp;SUBSTITUTE(SUBSTITUTE(E1610," ",""),"€","Euro")&amp;"_"&amp;IF(F1610="","Unknown",F1610)&amp;IF(F1610="Commemorative",IF(G1610="","","_"&amp;SUBSTITUTE(SUBSTITUTE(SUBSTITUTE(G1610," ","-"),"/","-"),CHAR(39),"")),"")&amp;IF(I1610="Duplicate","_Dub"&amp;IF(SUMPRODUCT(($B$2:B1610=B1610)*($D$2:D1610=D1610)*($E$2:E1610=E1610)*($F$2:F1610=F1610)*($G$2:G1610=G1610)*($I$2:I1610="Duplicate"))&lt;=1,"",SUMPRODUCT(($B$2:B1610=B1610)*($D$2:D1610=D1610)*($E$2:E1610=E1610)*($F$2:F1610=F1610)*($G$2:G1610=G1610)*($I$2:I1610="Duplicate"))-1),"")&amp;".jpeg")</f>
        <v/>
      </c>
      <c r="L1610" s="6"/>
      <c r="M1610" s="5" t="str">
        <f>IFERROR(VLOOKUP(E1610,Specifications!$A$2:$D$9,2,FALSE),"")</f>
        <v/>
      </c>
      <c r="N1610" s="5" t="str">
        <f>IFERROR(VLOOKUP(E1610,Specifications!$A$2:$D$9,3,FALSE),"")</f>
        <v/>
      </c>
      <c r="O1610" s="5" t="str">
        <f>IFERROR(VLOOKUP(E1610,Specifications!$A$2:$D$9,4,FALSE),"")</f>
        <v/>
      </c>
      <c r="P1610" s="8" t="str">
        <f t="shared" si="78"/>
        <v/>
      </c>
      <c r="Q1610" s="9"/>
    </row>
    <row r="1611" spans="1:17" ht="15">
      <c r="A1611" s="5" t="str">
        <f t="shared" si="76"/>
        <v/>
      </c>
      <c r="B1611" s="6"/>
      <c r="C1611" s="5" t="str">
        <f>IFERROR(VLOOKUP(B1611,Lists!$A$2:$B$25,2,FALSE),"")</f>
        <v/>
      </c>
      <c r="D1611" s="7"/>
      <c r="E1611" s="6"/>
      <c r="F1611" s="6" t="str">
        <f t="shared" si="77"/>
        <v/>
      </c>
      <c r="G1611" s="6"/>
      <c r="H1611" s="6"/>
      <c r="I1611" s="6"/>
      <c r="J1611" s="7"/>
      <c r="K1611" s="5" t="str" cm="1">
        <f t="array" ref="K1611">IF(OR(A1611="",B1611="",D1611="",E1611=""),"",A1611&amp;"_"&amp;SUBSTITUTE(B1611," ","-")&amp;"_"&amp;D1611&amp;"_"&amp;SUBSTITUTE(SUBSTITUTE(E1611," ",""),"€","Euro")&amp;"_"&amp;IF(F1611="","Unknown",F1611)&amp;IF(F1611="Commemorative",IF(G1611="","","_"&amp;SUBSTITUTE(SUBSTITUTE(SUBSTITUTE(G1611," ","-"),"/","-"),CHAR(39),"")),"")&amp;IF(I1611="Duplicate","_Dub"&amp;IF(SUMPRODUCT(($B$2:B1611=B1611)*($D$2:D1611=D1611)*($E$2:E1611=E1611)*($F$2:F1611=F1611)*($G$2:G1611=G1611)*($I$2:I1611="Duplicate"))&lt;=1,"",SUMPRODUCT(($B$2:B1611=B1611)*($D$2:D1611=D1611)*($E$2:E1611=E1611)*($F$2:F1611=F1611)*($G$2:G1611=G1611)*($I$2:I1611="Duplicate"))-1),"")&amp;".jpeg")</f>
        <v/>
      </c>
      <c r="L1611" s="6"/>
      <c r="M1611" s="5" t="str">
        <f>IFERROR(VLOOKUP(E1611,Specifications!$A$2:$D$9,2,FALSE),"")</f>
        <v/>
      </c>
      <c r="N1611" s="5" t="str">
        <f>IFERROR(VLOOKUP(E1611,Specifications!$A$2:$D$9,3,FALSE),"")</f>
        <v/>
      </c>
      <c r="O1611" s="5" t="str">
        <f>IFERROR(VLOOKUP(E1611,Specifications!$A$2:$D$9,4,FALSE),"")</f>
        <v/>
      </c>
      <c r="P1611" s="8" t="str">
        <f t="shared" si="78"/>
        <v/>
      </c>
      <c r="Q1611" s="9"/>
    </row>
    <row r="1612" spans="1:17" ht="15">
      <c r="A1612" s="5" t="str">
        <f t="shared" si="76"/>
        <v/>
      </c>
      <c r="B1612" s="6"/>
      <c r="C1612" s="5" t="str">
        <f>IFERROR(VLOOKUP(B1612,Lists!$A$2:$B$25,2,FALSE),"")</f>
        <v/>
      </c>
      <c r="D1612" s="7"/>
      <c r="E1612" s="6"/>
      <c r="F1612" s="6" t="str">
        <f t="shared" si="77"/>
        <v/>
      </c>
      <c r="G1612" s="6"/>
      <c r="H1612" s="6"/>
      <c r="I1612" s="6"/>
      <c r="J1612" s="7"/>
      <c r="K1612" s="5" t="str" cm="1">
        <f t="array" ref="K1612">IF(OR(A1612="",B1612="",D1612="",E1612=""),"",A1612&amp;"_"&amp;SUBSTITUTE(B1612," ","-")&amp;"_"&amp;D1612&amp;"_"&amp;SUBSTITUTE(SUBSTITUTE(E1612," ",""),"€","Euro")&amp;"_"&amp;IF(F1612="","Unknown",F1612)&amp;IF(F1612="Commemorative",IF(G1612="","","_"&amp;SUBSTITUTE(SUBSTITUTE(SUBSTITUTE(G1612," ","-"),"/","-"),CHAR(39),"")),"")&amp;IF(I1612="Duplicate","_Dub"&amp;IF(SUMPRODUCT(($B$2:B1612=B1612)*($D$2:D1612=D1612)*($E$2:E1612=E1612)*($F$2:F1612=F1612)*($G$2:G1612=G1612)*($I$2:I1612="Duplicate"))&lt;=1,"",SUMPRODUCT(($B$2:B1612=B1612)*($D$2:D1612=D1612)*($E$2:E1612=E1612)*($F$2:F1612=F1612)*($G$2:G1612=G1612)*($I$2:I1612="Duplicate"))-1),"")&amp;".jpeg")</f>
        <v/>
      </c>
      <c r="L1612" s="6"/>
      <c r="M1612" s="5" t="str">
        <f>IFERROR(VLOOKUP(E1612,Specifications!$A$2:$D$9,2,FALSE),"")</f>
        <v/>
      </c>
      <c r="N1612" s="5" t="str">
        <f>IFERROR(VLOOKUP(E1612,Specifications!$A$2:$D$9,3,FALSE),"")</f>
        <v/>
      </c>
      <c r="O1612" s="5" t="str">
        <f>IFERROR(VLOOKUP(E1612,Specifications!$A$2:$D$9,4,FALSE),"")</f>
        <v/>
      </c>
      <c r="P1612" s="8" t="str">
        <f t="shared" si="78"/>
        <v/>
      </c>
      <c r="Q1612" s="9"/>
    </row>
    <row r="1613" spans="1:17" ht="15">
      <c r="A1613" s="5" t="str">
        <f t="shared" si="76"/>
        <v/>
      </c>
      <c r="B1613" s="6"/>
      <c r="C1613" s="5" t="str">
        <f>IFERROR(VLOOKUP(B1613,Lists!$A$2:$B$25,2,FALSE),"")</f>
        <v/>
      </c>
      <c r="D1613" s="7"/>
      <c r="E1613" s="6"/>
      <c r="F1613" s="6" t="str">
        <f t="shared" si="77"/>
        <v/>
      </c>
      <c r="G1613" s="6"/>
      <c r="H1613" s="6"/>
      <c r="I1613" s="6"/>
      <c r="J1613" s="7"/>
      <c r="K1613" s="5" t="str" cm="1">
        <f t="array" ref="K1613">IF(OR(A1613="",B1613="",D1613="",E1613=""),"",A1613&amp;"_"&amp;SUBSTITUTE(B1613," ","-")&amp;"_"&amp;D1613&amp;"_"&amp;SUBSTITUTE(SUBSTITUTE(E1613," ",""),"€","Euro")&amp;"_"&amp;IF(F1613="","Unknown",F1613)&amp;IF(F1613="Commemorative",IF(G1613="","","_"&amp;SUBSTITUTE(SUBSTITUTE(SUBSTITUTE(G1613," ","-"),"/","-"),CHAR(39),"")),"")&amp;IF(I1613="Duplicate","_Dub"&amp;IF(SUMPRODUCT(($B$2:B1613=B1613)*($D$2:D1613=D1613)*($E$2:E1613=E1613)*($F$2:F1613=F1613)*($G$2:G1613=G1613)*($I$2:I1613="Duplicate"))&lt;=1,"",SUMPRODUCT(($B$2:B1613=B1613)*($D$2:D1613=D1613)*($E$2:E1613=E1613)*($F$2:F1613=F1613)*($G$2:G1613=G1613)*($I$2:I1613="Duplicate"))-1),"")&amp;".jpeg")</f>
        <v/>
      </c>
      <c r="L1613" s="6"/>
      <c r="M1613" s="5" t="str">
        <f>IFERROR(VLOOKUP(E1613,Specifications!$A$2:$D$9,2,FALSE),"")</f>
        <v/>
      </c>
      <c r="N1613" s="5" t="str">
        <f>IFERROR(VLOOKUP(E1613,Specifications!$A$2:$D$9,3,FALSE),"")</f>
        <v/>
      </c>
      <c r="O1613" s="5" t="str">
        <f>IFERROR(VLOOKUP(E1613,Specifications!$A$2:$D$9,4,FALSE),"")</f>
        <v/>
      </c>
      <c r="P1613" s="8" t="str">
        <f t="shared" si="78"/>
        <v/>
      </c>
      <c r="Q1613" s="9"/>
    </row>
    <row r="1614" spans="1:17" ht="15">
      <c r="A1614" s="5" t="str">
        <f t="shared" si="76"/>
        <v/>
      </c>
      <c r="B1614" s="6"/>
      <c r="C1614" s="5" t="str">
        <f>IFERROR(VLOOKUP(B1614,Lists!$A$2:$B$25,2,FALSE),"")</f>
        <v/>
      </c>
      <c r="D1614" s="7"/>
      <c r="E1614" s="6"/>
      <c r="F1614" s="6" t="str">
        <f t="shared" si="77"/>
        <v/>
      </c>
      <c r="G1614" s="6"/>
      <c r="H1614" s="6"/>
      <c r="I1614" s="6"/>
      <c r="J1614" s="7"/>
      <c r="K1614" s="5" t="str" cm="1">
        <f t="array" ref="K1614">IF(OR(A1614="",B1614="",D1614="",E1614=""),"",A1614&amp;"_"&amp;SUBSTITUTE(B1614," ","-")&amp;"_"&amp;D1614&amp;"_"&amp;SUBSTITUTE(SUBSTITUTE(E1614," ",""),"€","Euro")&amp;"_"&amp;IF(F1614="","Unknown",F1614)&amp;IF(F1614="Commemorative",IF(G1614="","","_"&amp;SUBSTITUTE(SUBSTITUTE(SUBSTITUTE(G1614," ","-"),"/","-"),CHAR(39),"")),"")&amp;IF(I1614="Duplicate","_Dub"&amp;IF(SUMPRODUCT(($B$2:B1614=B1614)*($D$2:D1614=D1614)*($E$2:E1614=E1614)*($F$2:F1614=F1614)*($G$2:G1614=G1614)*($I$2:I1614="Duplicate"))&lt;=1,"",SUMPRODUCT(($B$2:B1614=B1614)*($D$2:D1614=D1614)*($E$2:E1614=E1614)*($F$2:F1614=F1614)*($G$2:G1614=G1614)*($I$2:I1614="Duplicate"))-1),"")&amp;".jpeg")</f>
        <v/>
      </c>
      <c r="L1614" s="6"/>
      <c r="M1614" s="5" t="str">
        <f>IFERROR(VLOOKUP(E1614,Specifications!$A$2:$D$9,2,FALSE),"")</f>
        <v/>
      </c>
      <c r="N1614" s="5" t="str">
        <f>IFERROR(VLOOKUP(E1614,Specifications!$A$2:$D$9,3,FALSE),"")</f>
        <v/>
      </c>
      <c r="O1614" s="5" t="str">
        <f>IFERROR(VLOOKUP(E1614,Specifications!$A$2:$D$9,4,FALSE),"")</f>
        <v/>
      </c>
      <c r="P1614" s="8" t="str">
        <f t="shared" si="78"/>
        <v/>
      </c>
      <c r="Q1614" s="9"/>
    </row>
    <row r="1615" spans="1:17" ht="15">
      <c r="A1615" s="5" t="str">
        <f t="shared" si="76"/>
        <v/>
      </c>
      <c r="B1615" s="6"/>
      <c r="C1615" s="5" t="str">
        <f>IFERROR(VLOOKUP(B1615,Lists!$A$2:$B$25,2,FALSE),"")</f>
        <v/>
      </c>
      <c r="D1615" s="7"/>
      <c r="E1615" s="6"/>
      <c r="F1615" s="6" t="str">
        <f t="shared" si="77"/>
        <v/>
      </c>
      <c r="G1615" s="6"/>
      <c r="H1615" s="6"/>
      <c r="I1615" s="6"/>
      <c r="J1615" s="7"/>
      <c r="K1615" s="5" t="str" cm="1">
        <f t="array" ref="K1615">IF(OR(A1615="",B1615="",D1615="",E1615=""),"",A1615&amp;"_"&amp;SUBSTITUTE(B1615," ","-")&amp;"_"&amp;D1615&amp;"_"&amp;SUBSTITUTE(SUBSTITUTE(E1615," ",""),"€","Euro")&amp;"_"&amp;IF(F1615="","Unknown",F1615)&amp;IF(F1615="Commemorative",IF(G1615="","","_"&amp;SUBSTITUTE(SUBSTITUTE(SUBSTITUTE(G1615," ","-"),"/","-"),CHAR(39),"")),"")&amp;IF(I1615="Duplicate","_Dub"&amp;IF(SUMPRODUCT(($B$2:B1615=B1615)*($D$2:D1615=D1615)*($E$2:E1615=E1615)*($F$2:F1615=F1615)*($G$2:G1615=G1615)*($I$2:I1615="Duplicate"))&lt;=1,"",SUMPRODUCT(($B$2:B1615=B1615)*($D$2:D1615=D1615)*($E$2:E1615=E1615)*($F$2:F1615=F1615)*($G$2:G1615=G1615)*($I$2:I1615="Duplicate"))-1),"")&amp;".jpeg")</f>
        <v/>
      </c>
      <c r="L1615" s="6"/>
      <c r="M1615" s="5" t="str">
        <f>IFERROR(VLOOKUP(E1615,Specifications!$A$2:$D$9,2,FALSE),"")</f>
        <v/>
      </c>
      <c r="N1615" s="5" t="str">
        <f>IFERROR(VLOOKUP(E1615,Specifications!$A$2:$D$9,3,FALSE),"")</f>
        <v/>
      </c>
      <c r="O1615" s="5" t="str">
        <f>IFERROR(VLOOKUP(E1615,Specifications!$A$2:$D$9,4,FALSE),"")</f>
        <v/>
      </c>
      <c r="P1615" s="8" t="str">
        <f t="shared" si="78"/>
        <v/>
      </c>
      <c r="Q1615" s="9"/>
    </row>
    <row r="1616" spans="1:17" ht="15">
      <c r="A1616" s="5" t="str">
        <f t="shared" si="76"/>
        <v/>
      </c>
      <c r="B1616" s="6"/>
      <c r="C1616" s="5" t="str">
        <f>IFERROR(VLOOKUP(B1616,Lists!$A$2:$B$25,2,FALSE),"")</f>
        <v/>
      </c>
      <c r="D1616" s="7"/>
      <c r="E1616" s="6"/>
      <c r="F1616" s="6" t="str">
        <f t="shared" si="77"/>
        <v/>
      </c>
      <c r="G1616" s="6"/>
      <c r="H1616" s="6"/>
      <c r="I1616" s="6"/>
      <c r="J1616" s="7"/>
      <c r="K1616" s="5" t="str" cm="1">
        <f t="array" ref="K1616">IF(OR(A1616="",B1616="",D1616="",E1616=""),"",A1616&amp;"_"&amp;SUBSTITUTE(B1616," ","-")&amp;"_"&amp;D1616&amp;"_"&amp;SUBSTITUTE(SUBSTITUTE(E1616," ",""),"€","Euro")&amp;"_"&amp;IF(F1616="","Unknown",F1616)&amp;IF(F1616="Commemorative",IF(G1616="","","_"&amp;SUBSTITUTE(SUBSTITUTE(SUBSTITUTE(G1616," ","-"),"/","-"),CHAR(39),"")),"")&amp;IF(I1616="Duplicate","_Dub"&amp;IF(SUMPRODUCT(($B$2:B1616=B1616)*($D$2:D1616=D1616)*($E$2:E1616=E1616)*($F$2:F1616=F1616)*($G$2:G1616=G1616)*($I$2:I1616="Duplicate"))&lt;=1,"",SUMPRODUCT(($B$2:B1616=B1616)*($D$2:D1616=D1616)*($E$2:E1616=E1616)*($F$2:F1616=F1616)*($G$2:G1616=G1616)*($I$2:I1616="Duplicate"))-1),"")&amp;".jpeg")</f>
        <v/>
      </c>
      <c r="L1616" s="6"/>
      <c r="M1616" s="5" t="str">
        <f>IFERROR(VLOOKUP(E1616,Specifications!$A$2:$D$9,2,FALSE),"")</f>
        <v/>
      </c>
      <c r="N1616" s="5" t="str">
        <f>IFERROR(VLOOKUP(E1616,Specifications!$A$2:$D$9,3,FALSE),"")</f>
        <v/>
      </c>
      <c r="O1616" s="5" t="str">
        <f>IFERROR(VLOOKUP(E1616,Specifications!$A$2:$D$9,4,FALSE),"")</f>
        <v/>
      </c>
      <c r="P1616" s="8" t="str">
        <f t="shared" si="78"/>
        <v/>
      </c>
      <c r="Q1616" s="9"/>
    </row>
    <row r="1617" spans="1:17" ht="15">
      <c r="A1617" s="5" t="str">
        <f t="shared" si="76"/>
        <v/>
      </c>
      <c r="B1617" s="6"/>
      <c r="C1617" s="5" t="str">
        <f>IFERROR(VLOOKUP(B1617,Lists!$A$2:$B$25,2,FALSE),"")</f>
        <v/>
      </c>
      <c r="D1617" s="7"/>
      <c r="E1617" s="6"/>
      <c r="F1617" s="6" t="str">
        <f t="shared" si="77"/>
        <v/>
      </c>
      <c r="G1617" s="6"/>
      <c r="H1617" s="6"/>
      <c r="I1617" s="6"/>
      <c r="J1617" s="7"/>
      <c r="K1617" s="5" t="str" cm="1">
        <f t="array" ref="K1617">IF(OR(A1617="",B1617="",D1617="",E1617=""),"",A1617&amp;"_"&amp;SUBSTITUTE(B1617," ","-")&amp;"_"&amp;D1617&amp;"_"&amp;SUBSTITUTE(SUBSTITUTE(E1617," ",""),"€","Euro")&amp;"_"&amp;IF(F1617="","Unknown",F1617)&amp;IF(F1617="Commemorative",IF(G1617="","","_"&amp;SUBSTITUTE(SUBSTITUTE(SUBSTITUTE(G1617," ","-"),"/","-"),CHAR(39),"")),"")&amp;IF(I1617="Duplicate","_Dub"&amp;IF(SUMPRODUCT(($B$2:B1617=B1617)*($D$2:D1617=D1617)*($E$2:E1617=E1617)*($F$2:F1617=F1617)*($G$2:G1617=G1617)*($I$2:I1617="Duplicate"))&lt;=1,"",SUMPRODUCT(($B$2:B1617=B1617)*($D$2:D1617=D1617)*($E$2:E1617=E1617)*($F$2:F1617=F1617)*($G$2:G1617=G1617)*($I$2:I1617="Duplicate"))-1),"")&amp;".jpeg")</f>
        <v/>
      </c>
      <c r="L1617" s="6"/>
      <c r="M1617" s="5" t="str">
        <f>IFERROR(VLOOKUP(E1617,Specifications!$A$2:$D$9,2,FALSE),"")</f>
        <v/>
      </c>
      <c r="N1617" s="5" t="str">
        <f>IFERROR(VLOOKUP(E1617,Specifications!$A$2:$D$9,3,FALSE),"")</f>
        <v/>
      </c>
      <c r="O1617" s="5" t="str">
        <f>IFERROR(VLOOKUP(E1617,Specifications!$A$2:$D$9,4,FALSE),"")</f>
        <v/>
      </c>
      <c r="P1617" s="8" t="str">
        <f t="shared" si="78"/>
        <v/>
      </c>
      <c r="Q1617" s="9"/>
    </row>
    <row r="1618" spans="1:17" ht="15">
      <c r="A1618" s="5" t="str">
        <f t="shared" si="76"/>
        <v/>
      </c>
      <c r="B1618" s="6"/>
      <c r="C1618" s="5" t="str">
        <f>IFERROR(VLOOKUP(B1618,Lists!$A$2:$B$25,2,FALSE),"")</f>
        <v/>
      </c>
      <c r="D1618" s="7"/>
      <c r="E1618" s="6"/>
      <c r="F1618" s="6" t="str">
        <f t="shared" si="77"/>
        <v/>
      </c>
      <c r="G1618" s="6"/>
      <c r="H1618" s="6"/>
      <c r="I1618" s="6"/>
      <c r="J1618" s="7"/>
      <c r="K1618" s="5" t="str" cm="1">
        <f t="array" ref="K1618">IF(OR(A1618="",B1618="",D1618="",E1618=""),"",A1618&amp;"_"&amp;SUBSTITUTE(B1618," ","-")&amp;"_"&amp;D1618&amp;"_"&amp;SUBSTITUTE(SUBSTITUTE(E1618," ",""),"€","Euro")&amp;"_"&amp;IF(F1618="","Unknown",F1618)&amp;IF(F1618="Commemorative",IF(G1618="","","_"&amp;SUBSTITUTE(SUBSTITUTE(SUBSTITUTE(G1618," ","-"),"/","-"),CHAR(39),"")),"")&amp;IF(I1618="Duplicate","_Dub"&amp;IF(SUMPRODUCT(($B$2:B1618=B1618)*($D$2:D1618=D1618)*($E$2:E1618=E1618)*($F$2:F1618=F1618)*($G$2:G1618=G1618)*($I$2:I1618="Duplicate"))&lt;=1,"",SUMPRODUCT(($B$2:B1618=B1618)*($D$2:D1618=D1618)*($E$2:E1618=E1618)*($F$2:F1618=F1618)*($G$2:G1618=G1618)*($I$2:I1618="Duplicate"))-1),"")&amp;".jpeg")</f>
        <v/>
      </c>
      <c r="L1618" s="6"/>
      <c r="M1618" s="5" t="str">
        <f>IFERROR(VLOOKUP(E1618,Specifications!$A$2:$D$9,2,FALSE),"")</f>
        <v/>
      </c>
      <c r="N1618" s="5" t="str">
        <f>IFERROR(VLOOKUP(E1618,Specifications!$A$2:$D$9,3,FALSE),"")</f>
        <v/>
      </c>
      <c r="O1618" s="5" t="str">
        <f>IFERROR(VLOOKUP(E1618,Specifications!$A$2:$D$9,4,FALSE),"")</f>
        <v/>
      </c>
      <c r="P1618" s="8" t="str">
        <f t="shared" si="78"/>
        <v/>
      </c>
      <c r="Q1618" s="9"/>
    </row>
    <row r="1619" spans="1:17" ht="15">
      <c r="A1619" s="5" t="str">
        <f t="shared" si="76"/>
        <v/>
      </c>
      <c r="B1619" s="6"/>
      <c r="C1619" s="5" t="str">
        <f>IFERROR(VLOOKUP(B1619,Lists!$A$2:$B$25,2,FALSE),"")</f>
        <v/>
      </c>
      <c r="D1619" s="7"/>
      <c r="E1619" s="6"/>
      <c r="F1619" s="6" t="str">
        <f t="shared" si="77"/>
        <v/>
      </c>
      <c r="G1619" s="6"/>
      <c r="H1619" s="6"/>
      <c r="I1619" s="6"/>
      <c r="J1619" s="7"/>
      <c r="K1619" s="5" t="str" cm="1">
        <f t="array" ref="K1619">IF(OR(A1619="",B1619="",D1619="",E1619=""),"",A1619&amp;"_"&amp;SUBSTITUTE(B1619," ","-")&amp;"_"&amp;D1619&amp;"_"&amp;SUBSTITUTE(SUBSTITUTE(E1619," ",""),"€","Euro")&amp;"_"&amp;IF(F1619="","Unknown",F1619)&amp;IF(F1619="Commemorative",IF(G1619="","","_"&amp;SUBSTITUTE(SUBSTITUTE(SUBSTITUTE(G1619," ","-"),"/","-"),CHAR(39),"")),"")&amp;IF(I1619="Duplicate","_Dub"&amp;IF(SUMPRODUCT(($B$2:B1619=B1619)*($D$2:D1619=D1619)*($E$2:E1619=E1619)*($F$2:F1619=F1619)*($G$2:G1619=G1619)*($I$2:I1619="Duplicate"))&lt;=1,"",SUMPRODUCT(($B$2:B1619=B1619)*($D$2:D1619=D1619)*($E$2:E1619=E1619)*($F$2:F1619=F1619)*($G$2:G1619=G1619)*($I$2:I1619="Duplicate"))-1),"")&amp;".jpeg")</f>
        <v/>
      </c>
      <c r="L1619" s="6"/>
      <c r="M1619" s="5" t="str">
        <f>IFERROR(VLOOKUP(E1619,Specifications!$A$2:$D$9,2,FALSE),"")</f>
        <v/>
      </c>
      <c r="N1619" s="5" t="str">
        <f>IFERROR(VLOOKUP(E1619,Specifications!$A$2:$D$9,3,FALSE),"")</f>
        <v/>
      </c>
      <c r="O1619" s="5" t="str">
        <f>IFERROR(VLOOKUP(E1619,Specifications!$A$2:$D$9,4,FALSE),"")</f>
        <v/>
      </c>
      <c r="P1619" s="8" t="str">
        <f t="shared" si="78"/>
        <v/>
      </c>
      <c r="Q1619" s="9"/>
    </row>
    <row r="1620" spans="1:17" ht="15">
      <c r="A1620" s="5" t="str">
        <f t="shared" si="76"/>
        <v/>
      </c>
      <c r="B1620" s="6"/>
      <c r="C1620" s="5" t="str">
        <f>IFERROR(VLOOKUP(B1620,Lists!$A$2:$B$25,2,FALSE),"")</f>
        <v/>
      </c>
      <c r="D1620" s="7"/>
      <c r="E1620" s="6"/>
      <c r="F1620" s="6" t="str">
        <f t="shared" si="77"/>
        <v/>
      </c>
      <c r="G1620" s="6"/>
      <c r="H1620" s="6"/>
      <c r="I1620" s="6"/>
      <c r="J1620" s="7"/>
      <c r="K1620" s="5" t="str" cm="1">
        <f t="array" ref="K1620">IF(OR(A1620="",B1620="",D1620="",E1620=""),"",A1620&amp;"_"&amp;SUBSTITUTE(B1620," ","-")&amp;"_"&amp;D1620&amp;"_"&amp;SUBSTITUTE(SUBSTITUTE(E1620," ",""),"€","Euro")&amp;"_"&amp;IF(F1620="","Unknown",F1620)&amp;IF(F1620="Commemorative",IF(G1620="","","_"&amp;SUBSTITUTE(SUBSTITUTE(SUBSTITUTE(G1620," ","-"),"/","-"),CHAR(39),"")),"")&amp;IF(I1620="Duplicate","_Dub"&amp;IF(SUMPRODUCT(($B$2:B1620=B1620)*($D$2:D1620=D1620)*($E$2:E1620=E1620)*($F$2:F1620=F1620)*($G$2:G1620=G1620)*($I$2:I1620="Duplicate"))&lt;=1,"",SUMPRODUCT(($B$2:B1620=B1620)*($D$2:D1620=D1620)*($E$2:E1620=E1620)*($F$2:F1620=F1620)*($G$2:G1620=G1620)*($I$2:I1620="Duplicate"))-1),"")&amp;".jpeg")</f>
        <v/>
      </c>
      <c r="L1620" s="6"/>
      <c r="M1620" s="5" t="str">
        <f>IFERROR(VLOOKUP(E1620,Specifications!$A$2:$D$9,2,FALSE),"")</f>
        <v/>
      </c>
      <c r="N1620" s="5" t="str">
        <f>IFERROR(VLOOKUP(E1620,Specifications!$A$2:$D$9,3,FALSE),"")</f>
        <v/>
      </c>
      <c r="O1620" s="5" t="str">
        <f>IFERROR(VLOOKUP(E1620,Specifications!$A$2:$D$9,4,FALSE),"")</f>
        <v/>
      </c>
      <c r="P1620" s="8" t="str">
        <f t="shared" si="78"/>
        <v/>
      </c>
      <c r="Q1620" s="9"/>
    </row>
    <row r="1621" spans="1:17" ht="15">
      <c r="A1621" s="5" t="str">
        <f t="shared" si="76"/>
        <v/>
      </c>
      <c r="B1621" s="6"/>
      <c r="C1621" s="5" t="str">
        <f>IFERROR(VLOOKUP(B1621,Lists!$A$2:$B$25,2,FALSE),"")</f>
        <v/>
      </c>
      <c r="D1621" s="7"/>
      <c r="E1621" s="6"/>
      <c r="F1621" s="6" t="str">
        <f t="shared" si="77"/>
        <v/>
      </c>
      <c r="G1621" s="6"/>
      <c r="H1621" s="6"/>
      <c r="I1621" s="6"/>
      <c r="J1621" s="7"/>
      <c r="K1621" s="5" t="str" cm="1">
        <f t="array" ref="K1621">IF(OR(A1621="",B1621="",D1621="",E1621=""),"",A1621&amp;"_"&amp;SUBSTITUTE(B1621," ","-")&amp;"_"&amp;D1621&amp;"_"&amp;SUBSTITUTE(SUBSTITUTE(E1621," ",""),"€","Euro")&amp;"_"&amp;IF(F1621="","Unknown",F1621)&amp;IF(F1621="Commemorative",IF(G1621="","","_"&amp;SUBSTITUTE(SUBSTITUTE(SUBSTITUTE(G1621," ","-"),"/","-"),CHAR(39),"")),"")&amp;IF(I1621="Duplicate","_Dub"&amp;IF(SUMPRODUCT(($B$2:B1621=B1621)*($D$2:D1621=D1621)*($E$2:E1621=E1621)*($F$2:F1621=F1621)*($G$2:G1621=G1621)*($I$2:I1621="Duplicate"))&lt;=1,"",SUMPRODUCT(($B$2:B1621=B1621)*($D$2:D1621=D1621)*($E$2:E1621=E1621)*($F$2:F1621=F1621)*($G$2:G1621=G1621)*($I$2:I1621="Duplicate"))-1),"")&amp;".jpeg")</f>
        <v/>
      </c>
      <c r="L1621" s="6"/>
      <c r="M1621" s="5" t="str">
        <f>IFERROR(VLOOKUP(E1621,Specifications!$A$2:$D$9,2,FALSE),"")</f>
        <v/>
      </c>
      <c r="N1621" s="5" t="str">
        <f>IFERROR(VLOOKUP(E1621,Specifications!$A$2:$D$9,3,FALSE),"")</f>
        <v/>
      </c>
      <c r="O1621" s="5" t="str">
        <f>IFERROR(VLOOKUP(E1621,Specifications!$A$2:$D$9,4,FALSE),"")</f>
        <v/>
      </c>
      <c r="P1621" s="8" t="str">
        <f t="shared" si="78"/>
        <v/>
      </c>
      <c r="Q1621" s="9"/>
    </row>
    <row r="1622" spans="1:17" ht="15">
      <c r="A1622" s="5" t="str">
        <f t="shared" si="76"/>
        <v/>
      </c>
      <c r="B1622" s="6"/>
      <c r="C1622" s="5" t="str">
        <f>IFERROR(VLOOKUP(B1622,Lists!$A$2:$B$25,2,FALSE),"")</f>
        <v/>
      </c>
      <c r="D1622" s="7"/>
      <c r="E1622" s="6"/>
      <c r="F1622" s="6" t="str">
        <f t="shared" si="77"/>
        <v/>
      </c>
      <c r="G1622" s="6"/>
      <c r="H1622" s="6"/>
      <c r="I1622" s="6"/>
      <c r="J1622" s="7"/>
      <c r="K1622" s="5" t="str" cm="1">
        <f t="array" ref="K1622">IF(OR(A1622="",B1622="",D1622="",E1622=""),"",A1622&amp;"_"&amp;SUBSTITUTE(B1622," ","-")&amp;"_"&amp;D1622&amp;"_"&amp;SUBSTITUTE(SUBSTITUTE(E1622," ",""),"€","Euro")&amp;"_"&amp;IF(F1622="","Unknown",F1622)&amp;IF(F1622="Commemorative",IF(G1622="","","_"&amp;SUBSTITUTE(SUBSTITUTE(SUBSTITUTE(G1622," ","-"),"/","-"),CHAR(39),"")),"")&amp;IF(I1622="Duplicate","_Dub"&amp;IF(SUMPRODUCT(($B$2:B1622=B1622)*($D$2:D1622=D1622)*($E$2:E1622=E1622)*($F$2:F1622=F1622)*($G$2:G1622=G1622)*($I$2:I1622="Duplicate"))&lt;=1,"",SUMPRODUCT(($B$2:B1622=B1622)*($D$2:D1622=D1622)*($E$2:E1622=E1622)*($F$2:F1622=F1622)*($G$2:G1622=G1622)*($I$2:I1622="Duplicate"))-1),"")&amp;".jpeg")</f>
        <v/>
      </c>
      <c r="L1622" s="6"/>
      <c r="M1622" s="5" t="str">
        <f>IFERROR(VLOOKUP(E1622,Specifications!$A$2:$D$9,2,FALSE),"")</f>
        <v/>
      </c>
      <c r="N1622" s="5" t="str">
        <f>IFERROR(VLOOKUP(E1622,Specifications!$A$2:$D$9,3,FALSE),"")</f>
        <v/>
      </c>
      <c r="O1622" s="5" t="str">
        <f>IFERROR(VLOOKUP(E1622,Specifications!$A$2:$D$9,4,FALSE),"")</f>
        <v/>
      </c>
      <c r="P1622" s="8" t="str">
        <f t="shared" si="78"/>
        <v/>
      </c>
      <c r="Q1622" s="9"/>
    </row>
    <row r="1623" spans="1:17" ht="15">
      <c r="A1623" s="5" t="str">
        <f t="shared" si="76"/>
        <v/>
      </c>
      <c r="B1623" s="6"/>
      <c r="C1623" s="5" t="str">
        <f>IFERROR(VLOOKUP(B1623,Lists!$A$2:$B$25,2,FALSE),"")</f>
        <v/>
      </c>
      <c r="D1623" s="7"/>
      <c r="E1623" s="6"/>
      <c r="F1623" s="6" t="str">
        <f t="shared" si="77"/>
        <v/>
      </c>
      <c r="G1623" s="6"/>
      <c r="H1623" s="6"/>
      <c r="I1623" s="6"/>
      <c r="J1623" s="7"/>
      <c r="K1623" s="5" t="str" cm="1">
        <f t="array" ref="K1623">IF(OR(A1623="",B1623="",D1623="",E1623=""),"",A1623&amp;"_"&amp;SUBSTITUTE(B1623," ","-")&amp;"_"&amp;D1623&amp;"_"&amp;SUBSTITUTE(SUBSTITUTE(E1623," ",""),"€","Euro")&amp;"_"&amp;IF(F1623="","Unknown",F1623)&amp;IF(F1623="Commemorative",IF(G1623="","","_"&amp;SUBSTITUTE(SUBSTITUTE(SUBSTITUTE(G1623," ","-"),"/","-"),CHAR(39),"")),"")&amp;IF(I1623="Duplicate","_Dub"&amp;IF(SUMPRODUCT(($B$2:B1623=B1623)*($D$2:D1623=D1623)*($E$2:E1623=E1623)*($F$2:F1623=F1623)*($G$2:G1623=G1623)*($I$2:I1623="Duplicate"))&lt;=1,"",SUMPRODUCT(($B$2:B1623=B1623)*($D$2:D1623=D1623)*($E$2:E1623=E1623)*($F$2:F1623=F1623)*($G$2:G1623=G1623)*($I$2:I1623="Duplicate"))-1),"")&amp;".jpeg")</f>
        <v/>
      </c>
      <c r="L1623" s="6"/>
      <c r="M1623" s="5" t="str">
        <f>IFERROR(VLOOKUP(E1623,Specifications!$A$2:$D$9,2,FALSE),"")</f>
        <v/>
      </c>
      <c r="N1623" s="5" t="str">
        <f>IFERROR(VLOOKUP(E1623,Specifications!$A$2:$D$9,3,FALSE),"")</f>
        <v/>
      </c>
      <c r="O1623" s="5" t="str">
        <f>IFERROR(VLOOKUP(E1623,Specifications!$A$2:$D$9,4,FALSE),"")</f>
        <v/>
      </c>
      <c r="P1623" s="8" t="str">
        <f t="shared" si="78"/>
        <v/>
      </c>
      <c r="Q1623" s="9"/>
    </row>
    <row r="1624" spans="1:17" ht="15">
      <c r="A1624" s="5" t="str">
        <f t="shared" si="76"/>
        <v/>
      </c>
      <c r="B1624" s="6"/>
      <c r="C1624" s="5" t="str">
        <f>IFERROR(VLOOKUP(B1624,Lists!$A$2:$B$25,2,FALSE),"")</f>
        <v/>
      </c>
      <c r="D1624" s="7"/>
      <c r="E1624" s="6"/>
      <c r="F1624" s="6" t="str">
        <f t="shared" si="77"/>
        <v/>
      </c>
      <c r="G1624" s="6"/>
      <c r="H1624" s="6"/>
      <c r="I1624" s="6"/>
      <c r="J1624" s="7"/>
      <c r="K1624" s="5" t="str" cm="1">
        <f t="array" ref="K1624">IF(OR(A1624="",B1624="",D1624="",E1624=""),"",A1624&amp;"_"&amp;SUBSTITUTE(B1624," ","-")&amp;"_"&amp;D1624&amp;"_"&amp;SUBSTITUTE(SUBSTITUTE(E1624," ",""),"€","Euro")&amp;"_"&amp;IF(F1624="","Unknown",F1624)&amp;IF(F1624="Commemorative",IF(G1624="","","_"&amp;SUBSTITUTE(SUBSTITUTE(SUBSTITUTE(G1624," ","-"),"/","-"),CHAR(39),"")),"")&amp;IF(I1624="Duplicate","_Dub"&amp;IF(SUMPRODUCT(($B$2:B1624=B1624)*($D$2:D1624=D1624)*($E$2:E1624=E1624)*($F$2:F1624=F1624)*($G$2:G1624=G1624)*($I$2:I1624="Duplicate"))&lt;=1,"",SUMPRODUCT(($B$2:B1624=B1624)*($D$2:D1624=D1624)*($E$2:E1624=E1624)*($F$2:F1624=F1624)*($G$2:G1624=G1624)*($I$2:I1624="Duplicate"))-1),"")&amp;".jpeg")</f>
        <v/>
      </c>
      <c r="L1624" s="6"/>
      <c r="M1624" s="5" t="str">
        <f>IFERROR(VLOOKUP(E1624,Specifications!$A$2:$D$9,2,FALSE),"")</f>
        <v/>
      </c>
      <c r="N1624" s="5" t="str">
        <f>IFERROR(VLOOKUP(E1624,Specifications!$A$2:$D$9,3,FALSE),"")</f>
        <v/>
      </c>
      <c r="O1624" s="5" t="str">
        <f>IFERROR(VLOOKUP(E1624,Specifications!$A$2:$D$9,4,FALSE),"")</f>
        <v/>
      </c>
      <c r="P1624" s="8" t="str">
        <f t="shared" si="78"/>
        <v/>
      </c>
      <c r="Q1624" s="9"/>
    </row>
    <row r="1625" spans="1:17" ht="15">
      <c r="A1625" s="5" t="str">
        <f t="shared" si="76"/>
        <v/>
      </c>
      <c r="B1625" s="6"/>
      <c r="C1625" s="5" t="str">
        <f>IFERROR(VLOOKUP(B1625,Lists!$A$2:$B$25,2,FALSE),"")</f>
        <v/>
      </c>
      <c r="D1625" s="7"/>
      <c r="E1625" s="6"/>
      <c r="F1625" s="6" t="str">
        <f t="shared" si="77"/>
        <v/>
      </c>
      <c r="G1625" s="6"/>
      <c r="H1625" s="6"/>
      <c r="I1625" s="6"/>
      <c r="J1625" s="7"/>
      <c r="K1625" s="5" t="str" cm="1">
        <f t="array" ref="K1625">IF(OR(A1625="",B1625="",D1625="",E1625=""),"",A1625&amp;"_"&amp;SUBSTITUTE(B1625," ","-")&amp;"_"&amp;D1625&amp;"_"&amp;SUBSTITUTE(SUBSTITUTE(E1625," ",""),"€","Euro")&amp;"_"&amp;IF(F1625="","Unknown",F1625)&amp;IF(F1625="Commemorative",IF(G1625="","","_"&amp;SUBSTITUTE(SUBSTITUTE(SUBSTITUTE(G1625," ","-"),"/","-"),CHAR(39),"")),"")&amp;IF(I1625="Duplicate","_Dub"&amp;IF(SUMPRODUCT(($B$2:B1625=B1625)*($D$2:D1625=D1625)*($E$2:E1625=E1625)*($F$2:F1625=F1625)*($G$2:G1625=G1625)*($I$2:I1625="Duplicate"))&lt;=1,"",SUMPRODUCT(($B$2:B1625=B1625)*($D$2:D1625=D1625)*($E$2:E1625=E1625)*($F$2:F1625=F1625)*($G$2:G1625=G1625)*($I$2:I1625="Duplicate"))-1),"")&amp;".jpeg")</f>
        <v/>
      </c>
      <c r="L1625" s="6"/>
      <c r="M1625" s="5" t="str">
        <f>IFERROR(VLOOKUP(E1625,Specifications!$A$2:$D$9,2,FALSE),"")</f>
        <v/>
      </c>
      <c r="N1625" s="5" t="str">
        <f>IFERROR(VLOOKUP(E1625,Specifications!$A$2:$D$9,3,FALSE),"")</f>
        <v/>
      </c>
      <c r="O1625" s="5" t="str">
        <f>IFERROR(VLOOKUP(E1625,Specifications!$A$2:$D$9,4,FALSE),"")</f>
        <v/>
      </c>
      <c r="P1625" s="8" t="str">
        <f t="shared" si="78"/>
        <v/>
      </c>
      <c r="Q1625" s="9"/>
    </row>
    <row r="1626" spans="1:17" ht="15">
      <c r="A1626" s="5" t="str">
        <f t="shared" si="76"/>
        <v/>
      </c>
      <c r="B1626" s="6"/>
      <c r="C1626" s="5" t="str">
        <f>IFERROR(VLOOKUP(B1626,Lists!$A$2:$B$25,2,FALSE),"")</f>
        <v/>
      </c>
      <c r="D1626" s="7"/>
      <c r="E1626" s="6"/>
      <c r="F1626" s="6" t="str">
        <f t="shared" si="77"/>
        <v/>
      </c>
      <c r="G1626" s="6"/>
      <c r="H1626" s="6"/>
      <c r="I1626" s="6"/>
      <c r="J1626" s="7"/>
      <c r="K1626" s="5" t="str" cm="1">
        <f t="array" ref="K1626">IF(OR(A1626="",B1626="",D1626="",E1626=""),"",A1626&amp;"_"&amp;SUBSTITUTE(B1626," ","-")&amp;"_"&amp;D1626&amp;"_"&amp;SUBSTITUTE(SUBSTITUTE(E1626," ",""),"€","Euro")&amp;"_"&amp;IF(F1626="","Unknown",F1626)&amp;IF(F1626="Commemorative",IF(G1626="","","_"&amp;SUBSTITUTE(SUBSTITUTE(SUBSTITUTE(G1626," ","-"),"/","-"),CHAR(39),"")),"")&amp;IF(I1626="Duplicate","_Dub"&amp;IF(SUMPRODUCT(($B$2:B1626=B1626)*($D$2:D1626=D1626)*($E$2:E1626=E1626)*($F$2:F1626=F1626)*($G$2:G1626=G1626)*($I$2:I1626="Duplicate"))&lt;=1,"",SUMPRODUCT(($B$2:B1626=B1626)*($D$2:D1626=D1626)*($E$2:E1626=E1626)*($F$2:F1626=F1626)*($G$2:G1626=G1626)*($I$2:I1626="Duplicate"))-1),"")&amp;".jpeg")</f>
        <v/>
      </c>
      <c r="L1626" s="6"/>
      <c r="M1626" s="5" t="str">
        <f>IFERROR(VLOOKUP(E1626,Specifications!$A$2:$D$9,2,FALSE),"")</f>
        <v/>
      </c>
      <c r="N1626" s="5" t="str">
        <f>IFERROR(VLOOKUP(E1626,Specifications!$A$2:$D$9,3,FALSE),"")</f>
        <v/>
      </c>
      <c r="O1626" s="5" t="str">
        <f>IFERROR(VLOOKUP(E1626,Specifications!$A$2:$D$9,4,FALSE),"")</f>
        <v/>
      </c>
      <c r="P1626" s="8" t="str">
        <f t="shared" si="78"/>
        <v/>
      </c>
      <c r="Q1626" s="9"/>
    </row>
    <row r="1627" spans="1:17" ht="15">
      <c r="A1627" s="5" t="str">
        <f t="shared" si="76"/>
        <v/>
      </c>
      <c r="B1627" s="6"/>
      <c r="C1627" s="5" t="str">
        <f>IFERROR(VLOOKUP(B1627,Lists!$A$2:$B$25,2,FALSE),"")</f>
        <v/>
      </c>
      <c r="D1627" s="7"/>
      <c r="E1627" s="6"/>
      <c r="F1627" s="6" t="str">
        <f t="shared" si="77"/>
        <v/>
      </c>
      <c r="G1627" s="6"/>
      <c r="H1627" s="6"/>
      <c r="I1627" s="6"/>
      <c r="J1627" s="7"/>
      <c r="K1627" s="5" t="str" cm="1">
        <f t="array" ref="K1627">IF(OR(A1627="",B1627="",D1627="",E1627=""),"",A1627&amp;"_"&amp;SUBSTITUTE(B1627," ","-")&amp;"_"&amp;D1627&amp;"_"&amp;SUBSTITUTE(SUBSTITUTE(E1627," ",""),"€","Euro")&amp;"_"&amp;IF(F1627="","Unknown",F1627)&amp;IF(F1627="Commemorative",IF(G1627="","","_"&amp;SUBSTITUTE(SUBSTITUTE(SUBSTITUTE(G1627," ","-"),"/","-"),CHAR(39),"")),"")&amp;IF(I1627="Duplicate","_Dub"&amp;IF(SUMPRODUCT(($B$2:B1627=B1627)*($D$2:D1627=D1627)*($E$2:E1627=E1627)*($F$2:F1627=F1627)*($G$2:G1627=G1627)*($I$2:I1627="Duplicate"))&lt;=1,"",SUMPRODUCT(($B$2:B1627=B1627)*($D$2:D1627=D1627)*($E$2:E1627=E1627)*($F$2:F1627=F1627)*($G$2:G1627=G1627)*($I$2:I1627="Duplicate"))-1),"")&amp;".jpeg")</f>
        <v/>
      </c>
      <c r="L1627" s="6"/>
      <c r="M1627" s="5" t="str">
        <f>IFERROR(VLOOKUP(E1627,Specifications!$A$2:$D$9,2,FALSE),"")</f>
        <v/>
      </c>
      <c r="N1627" s="5" t="str">
        <f>IFERROR(VLOOKUP(E1627,Specifications!$A$2:$D$9,3,FALSE),"")</f>
        <v/>
      </c>
      <c r="O1627" s="5" t="str">
        <f>IFERROR(VLOOKUP(E1627,Specifications!$A$2:$D$9,4,FALSE),"")</f>
        <v/>
      </c>
      <c r="P1627" s="8" t="str">
        <f t="shared" si="78"/>
        <v/>
      </c>
      <c r="Q1627" s="9"/>
    </row>
    <row r="1628" spans="1:17" ht="15">
      <c r="A1628" s="5" t="str">
        <f t="shared" si="76"/>
        <v/>
      </c>
      <c r="B1628" s="6"/>
      <c r="C1628" s="5" t="str">
        <f>IFERROR(VLOOKUP(B1628,Lists!$A$2:$B$25,2,FALSE),"")</f>
        <v/>
      </c>
      <c r="D1628" s="7"/>
      <c r="E1628" s="6"/>
      <c r="F1628" s="6" t="str">
        <f t="shared" si="77"/>
        <v/>
      </c>
      <c r="G1628" s="6"/>
      <c r="H1628" s="6"/>
      <c r="I1628" s="6"/>
      <c r="J1628" s="7"/>
      <c r="K1628" s="5" t="str" cm="1">
        <f t="array" ref="K1628">IF(OR(A1628="",B1628="",D1628="",E1628=""),"",A1628&amp;"_"&amp;SUBSTITUTE(B1628," ","-")&amp;"_"&amp;D1628&amp;"_"&amp;SUBSTITUTE(SUBSTITUTE(E1628," ",""),"€","Euro")&amp;"_"&amp;IF(F1628="","Unknown",F1628)&amp;IF(F1628="Commemorative",IF(G1628="","","_"&amp;SUBSTITUTE(SUBSTITUTE(SUBSTITUTE(G1628," ","-"),"/","-"),CHAR(39),"")),"")&amp;IF(I1628="Duplicate","_Dub"&amp;IF(SUMPRODUCT(($B$2:B1628=B1628)*($D$2:D1628=D1628)*($E$2:E1628=E1628)*($F$2:F1628=F1628)*($G$2:G1628=G1628)*($I$2:I1628="Duplicate"))&lt;=1,"",SUMPRODUCT(($B$2:B1628=B1628)*($D$2:D1628=D1628)*($E$2:E1628=E1628)*($F$2:F1628=F1628)*($G$2:G1628=G1628)*($I$2:I1628="Duplicate"))-1),"")&amp;".jpeg")</f>
        <v/>
      </c>
      <c r="L1628" s="6"/>
      <c r="M1628" s="5" t="str">
        <f>IFERROR(VLOOKUP(E1628,Specifications!$A$2:$D$9,2,FALSE),"")</f>
        <v/>
      </c>
      <c r="N1628" s="5" t="str">
        <f>IFERROR(VLOOKUP(E1628,Specifications!$A$2:$D$9,3,FALSE),"")</f>
        <v/>
      </c>
      <c r="O1628" s="5" t="str">
        <f>IFERROR(VLOOKUP(E1628,Specifications!$A$2:$D$9,4,FALSE),"")</f>
        <v/>
      </c>
      <c r="P1628" s="8" t="str">
        <f t="shared" si="78"/>
        <v/>
      </c>
      <c r="Q1628" s="9"/>
    </row>
    <row r="1629" spans="1:17" ht="15">
      <c r="A1629" s="5" t="str">
        <f t="shared" si="76"/>
        <v/>
      </c>
      <c r="B1629" s="6"/>
      <c r="C1629" s="5" t="str">
        <f>IFERROR(VLOOKUP(B1629,Lists!$A$2:$B$25,2,FALSE),"")</f>
        <v/>
      </c>
      <c r="D1629" s="7"/>
      <c r="E1629" s="6"/>
      <c r="F1629" s="6" t="str">
        <f t="shared" si="77"/>
        <v/>
      </c>
      <c r="G1629" s="6"/>
      <c r="H1629" s="6"/>
      <c r="I1629" s="6"/>
      <c r="J1629" s="7"/>
      <c r="K1629" s="5" t="str" cm="1">
        <f t="array" ref="K1629">IF(OR(A1629="",B1629="",D1629="",E1629=""),"",A1629&amp;"_"&amp;SUBSTITUTE(B1629," ","-")&amp;"_"&amp;D1629&amp;"_"&amp;SUBSTITUTE(SUBSTITUTE(E1629," ",""),"€","Euro")&amp;"_"&amp;IF(F1629="","Unknown",F1629)&amp;IF(F1629="Commemorative",IF(G1629="","","_"&amp;SUBSTITUTE(SUBSTITUTE(SUBSTITUTE(G1629," ","-"),"/","-"),CHAR(39),"")),"")&amp;IF(I1629="Duplicate","_Dub"&amp;IF(SUMPRODUCT(($B$2:B1629=B1629)*($D$2:D1629=D1629)*($E$2:E1629=E1629)*($F$2:F1629=F1629)*($G$2:G1629=G1629)*($I$2:I1629="Duplicate"))&lt;=1,"",SUMPRODUCT(($B$2:B1629=B1629)*($D$2:D1629=D1629)*($E$2:E1629=E1629)*($F$2:F1629=F1629)*($G$2:G1629=G1629)*($I$2:I1629="Duplicate"))-1),"")&amp;".jpeg")</f>
        <v/>
      </c>
      <c r="L1629" s="6"/>
      <c r="M1629" s="5" t="str">
        <f>IFERROR(VLOOKUP(E1629,Specifications!$A$2:$D$9,2,FALSE),"")</f>
        <v/>
      </c>
      <c r="N1629" s="5" t="str">
        <f>IFERROR(VLOOKUP(E1629,Specifications!$A$2:$D$9,3,FALSE),"")</f>
        <v/>
      </c>
      <c r="O1629" s="5" t="str">
        <f>IFERROR(VLOOKUP(E1629,Specifications!$A$2:$D$9,4,FALSE),"")</f>
        <v/>
      </c>
      <c r="P1629" s="8" t="str">
        <f t="shared" si="78"/>
        <v/>
      </c>
      <c r="Q1629" s="9"/>
    </row>
    <row r="1630" spans="1:17" ht="15">
      <c r="A1630" s="5" t="str">
        <f t="shared" si="76"/>
        <v/>
      </c>
      <c r="B1630" s="6"/>
      <c r="C1630" s="5" t="str">
        <f>IFERROR(VLOOKUP(B1630,Lists!$A$2:$B$25,2,FALSE),"")</f>
        <v/>
      </c>
      <c r="D1630" s="7"/>
      <c r="E1630" s="6"/>
      <c r="F1630" s="6" t="str">
        <f t="shared" si="77"/>
        <v/>
      </c>
      <c r="G1630" s="6"/>
      <c r="H1630" s="6"/>
      <c r="I1630" s="6"/>
      <c r="J1630" s="7"/>
      <c r="K1630" s="5" t="str" cm="1">
        <f t="array" ref="K1630">IF(OR(A1630="",B1630="",D1630="",E1630=""),"",A1630&amp;"_"&amp;SUBSTITUTE(B1630," ","-")&amp;"_"&amp;D1630&amp;"_"&amp;SUBSTITUTE(SUBSTITUTE(E1630," ",""),"€","Euro")&amp;"_"&amp;IF(F1630="","Unknown",F1630)&amp;IF(F1630="Commemorative",IF(G1630="","","_"&amp;SUBSTITUTE(SUBSTITUTE(SUBSTITUTE(G1630," ","-"),"/","-"),CHAR(39),"")),"")&amp;IF(I1630="Duplicate","_Dub"&amp;IF(SUMPRODUCT(($B$2:B1630=B1630)*($D$2:D1630=D1630)*($E$2:E1630=E1630)*($F$2:F1630=F1630)*($G$2:G1630=G1630)*($I$2:I1630="Duplicate"))&lt;=1,"",SUMPRODUCT(($B$2:B1630=B1630)*($D$2:D1630=D1630)*($E$2:E1630=E1630)*($F$2:F1630=F1630)*($G$2:G1630=G1630)*($I$2:I1630="Duplicate"))-1),"")&amp;".jpeg")</f>
        <v/>
      </c>
      <c r="L1630" s="6"/>
      <c r="M1630" s="5" t="str">
        <f>IFERROR(VLOOKUP(E1630,Specifications!$A$2:$D$9,2,FALSE),"")</f>
        <v/>
      </c>
      <c r="N1630" s="5" t="str">
        <f>IFERROR(VLOOKUP(E1630,Specifications!$A$2:$D$9,3,FALSE),"")</f>
        <v/>
      </c>
      <c r="O1630" s="5" t="str">
        <f>IFERROR(VLOOKUP(E1630,Specifications!$A$2:$D$9,4,FALSE),"")</f>
        <v/>
      </c>
      <c r="P1630" s="8" t="str">
        <f t="shared" si="78"/>
        <v/>
      </c>
      <c r="Q1630" s="9"/>
    </row>
    <row r="1631" spans="1:17" ht="15">
      <c r="A1631" s="5" t="str">
        <f t="shared" si="76"/>
        <v/>
      </c>
      <c r="B1631" s="6"/>
      <c r="C1631" s="5" t="str">
        <f>IFERROR(VLOOKUP(B1631,Lists!$A$2:$B$25,2,FALSE),"")</f>
        <v/>
      </c>
      <c r="D1631" s="7"/>
      <c r="E1631" s="6"/>
      <c r="F1631" s="6" t="str">
        <f t="shared" si="77"/>
        <v/>
      </c>
      <c r="G1631" s="6"/>
      <c r="H1631" s="6"/>
      <c r="I1631" s="6"/>
      <c r="J1631" s="7"/>
      <c r="K1631" s="5" t="str" cm="1">
        <f t="array" ref="K1631">IF(OR(A1631="",B1631="",D1631="",E1631=""),"",A1631&amp;"_"&amp;SUBSTITUTE(B1631," ","-")&amp;"_"&amp;D1631&amp;"_"&amp;SUBSTITUTE(SUBSTITUTE(E1631," ",""),"€","Euro")&amp;"_"&amp;IF(F1631="","Unknown",F1631)&amp;IF(F1631="Commemorative",IF(G1631="","","_"&amp;SUBSTITUTE(SUBSTITUTE(SUBSTITUTE(G1631," ","-"),"/","-"),CHAR(39),"")),"")&amp;IF(I1631="Duplicate","_Dub"&amp;IF(SUMPRODUCT(($B$2:B1631=B1631)*($D$2:D1631=D1631)*($E$2:E1631=E1631)*($F$2:F1631=F1631)*($G$2:G1631=G1631)*($I$2:I1631="Duplicate"))&lt;=1,"",SUMPRODUCT(($B$2:B1631=B1631)*($D$2:D1631=D1631)*($E$2:E1631=E1631)*($F$2:F1631=F1631)*($G$2:G1631=G1631)*($I$2:I1631="Duplicate"))-1),"")&amp;".jpeg")</f>
        <v/>
      </c>
      <c r="L1631" s="6"/>
      <c r="M1631" s="5" t="str">
        <f>IFERROR(VLOOKUP(E1631,Specifications!$A$2:$D$9,2,FALSE),"")</f>
        <v/>
      </c>
      <c r="N1631" s="5" t="str">
        <f>IFERROR(VLOOKUP(E1631,Specifications!$A$2:$D$9,3,FALSE),"")</f>
        <v/>
      </c>
      <c r="O1631" s="5" t="str">
        <f>IFERROR(VLOOKUP(E1631,Specifications!$A$2:$D$9,4,FALSE),"")</f>
        <v/>
      </c>
      <c r="P1631" s="8" t="str">
        <f t="shared" si="78"/>
        <v/>
      </c>
      <c r="Q1631" s="9"/>
    </row>
    <row r="1632" spans="1:17" ht="15">
      <c r="A1632" s="5" t="str">
        <f t="shared" si="76"/>
        <v/>
      </c>
      <c r="B1632" s="6"/>
      <c r="C1632" s="5" t="str">
        <f>IFERROR(VLOOKUP(B1632,Lists!$A$2:$B$25,2,FALSE),"")</f>
        <v/>
      </c>
      <c r="D1632" s="7"/>
      <c r="E1632" s="6"/>
      <c r="F1632" s="6" t="str">
        <f t="shared" si="77"/>
        <v/>
      </c>
      <c r="G1632" s="6"/>
      <c r="H1632" s="6"/>
      <c r="I1632" s="6"/>
      <c r="J1632" s="7"/>
      <c r="K1632" s="5" t="str" cm="1">
        <f t="array" ref="K1632">IF(OR(A1632="",B1632="",D1632="",E1632=""),"",A1632&amp;"_"&amp;SUBSTITUTE(B1632," ","-")&amp;"_"&amp;D1632&amp;"_"&amp;SUBSTITUTE(SUBSTITUTE(E1632," ",""),"€","Euro")&amp;"_"&amp;IF(F1632="","Unknown",F1632)&amp;IF(F1632="Commemorative",IF(G1632="","","_"&amp;SUBSTITUTE(SUBSTITUTE(SUBSTITUTE(G1632," ","-"),"/","-"),CHAR(39),"")),"")&amp;IF(I1632="Duplicate","_Dub"&amp;IF(SUMPRODUCT(($B$2:B1632=B1632)*($D$2:D1632=D1632)*($E$2:E1632=E1632)*($F$2:F1632=F1632)*($G$2:G1632=G1632)*($I$2:I1632="Duplicate"))&lt;=1,"",SUMPRODUCT(($B$2:B1632=B1632)*($D$2:D1632=D1632)*($E$2:E1632=E1632)*($F$2:F1632=F1632)*($G$2:G1632=G1632)*($I$2:I1632="Duplicate"))-1),"")&amp;".jpeg")</f>
        <v/>
      </c>
      <c r="L1632" s="6"/>
      <c r="M1632" s="5" t="str">
        <f>IFERROR(VLOOKUP(E1632,Specifications!$A$2:$D$9,2,FALSE),"")</f>
        <v/>
      </c>
      <c r="N1632" s="5" t="str">
        <f>IFERROR(VLOOKUP(E1632,Specifications!$A$2:$D$9,3,FALSE),"")</f>
        <v/>
      </c>
      <c r="O1632" s="5" t="str">
        <f>IFERROR(VLOOKUP(E1632,Specifications!$A$2:$D$9,4,FALSE),"")</f>
        <v/>
      </c>
      <c r="P1632" s="8" t="str">
        <f t="shared" si="78"/>
        <v/>
      </c>
      <c r="Q1632" s="9"/>
    </row>
    <row r="1633" spans="1:17" ht="15">
      <c r="A1633" s="5" t="str">
        <f t="shared" si="76"/>
        <v/>
      </c>
      <c r="B1633" s="6"/>
      <c r="C1633" s="5" t="str">
        <f>IFERROR(VLOOKUP(B1633,Lists!$A$2:$B$25,2,FALSE),"")</f>
        <v/>
      </c>
      <c r="D1633" s="7"/>
      <c r="E1633" s="6"/>
      <c r="F1633" s="6" t="str">
        <f t="shared" si="77"/>
        <v/>
      </c>
      <c r="G1633" s="6"/>
      <c r="H1633" s="6"/>
      <c r="I1633" s="6"/>
      <c r="J1633" s="7"/>
      <c r="K1633" s="5" t="str" cm="1">
        <f t="array" ref="K1633">IF(OR(A1633="",B1633="",D1633="",E1633=""),"",A1633&amp;"_"&amp;SUBSTITUTE(B1633," ","-")&amp;"_"&amp;D1633&amp;"_"&amp;SUBSTITUTE(SUBSTITUTE(E1633," ",""),"€","Euro")&amp;"_"&amp;IF(F1633="","Unknown",F1633)&amp;IF(F1633="Commemorative",IF(G1633="","","_"&amp;SUBSTITUTE(SUBSTITUTE(SUBSTITUTE(G1633," ","-"),"/","-"),CHAR(39),"")),"")&amp;IF(I1633="Duplicate","_Dub"&amp;IF(SUMPRODUCT(($B$2:B1633=B1633)*($D$2:D1633=D1633)*($E$2:E1633=E1633)*($F$2:F1633=F1633)*($G$2:G1633=G1633)*($I$2:I1633="Duplicate"))&lt;=1,"",SUMPRODUCT(($B$2:B1633=B1633)*($D$2:D1633=D1633)*($E$2:E1633=E1633)*($F$2:F1633=F1633)*($G$2:G1633=G1633)*($I$2:I1633="Duplicate"))-1),"")&amp;".jpeg")</f>
        <v/>
      </c>
      <c r="L1633" s="6"/>
      <c r="M1633" s="5" t="str">
        <f>IFERROR(VLOOKUP(E1633,Specifications!$A$2:$D$9,2,FALSE),"")</f>
        <v/>
      </c>
      <c r="N1633" s="5" t="str">
        <f>IFERROR(VLOOKUP(E1633,Specifications!$A$2:$D$9,3,FALSE),"")</f>
        <v/>
      </c>
      <c r="O1633" s="5" t="str">
        <f>IFERROR(VLOOKUP(E1633,Specifications!$A$2:$D$9,4,FALSE),"")</f>
        <v/>
      </c>
      <c r="P1633" s="8" t="str">
        <f t="shared" si="78"/>
        <v/>
      </c>
      <c r="Q1633" s="9"/>
    </row>
    <row r="1634" spans="1:17" ht="15">
      <c r="A1634" s="5" t="str">
        <f t="shared" si="76"/>
        <v/>
      </c>
      <c r="B1634" s="6"/>
      <c r="C1634" s="5" t="str">
        <f>IFERROR(VLOOKUP(B1634,Lists!$A$2:$B$25,2,FALSE),"")</f>
        <v/>
      </c>
      <c r="D1634" s="7"/>
      <c r="E1634" s="6"/>
      <c r="F1634" s="6" t="str">
        <f t="shared" si="77"/>
        <v/>
      </c>
      <c r="G1634" s="6"/>
      <c r="H1634" s="6"/>
      <c r="I1634" s="6"/>
      <c r="J1634" s="7"/>
      <c r="K1634" s="5" t="str" cm="1">
        <f t="array" ref="K1634">IF(OR(A1634="",B1634="",D1634="",E1634=""),"",A1634&amp;"_"&amp;SUBSTITUTE(B1634," ","-")&amp;"_"&amp;D1634&amp;"_"&amp;SUBSTITUTE(SUBSTITUTE(E1634," ",""),"€","Euro")&amp;"_"&amp;IF(F1634="","Unknown",F1634)&amp;IF(F1634="Commemorative",IF(G1634="","","_"&amp;SUBSTITUTE(SUBSTITUTE(SUBSTITUTE(G1634," ","-"),"/","-"),CHAR(39),"")),"")&amp;IF(I1634="Duplicate","_Dub"&amp;IF(SUMPRODUCT(($B$2:B1634=B1634)*($D$2:D1634=D1634)*($E$2:E1634=E1634)*($F$2:F1634=F1634)*($G$2:G1634=G1634)*($I$2:I1634="Duplicate"))&lt;=1,"",SUMPRODUCT(($B$2:B1634=B1634)*($D$2:D1634=D1634)*($E$2:E1634=E1634)*($F$2:F1634=F1634)*($G$2:G1634=G1634)*($I$2:I1634="Duplicate"))-1),"")&amp;".jpeg")</f>
        <v/>
      </c>
      <c r="L1634" s="6"/>
      <c r="M1634" s="5" t="str">
        <f>IFERROR(VLOOKUP(E1634,Specifications!$A$2:$D$9,2,FALSE),"")</f>
        <v/>
      </c>
      <c r="N1634" s="5" t="str">
        <f>IFERROR(VLOOKUP(E1634,Specifications!$A$2:$D$9,3,FALSE),"")</f>
        <v/>
      </c>
      <c r="O1634" s="5" t="str">
        <f>IFERROR(VLOOKUP(E1634,Specifications!$A$2:$D$9,4,FALSE),"")</f>
        <v/>
      </c>
      <c r="P1634" s="8" t="str">
        <f t="shared" si="78"/>
        <v/>
      </c>
      <c r="Q1634" s="9"/>
    </row>
    <row r="1635" spans="1:17" ht="15">
      <c r="A1635" s="5" t="str">
        <f t="shared" si="76"/>
        <v/>
      </c>
      <c r="B1635" s="6"/>
      <c r="C1635" s="5" t="str">
        <f>IFERROR(VLOOKUP(B1635,Lists!$A$2:$B$25,2,FALSE),"")</f>
        <v/>
      </c>
      <c r="D1635" s="7"/>
      <c r="E1635" s="6"/>
      <c r="F1635" s="6" t="str">
        <f t="shared" si="77"/>
        <v/>
      </c>
      <c r="G1635" s="6"/>
      <c r="H1635" s="6"/>
      <c r="I1635" s="6"/>
      <c r="J1635" s="7"/>
      <c r="K1635" s="5" t="str" cm="1">
        <f t="array" ref="K1635">IF(OR(A1635="",B1635="",D1635="",E1635=""),"",A1635&amp;"_"&amp;SUBSTITUTE(B1635," ","-")&amp;"_"&amp;D1635&amp;"_"&amp;SUBSTITUTE(SUBSTITUTE(E1635," ",""),"€","Euro")&amp;"_"&amp;IF(F1635="","Unknown",F1635)&amp;IF(F1635="Commemorative",IF(G1635="","","_"&amp;SUBSTITUTE(SUBSTITUTE(SUBSTITUTE(G1635," ","-"),"/","-"),CHAR(39),"")),"")&amp;IF(I1635="Duplicate","_Dub"&amp;IF(SUMPRODUCT(($B$2:B1635=B1635)*($D$2:D1635=D1635)*($E$2:E1635=E1635)*($F$2:F1635=F1635)*($G$2:G1635=G1635)*($I$2:I1635="Duplicate"))&lt;=1,"",SUMPRODUCT(($B$2:B1635=B1635)*($D$2:D1635=D1635)*($E$2:E1635=E1635)*($F$2:F1635=F1635)*($G$2:G1635=G1635)*($I$2:I1635="Duplicate"))-1),"")&amp;".jpeg")</f>
        <v/>
      </c>
      <c r="L1635" s="6"/>
      <c r="M1635" s="5" t="str">
        <f>IFERROR(VLOOKUP(E1635,Specifications!$A$2:$D$9,2,FALSE),"")</f>
        <v/>
      </c>
      <c r="N1635" s="5" t="str">
        <f>IFERROR(VLOOKUP(E1635,Specifications!$A$2:$D$9,3,FALSE),"")</f>
        <v/>
      </c>
      <c r="O1635" s="5" t="str">
        <f>IFERROR(VLOOKUP(E1635,Specifications!$A$2:$D$9,4,FALSE),"")</f>
        <v/>
      </c>
      <c r="P1635" s="8" t="str">
        <f t="shared" si="78"/>
        <v/>
      </c>
      <c r="Q1635" s="9"/>
    </row>
    <row r="1636" spans="1:17" ht="15">
      <c r="A1636" s="5" t="str">
        <f t="shared" si="76"/>
        <v/>
      </c>
      <c r="B1636" s="6"/>
      <c r="C1636" s="5" t="str">
        <f>IFERROR(VLOOKUP(B1636,Lists!$A$2:$B$25,2,FALSE),"")</f>
        <v/>
      </c>
      <c r="D1636" s="7"/>
      <c r="E1636" s="6"/>
      <c r="F1636" s="6" t="str">
        <f t="shared" si="77"/>
        <v/>
      </c>
      <c r="G1636" s="6"/>
      <c r="H1636" s="6"/>
      <c r="I1636" s="6"/>
      <c r="J1636" s="7"/>
      <c r="K1636" s="5" t="str" cm="1">
        <f t="array" ref="K1636">IF(OR(A1636="",B1636="",D1636="",E1636=""),"",A1636&amp;"_"&amp;SUBSTITUTE(B1636," ","-")&amp;"_"&amp;D1636&amp;"_"&amp;SUBSTITUTE(SUBSTITUTE(E1636," ",""),"€","Euro")&amp;"_"&amp;IF(F1636="","Unknown",F1636)&amp;IF(F1636="Commemorative",IF(G1636="","","_"&amp;SUBSTITUTE(SUBSTITUTE(SUBSTITUTE(G1636," ","-"),"/","-"),CHAR(39),"")),"")&amp;IF(I1636="Duplicate","_Dub"&amp;IF(SUMPRODUCT(($B$2:B1636=B1636)*($D$2:D1636=D1636)*($E$2:E1636=E1636)*($F$2:F1636=F1636)*($G$2:G1636=G1636)*($I$2:I1636="Duplicate"))&lt;=1,"",SUMPRODUCT(($B$2:B1636=B1636)*($D$2:D1636=D1636)*($E$2:E1636=E1636)*($F$2:F1636=F1636)*($G$2:G1636=G1636)*($I$2:I1636="Duplicate"))-1),"")&amp;".jpeg")</f>
        <v/>
      </c>
      <c r="L1636" s="6"/>
      <c r="M1636" s="5" t="str">
        <f>IFERROR(VLOOKUP(E1636,Specifications!$A$2:$D$9,2,FALSE),"")</f>
        <v/>
      </c>
      <c r="N1636" s="5" t="str">
        <f>IFERROR(VLOOKUP(E1636,Specifications!$A$2:$D$9,3,FALSE),"")</f>
        <v/>
      </c>
      <c r="O1636" s="5" t="str">
        <f>IFERROR(VLOOKUP(E1636,Specifications!$A$2:$D$9,4,FALSE),"")</f>
        <v/>
      </c>
      <c r="P1636" s="8" t="str">
        <f t="shared" si="78"/>
        <v/>
      </c>
      <c r="Q1636" s="9"/>
    </row>
    <row r="1637" spans="1:17" ht="15">
      <c r="A1637" s="5" t="str">
        <f t="shared" si="76"/>
        <v/>
      </c>
      <c r="B1637" s="6"/>
      <c r="C1637" s="5" t="str">
        <f>IFERROR(VLOOKUP(B1637,Lists!$A$2:$B$25,2,FALSE),"")</f>
        <v/>
      </c>
      <c r="D1637" s="7"/>
      <c r="E1637" s="6"/>
      <c r="F1637" s="6" t="str">
        <f t="shared" si="77"/>
        <v/>
      </c>
      <c r="G1637" s="6"/>
      <c r="H1637" s="6"/>
      <c r="I1637" s="6"/>
      <c r="J1637" s="7"/>
      <c r="K1637" s="5" t="str" cm="1">
        <f t="array" ref="K1637">IF(OR(A1637="",B1637="",D1637="",E1637=""),"",A1637&amp;"_"&amp;SUBSTITUTE(B1637," ","-")&amp;"_"&amp;D1637&amp;"_"&amp;SUBSTITUTE(SUBSTITUTE(E1637," ",""),"€","Euro")&amp;"_"&amp;IF(F1637="","Unknown",F1637)&amp;IF(F1637="Commemorative",IF(G1637="","","_"&amp;SUBSTITUTE(SUBSTITUTE(SUBSTITUTE(G1637," ","-"),"/","-"),CHAR(39),"")),"")&amp;IF(I1637="Duplicate","_Dub"&amp;IF(SUMPRODUCT(($B$2:B1637=B1637)*($D$2:D1637=D1637)*($E$2:E1637=E1637)*($F$2:F1637=F1637)*($G$2:G1637=G1637)*($I$2:I1637="Duplicate"))&lt;=1,"",SUMPRODUCT(($B$2:B1637=B1637)*($D$2:D1637=D1637)*($E$2:E1637=E1637)*($F$2:F1637=F1637)*($G$2:G1637=G1637)*($I$2:I1637="Duplicate"))-1),"")&amp;".jpeg")</f>
        <v/>
      </c>
      <c r="L1637" s="6"/>
      <c r="M1637" s="5" t="str">
        <f>IFERROR(VLOOKUP(E1637,Specifications!$A$2:$D$9,2,FALSE),"")</f>
        <v/>
      </c>
      <c r="N1637" s="5" t="str">
        <f>IFERROR(VLOOKUP(E1637,Specifications!$A$2:$D$9,3,FALSE),"")</f>
        <v/>
      </c>
      <c r="O1637" s="5" t="str">
        <f>IFERROR(VLOOKUP(E1637,Specifications!$A$2:$D$9,4,FALSE),"")</f>
        <v/>
      </c>
      <c r="P1637" s="8" t="str">
        <f t="shared" si="78"/>
        <v/>
      </c>
      <c r="Q1637" s="9"/>
    </row>
    <row r="1638" spans="1:17" ht="15">
      <c r="A1638" s="5" t="str">
        <f t="shared" si="76"/>
        <v/>
      </c>
      <c r="B1638" s="6"/>
      <c r="C1638" s="5" t="str">
        <f>IFERROR(VLOOKUP(B1638,Lists!$A$2:$B$25,2,FALSE),"")</f>
        <v/>
      </c>
      <c r="D1638" s="7"/>
      <c r="E1638" s="6"/>
      <c r="F1638" s="6" t="str">
        <f t="shared" si="77"/>
        <v/>
      </c>
      <c r="G1638" s="6"/>
      <c r="H1638" s="6"/>
      <c r="I1638" s="6"/>
      <c r="J1638" s="7"/>
      <c r="K1638" s="5" t="str" cm="1">
        <f t="array" ref="K1638">IF(OR(A1638="",B1638="",D1638="",E1638=""),"",A1638&amp;"_"&amp;SUBSTITUTE(B1638," ","-")&amp;"_"&amp;D1638&amp;"_"&amp;SUBSTITUTE(SUBSTITUTE(E1638," ",""),"€","Euro")&amp;"_"&amp;IF(F1638="","Unknown",F1638)&amp;IF(F1638="Commemorative",IF(G1638="","","_"&amp;SUBSTITUTE(SUBSTITUTE(SUBSTITUTE(G1638," ","-"),"/","-"),CHAR(39),"")),"")&amp;IF(I1638="Duplicate","_Dub"&amp;IF(SUMPRODUCT(($B$2:B1638=B1638)*($D$2:D1638=D1638)*($E$2:E1638=E1638)*($F$2:F1638=F1638)*($G$2:G1638=G1638)*($I$2:I1638="Duplicate"))&lt;=1,"",SUMPRODUCT(($B$2:B1638=B1638)*($D$2:D1638=D1638)*($E$2:E1638=E1638)*($F$2:F1638=F1638)*($G$2:G1638=G1638)*($I$2:I1638="Duplicate"))-1),"")&amp;".jpeg")</f>
        <v/>
      </c>
      <c r="L1638" s="6"/>
      <c r="M1638" s="5" t="str">
        <f>IFERROR(VLOOKUP(E1638,Specifications!$A$2:$D$9,2,FALSE),"")</f>
        <v/>
      </c>
      <c r="N1638" s="5" t="str">
        <f>IFERROR(VLOOKUP(E1638,Specifications!$A$2:$D$9,3,FALSE),"")</f>
        <v/>
      </c>
      <c r="O1638" s="5" t="str">
        <f>IFERROR(VLOOKUP(E1638,Specifications!$A$2:$D$9,4,FALSE),"")</f>
        <v/>
      </c>
      <c r="P1638" s="8" t="str">
        <f t="shared" si="78"/>
        <v/>
      </c>
      <c r="Q1638" s="9"/>
    </row>
    <row r="1639" spans="1:17" ht="15">
      <c r="A1639" s="5" t="str">
        <f t="shared" si="76"/>
        <v/>
      </c>
      <c r="B1639" s="6"/>
      <c r="C1639" s="5" t="str">
        <f>IFERROR(VLOOKUP(B1639,Lists!$A$2:$B$25,2,FALSE),"")</f>
        <v/>
      </c>
      <c r="D1639" s="7"/>
      <c r="E1639" s="6"/>
      <c r="F1639" s="6" t="str">
        <f t="shared" si="77"/>
        <v/>
      </c>
      <c r="G1639" s="6"/>
      <c r="H1639" s="6"/>
      <c r="I1639" s="6"/>
      <c r="J1639" s="7"/>
      <c r="K1639" s="5" t="str" cm="1">
        <f t="array" ref="K1639">IF(OR(A1639="",B1639="",D1639="",E1639=""),"",A1639&amp;"_"&amp;SUBSTITUTE(B1639," ","-")&amp;"_"&amp;D1639&amp;"_"&amp;SUBSTITUTE(SUBSTITUTE(E1639," ",""),"€","Euro")&amp;"_"&amp;IF(F1639="","Unknown",F1639)&amp;IF(F1639="Commemorative",IF(G1639="","","_"&amp;SUBSTITUTE(SUBSTITUTE(SUBSTITUTE(G1639," ","-"),"/","-"),CHAR(39),"")),"")&amp;IF(I1639="Duplicate","_Dub"&amp;IF(SUMPRODUCT(($B$2:B1639=B1639)*($D$2:D1639=D1639)*($E$2:E1639=E1639)*($F$2:F1639=F1639)*($G$2:G1639=G1639)*($I$2:I1639="Duplicate"))&lt;=1,"",SUMPRODUCT(($B$2:B1639=B1639)*($D$2:D1639=D1639)*($E$2:E1639=E1639)*($F$2:F1639=F1639)*($G$2:G1639=G1639)*($I$2:I1639="Duplicate"))-1),"")&amp;".jpeg")</f>
        <v/>
      </c>
      <c r="L1639" s="6"/>
      <c r="M1639" s="5" t="str">
        <f>IFERROR(VLOOKUP(E1639,Specifications!$A$2:$D$9,2,FALSE),"")</f>
        <v/>
      </c>
      <c r="N1639" s="5" t="str">
        <f>IFERROR(VLOOKUP(E1639,Specifications!$A$2:$D$9,3,FALSE),"")</f>
        <v/>
      </c>
      <c r="O1639" s="5" t="str">
        <f>IFERROR(VLOOKUP(E1639,Specifications!$A$2:$D$9,4,FALSE),"")</f>
        <v/>
      </c>
      <c r="P1639" s="8" t="str">
        <f t="shared" si="78"/>
        <v/>
      </c>
      <c r="Q1639" s="9"/>
    </row>
    <row r="1640" spans="1:17" ht="15">
      <c r="A1640" s="5" t="str">
        <f t="shared" si="76"/>
        <v/>
      </c>
      <c r="B1640" s="6"/>
      <c r="C1640" s="5" t="str">
        <f>IFERROR(VLOOKUP(B1640,Lists!$A$2:$B$25,2,FALSE),"")</f>
        <v/>
      </c>
      <c r="D1640" s="7"/>
      <c r="E1640" s="6"/>
      <c r="F1640" s="6" t="str">
        <f t="shared" si="77"/>
        <v/>
      </c>
      <c r="G1640" s="6"/>
      <c r="H1640" s="6"/>
      <c r="I1640" s="6"/>
      <c r="J1640" s="7"/>
      <c r="K1640" s="5" t="str" cm="1">
        <f t="array" ref="K1640">IF(OR(A1640="",B1640="",D1640="",E1640=""),"",A1640&amp;"_"&amp;SUBSTITUTE(B1640," ","-")&amp;"_"&amp;D1640&amp;"_"&amp;SUBSTITUTE(SUBSTITUTE(E1640," ",""),"€","Euro")&amp;"_"&amp;IF(F1640="","Unknown",F1640)&amp;IF(F1640="Commemorative",IF(G1640="","","_"&amp;SUBSTITUTE(SUBSTITUTE(SUBSTITUTE(G1640," ","-"),"/","-"),CHAR(39),"")),"")&amp;IF(I1640="Duplicate","_Dub"&amp;IF(SUMPRODUCT(($B$2:B1640=B1640)*($D$2:D1640=D1640)*($E$2:E1640=E1640)*($F$2:F1640=F1640)*($G$2:G1640=G1640)*($I$2:I1640="Duplicate"))&lt;=1,"",SUMPRODUCT(($B$2:B1640=B1640)*($D$2:D1640=D1640)*($E$2:E1640=E1640)*($F$2:F1640=F1640)*($G$2:G1640=G1640)*($I$2:I1640="Duplicate"))-1),"")&amp;".jpeg")</f>
        <v/>
      </c>
      <c r="L1640" s="6"/>
      <c r="M1640" s="5" t="str">
        <f>IFERROR(VLOOKUP(E1640,Specifications!$A$2:$D$9,2,FALSE),"")</f>
        <v/>
      </c>
      <c r="N1640" s="5" t="str">
        <f>IFERROR(VLOOKUP(E1640,Specifications!$A$2:$D$9,3,FALSE),"")</f>
        <v/>
      </c>
      <c r="O1640" s="5" t="str">
        <f>IFERROR(VLOOKUP(E1640,Specifications!$A$2:$D$9,4,FALSE),"")</f>
        <v/>
      </c>
      <c r="P1640" s="8" t="str">
        <f t="shared" si="78"/>
        <v/>
      </c>
      <c r="Q1640" s="9"/>
    </row>
    <row r="1641" spans="1:17" ht="15">
      <c r="A1641" s="5" t="str">
        <f t="shared" si="76"/>
        <v/>
      </c>
      <c r="B1641" s="6"/>
      <c r="C1641" s="5" t="str">
        <f>IFERROR(VLOOKUP(B1641,Lists!$A$2:$B$25,2,FALSE),"")</f>
        <v/>
      </c>
      <c r="D1641" s="7"/>
      <c r="E1641" s="6"/>
      <c r="F1641" s="6" t="str">
        <f t="shared" si="77"/>
        <v/>
      </c>
      <c r="G1641" s="6"/>
      <c r="H1641" s="6"/>
      <c r="I1641" s="6"/>
      <c r="J1641" s="7"/>
      <c r="K1641" s="5" t="str" cm="1">
        <f t="array" ref="K1641">IF(OR(A1641="",B1641="",D1641="",E1641=""),"",A1641&amp;"_"&amp;SUBSTITUTE(B1641," ","-")&amp;"_"&amp;D1641&amp;"_"&amp;SUBSTITUTE(SUBSTITUTE(E1641," ",""),"€","Euro")&amp;"_"&amp;IF(F1641="","Unknown",F1641)&amp;IF(F1641="Commemorative",IF(G1641="","","_"&amp;SUBSTITUTE(SUBSTITUTE(SUBSTITUTE(G1641," ","-"),"/","-"),CHAR(39),"")),"")&amp;IF(I1641="Duplicate","_Dub"&amp;IF(SUMPRODUCT(($B$2:B1641=B1641)*($D$2:D1641=D1641)*($E$2:E1641=E1641)*($F$2:F1641=F1641)*($G$2:G1641=G1641)*($I$2:I1641="Duplicate"))&lt;=1,"",SUMPRODUCT(($B$2:B1641=B1641)*($D$2:D1641=D1641)*($E$2:E1641=E1641)*($F$2:F1641=F1641)*($G$2:G1641=G1641)*($I$2:I1641="Duplicate"))-1),"")&amp;".jpeg")</f>
        <v/>
      </c>
      <c r="L1641" s="6"/>
      <c r="M1641" s="5" t="str">
        <f>IFERROR(VLOOKUP(E1641,Specifications!$A$2:$D$9,2,FALSE),"")</f>
        <v/>
      </c>
      <c r="N1641" s="5" t="str">
        <f>IFERROR(VLOOKUP(E1641,Specifications!$A$2:$D$9,3,FALSE),"")</f>
        <v/>
      </c>
      <c r="O1641" s="5" t="str">
        <f>IFERROR(VLOOKUP(E1641,Specifications!$A$2:$D$9,4,FALSE),"")</f>
        <v/>
      </c>
      <c r="P1641" s="8" t="str">
        <f t="shared" si="78"/>
        <v/>
      </c>
      <c r="Q1641" s="9"/>
    </row>
    <row r="1642" spans="1:17" ht="15">
      <c r="A1642" s="5" t="str">
        <f t="shared" si="76"/>
        <v/>
      </c>
      <c r="B1642" s="6"/>
      <c r="C1642" s="5" t="str">
        <f>IFERROR(VLOOKUP(B1642,Lists!$A$2:$B$25,2,FALSE),"")</f>
        <v/>
      </c>
      <c r="D1642" s="7"/>
      <c r="E1642" s="6"/>
      <c r="F1642" s="6" t="str">
        <f t="shared" si="77"/>
        <v/>
      </c>
      <c r="G1642" s="6"/>
      <c r="H1642" s="6"/>
      <c r="I1642" s="6"/>
      <c r="J1642" s="7"/>
      <c r="K1642" s="5" t="str" cm="1">
        <f t="array" ref="K1642">IF(OR(A1642="",B1642="",D1642="",E1642=""),"",A1642&amp;"_"&amp;SUBSTITUTE(B1642," ","-")&amp;"_"&amp;D1642&amp;"_"&amp;SUBSTITUTE(SUBSTITUTE(E1642," ",""),"€","Euro")&amp;"_"&amp;IF(F1642="","Unknown",F1642)&amp;IF(F1642="Commemorative",IF(G1642="","","_"&amp;SUBSTITUTE(SUBSTITUTE(SUBSTITUTE(G1642," ","-"),"/","-"),CHAR(39),"")),"")&amp;IF(I1642="Duplicate","_Dub"&amp;IF(SUMPRODUCT(($B$2:B1642=B1642)*($D$2:D1642=D1642)*($E$2:E1642=E1642)*($F$2:F1642=F1642)*($G$2:G1642=G1642)*($I$2:I1642="Duplicate"))&lt;=1,"",SUMPRODUCT(($B$2:B1642=B1642)*($D$2:D1642=D1642)*($E$2:E1642=E1642)*($F$2:F1642=F1642)*($G$2:G1642=G1642)*($I$2:I1642="Duplicate"))-1),"")&amp;".jpeg")</f>
        <v/>
      </c>
      <c r="L1642" s="6"/>
      <c r="M1642" s="5" t="str">
        <f>IFERROR(VLOOKUP(E1642,Specifications!$A$2:$D$9,2,FALSE),"")</f>
        <v/>
      </c>
      <c r="N1642" s="5" t="str">
        <f>IFERROR(VLOOKUP(E1642,Specifications!$A$2:$D$9,3,FALSE),"")</f>
        <v/>
      </c>
      <c r="O1642" s="5" t="str">
        <f>IFERROR(VLOOKUP(E1642,Specifications!$A$2:$D$9,4,FALSE),"")</f>
        <v/>
      </c>
      <c r="P1642" s="8" t="str">
        <f t="shared" si="78"/>
        <v/>
      </c>
      <c r="Q1642" s="9"/>
    </row>
    <row r="1643" spans="1:17" ht="15">
      <c r="A1643" s="5" t="str">
        <f t="shared" si="76"/>
        <v/>
      </c>
      <c r="B1643" s="6"/>
      <c r="C1643" s="5" t="str">
        <f>IFERROR(VLOOKUP(B1643,Lists!$A$2:$B$25,2,FALSE),"")</f>
        <v/>
      </c>
      <c r="D1643" s="7"/>
      <c r="E1643" s="6"/>
      <c r="F1643" s="6" t="str">
        <f t="shared" si="77"/>
        <v/>
      </c>
      <c r="G1643" s="6"/>
      <c r="H1643" s="6"/>
      <c r="I1643" s="6"/>
      <c r="J1643" s="7"/>
      <c r="K1643" s="5" t="str" cm="1">
        <f t="array" ref="K1643">IF(OR(A1643="",B1643="",D1643="",E1643=""),"",A1643&amp;"_"&amp;SUBSTITUTE(B1643," ","-")&amp;"_"&amp;D1643&amp;"_"&amp;SUBSTITUTE(SUBSTITUTE(E1643," ",""),"€","Euro")&amp;"_"&amp;IF(F1643="","Unknown",F1643)&amp;IF(F1643="Commemorative",IF(G1643="","","_"&amp;SUBSTITUTE(SUBSTITUTE(SUBSTITUTE(G1643," ","-"),"/","-"),CHAR(39),"")),"")&amp;IF(I1643="Duplicate","_Dub"&amp;IF(SUMPRODUCT(($B$2:B1643=B1643)*($D$2:D1643=D1643)*($E$2:E1643=E1643)*($F$2:F1643=F1643)*($G$2:G1643=G1643)*($I$2:I1643="Duplicate"))&lt;=1,"",SUMPRODUCT(($B$2:B1643=B1643)*($D$2:D1643=D1643)*($E$2:E1643=E1643)*($F$2:F1643=F1643)*($G$2:G1643=G1643)*($I$2:I1643="Duplicate"))-1),"")&amp;".jpeg")</f>
        <v/>
      </c>
      <c r="L1643" s="6"/>
      <c r="M1643" s="5" t="str">
        <f>IFERROR(VLOOKUP(E1643,Specifications!$A$2:$D$9,2,FALSE),"")</f>
        <v/>
      </c>
      <c r="N1643" s="5" t="str">
        <f>IFERROR(VLOOKUP(E1643,Specifications!$A$2:$D$9,3,FALSE),"")</f>
        <v/>
      </c>
      <c r="O1643" s="5" t="str">
        <f>IFERROR(VLOOKUP(E1643,Specifications!$A$2:$D$9,4,FALSE),"")</f>
        <v/>
      </c>
      <c r="P1643" s="8" t="str">
        <f t="shared" si="78"/>
        <v/>
      </c>
      <c r="Q1643" s="9"/>
    </row>
    <row r="1644" spans="1:17" ht="15">
      <c r="A1644" s="5" t="str">
        <f t="shared" si="76"/>
        <v/>
      </c>
      <c r="B1644" s="6"/>
      <c r="C1644" s="5" t="str">
        <f>IFERROR(VLOOKUP(B1644,Lists!$A$2:$B$25,2,FALSE),"")</f>
        <v/>
      </c>
      <c r="D1644" s="7"/>
      <c r="E1644" s="6"/>
      <c r="F1644" s="6" t="str">
        <f t="shared" si="77"/>
        <v/>
      </c>
      <c r="G1644" s="6"/>
      <c r="H1644" s="6"/>
      <c r="I1644" s="6"/>
      <c r="J1644" s="7"/>
      <c r="K1644" s="5" t="str" cm="1">
        <f t="array" ref="K1644">IF(OR(A1644="",B1644="",D1644="",E1644=""),"",A1644&amp;"_"&amp;SUBSTITUTE(B1644," ","-")&amp;"_"&amp;D1644&amp;"_"&amp;SUBSTITUTE(SUBSTITUTE(E1644," ",""),"€","Euro")&amp;"_"&amp;IF(F1644="","Unknown",F1644)&amp;IF(F1644="Commemorative",IF(G1644="","","_"&amp;SUBSTITUTE(SUBSTITUTE(SUBSTITUTE(G1644," ","-"),"/","-"),CHAR(39),"")),"")&amp;IF(I1644="Duplicate","_Dub"&amp;IF(SUMPRODUCT(($B$2:B1644=B1644)*($D$2:D1644=D1644)*($E$2:E1644=E1644)*($F$2:F1644=F1644)*($G$2:G1644=G1644)*($I$2:I1644="Duplicate"))&lt;=1,"",SUMPRODUCT(($B$2:B1644=B1644)*($D$2:D1644=D1644)*($E$2:E1644=E1644)*($F$2:F1644=F1644)*($G$2:G1644=G1644)*($I$2:I1644="Duplicate"))-1),"")&amp;".jpeg")</f>
        <v/>
      </c>
      <c r="L1644" s="6"/>
      <c r="M1644" s="5" t="str">
        <f>IFERROR(VLOOKUP(E1644,Specifications!$A$2:$D$9,2,FALSE),"")</f>
        <v/>
      </c>
      <c r="N1644" s="5" t="str">
        <f>IFERROR(VLOOKUP(E1644,Specifications!$A$2:$D$9,3,FALSE),"")</f>
        <v/>
      </c>
      <c r="O1644" s="5" t="str">
        <f>IFERROR(VLOOKUP(E1644,Specifications!$A$2:$D$9,4,FALSE),"")</f>
        <v/>
      </c>
      <c r="P1644" s="8" t="str">
        <f t="shared" si="78"/>
        <v/>
      </c>
      <c r="Q1644" s="9"/>
    </row>
    <row r="1645" spans="1:17" ht="15">
      <c r="A1645" s="5" t="str">
        <f t="shared" si="76"/>
        <v/>
      </c>
      <c r="B1645" s="6"/>
      <c r="C1645" s="5" t="str">
        <f>IFERROR(VLOOKUP(B1645,Lists!$A$2:$B$25,2,FALSE),"")</f>
        <v/>
      </c>
      <c r="D1645" s="7"/>
      <c r="E1645" s="6"/>
      <c r="F1645" s="6" t="str">
        <f t="shared" si="77"/>
        <v/>
      </c>
      <c r="G1645" s="6"/>
      <c r="H1645" s="6"/>
      <c r="I1645" s="6"/>
      <c r="J1645" s="7"/>
      <c r="K1645" s="5" t="str" cm="1">
        <f t="array" ref="K1645">IF(OR(A1645="",B1645="",D1645="",E1645=""),"",A1645&amp;"_"&amp;SUBSTITUTE(B1645," ","-")&amp;"_"&amp;D1645&amp;"_"&amp;SUBSTITUTE(SUBSTITUTE(E1645," ",""),"€","Euro")&amp;"_"&amp;IF(F1645="","Unknown",F1645)&amp;IF(F1645="Commemorative",IF(G1645="","","_"&amp;SUBSTITUTE(SUBSTITUTE(SUBSTITUTE(G1645," ","-"),"/","-"),CHAR(39),"")),"")&amp;IF(I1645="Duplicate","_Dub"&amp;IF(SUMPRODUCT(($B$2:B1645=B1645)*($D$2:D1645=D1645)*($E$2:E1645=E1645)*($F$2:F1645=F1645)*($G$2:G1645=G1645)*($I$2:I1645="Duplicate"))&lt;=1,"",SUMPRODUCT(($B$2:B1645=B1645)*($D$2:D1645=D1645)*($E$2:E1645=E1645)*($F$2:F1645=F1645)*($G$2:G1645=G1645)*($I$2:I1645="Duplicate"))-1),"")&amp;".jpeg")</f>
        <v/>
      </c>
      <c r="L1645" s="6"/>
      <c r="M1645" s="5" t="str">
        <f>IFERROR(VLOOKUP(E1645,Specifications!$A$2:$D$9,2,FALSE),"")</f>
        <v/>
      </c>
      <c r="N1645" s="5" t="str">
        <f>IFERROR(VLOOKUP(E1645,Specifications!$A$2:$D$9,3,FALSE),"")</f>
        <v/>
      </c>
      <c r="O1645" s="5" t="str">
        <f>IFERROR(VLOOKUP(E1645,Specifications!$A$2:$D$9,4,FALSE),"")</f>
        <v/>
      </c>
      <c r="P1645" s="8" t="str">
        <f t="shared" si="78"/>
        <v/>
      </c>
      <c r="Q1645" s="9"/>
    </row>
    <row r="1646" spans="1:17" ht="15">
      <c r="A1646" s="5" t="str">
        <f t="shared" si="76"/>
        <v/>
      </c>
      <c r="B1646" s="6"/>
      <c r="C1646" s="5" t="str">
        <f>IFERROR(VLOOKUP(B1646,Lists!$A$2:$B$25,2,FALSE),"")</f>
        <v/>
      </c>
      <c r="D1646" s="7"/>
      <c r="E1646" s="6"/>
      <c r="F1646" s="6" t="str">
        <f t="shared" si="77"/>
        <v/>
      </c>
      <c r="G1646" s="6"/>
      <c r="H1646" s="6"/>
      <c r="I1646" s="6"/>
      <c r="J1646" s="7"/>
      <c r="K1646" s="5" t="str" cm="1">
        <f t="array" ref="K1646">IF(OR(A1646="",B1646="",D1646="",E1646=""),"",A1646&amp;"_"&amp;SUBSTITUTE(B1646," ","-")&amp;"_"&amp;D1646&amp;"_"&amp;SUBSTITUTE(SUBSTITUTE(E1646," ",""),"€","Euro")&amp;"_"&amp;IF(F1646="","Unknown",F1646)&amp;IF(F1646="Commemorative",IF(G1646="","","_"&amp;SUBSTITUTE(SUBSTITUTE(SUBSTITUTE(G1646," ","-"),"/","-"),CHAR(39),"")),"")&amp;IF(I1646="Duplicate","_Dub"&amp;IF(SUMPRODUCT(($B$2:B1646=B1646)*($D$2:D1646=D1646)*($E$2:E1646=E1646)*($F$2:F1646=F1646)*($G$2:G1646=G1646)*($I$2:I1646="Duplicate"))&lt;=1,"",SUMPRODUCT(($B$2:B1646=B1646)*($D$2:D1646=D1646)*($E$2:E1646=E1646)*($F$2:F1646=F1646)*($G$2:G1646=G1646)*($I$2:I1646="Duplicate"))-1),"")&amp;".jpeg")</f>
        <v/>
      </c>
      <c r="L1646" s="6"/>
      <c r="M1646" s="5" t="str">
        <f>IFERROR(VLOOKUP(E1646,Specifications!$A$2:$D$9,2,FALSE),"")</f>
        <v/>
      </c>
      <c r="N1646" s="5" t="str">
        <f>IFERROR(VLOOKUP(E1646,Specifications!$A$2:$D$9,3,FALSE),"")</f>
        <v/>
      </c>
      <c r="O1646" s="5" t="str">
        <f>IFERROR(VLOOKUP(E1646,Specifications!$A$2:$D$9,4,FALSE),"")</f>
        <v/>
      </c>
      <c r="P1646" s="8" t="str">
        <f t="shared" si="78"/>
        <v/>
      </c>
      <c r="Q1646" s="9"/>
    </row>
    <row r="1647" spans="1:17" ht="15">
      <c r="A1647" s="5" t="str">
        <f t="shared" si="76"/>
        <v/>
      </c>
      <c r="B1647" s="6"/>
      <c r="C1647" s="5" t="str">
        <f>IFERROR(VLOOKUP(B1647,Lists!$A$2:$B$25,2,FALSE),"")</f>
        <v/>
      </c>
      <c r="D1647" s="7"/>
      <c r="E1647" s="6"/>
      <c r="F1647" s="6" t="str">
        <f t="shared" si="77"/>
        <v/>
      </c>
      <c r="G1647" s="6"/>
      <c r="H1647" s="6"/>
      <c r="I1647" s="6"/>
      <c r="J1647" s="7"/>
      <c r="K1647" s="5" t="str" cm="1">
        <f t="array" ref="K1647">IF(OR(A1647="",B1647="",D1647="",E1647=""),"",A1647&amp;"_"&amp;SUBSTITUTE(B1647," ","-")&amp;"_"&amp;D1647&amp;"_"&amp;SUBSTITUTE(SUBSTITUTE(E1647," ",""),"€","Euro")&amp;"_"&amp;IF(F1647="","Unknown",F1647)&amp;IF(F1647="Commemorative",IF(G1647="","","_"&amp;SUBSTITUTE(SUBSTITUTE(SUBSTITUTE(G1647," ","-"),"/","-"),CHAR(39),"")),"")&amp;IF(I1647="Duplicate","_Dub"&amp;IF(SUMPRODUCT(($B$2:B1647=B1647)*($D$2:D1647=D1647)*($E$2:E1647=E1647)*($F$2:F1647=F1647)*($G$2:G1647=G1647)*($I$2:I1647="Duplicate"))&lt;=1,"",SUMPRODUCT(($B$2:B1647=B1647)*($D$2:D1647=D1647)*($E$2:E1647=E1647)*($F$2:F1647=F1647)*($G$2:G1647=G1647)*($I$2:I1647="Duplicate"))-1),"")&amp;".jpeg")</f>
        <v/>
      </c>
      <c r="L1647" s="6"/>
      <c r="M1647" s="5" t="str">
        <f>IFERROR(VLOOKUP(E1647,Specifications!$A$2:$D$9,2,FALSE),"")</f>
        <v/>
      </c>
      <c r="N1647" s="5" t="str">
        <f>IFERROR(VLOOKUP(E1647,Specifications!$A$2:$D$9,3,FALSE),"")</f>
        <v/>
      </c>
      <c r="O1647" s="5" t="str">
        <f>IFERROR(VLOOKUP(E1647,Specifications!$A$2:$D$9,4,FALSE),"")</f>
        <v/>
      </c>
      <c r="P1647" s="8" t="str">
        <f t="shared" si="78"/>
        <v/>
      </c>
      <c r="Q1647" s="9"/>
    </row>
    <row r="1648" spans="1:17" ht="15">
      <c r="A1648" s="5" t="str">
        <f t="shared" si="76"/>
        <v/>
      </c>
      <c r="B1648" s="6"/>
      <c r="C1648" s="5" t="str">
        <f>IFERROR(VLOOKUP(B1648,Lists!$A$2:$B$25,2,FALSE),"")</f>
        <v/>
      </c>
      <c r="D1648" s="7"/>
      <c r="E1648" s="6"/>
      <c r="F1648" s="6" t="str">
        <f t="shared" si="77"/>
        <v/>
      </c>
      <c r="G1648" s="6"/>
      <c r="H1648" s="6"/>
      <c r="I1648" s="6"/>
      <c r="J1648" s="7"/>
      <c r="K1648" s="5" t="str" cm="1">
        <f t="array" ref="K1648">IF(OR(A1648="",B1648="",D1648="",E1648=""),"",A1648&amp;"_"&amp;SUBSTITUTE(B1648," ","-")&amp;"_"&amp;D1648&amp;"_"&amp;SUBSTITUTE(SUBSTITUTE(E1648," ",""),"€","Euro")&amp;"_"&amp;IF(F1648="","Unknown",F1648)&amp;IF(F1648="Commemorative",IF(G1648="","","_"&amp;SUBSTITUTE(SUBSTITUTE(SUBSTITUTE(G1648," ","-"),"/","-"),CHAR(39),"")),"")&amp;IF(I1648="Duplicate","_Dub"&amp;IF(SUMPRODUCT(($B$2:B1648=B1648)*($D$2:D1648=D1648)*($E$2:E1648=E1648)*($F$2:F1648=F1648)*($G$2:G1648=G1648)*($I$2:I1648="Duplicate"))&lt;=1,"",SUMPRODUCT(($B$2:B1648=B1648)*($D$2:D1648=D1648)*($E$2:E1648=E1648)*($F$2:F1648=F1648)*($G$2:G1648=G1648)*($I$2:I1648="Duplicate"))-1),"")&amp;".jpeg")</f>
        <v/>
      </c>
      <c r="L1648" s="6"/>
      <c r="M1648" s="5" t="str">
        <f>IFERROR(VLOOKUP(E1648,Specifications!$A$2:$D$9,2,FALSE),"")</f>
        <v/>
      </c>
      <c r="N1648" s="5" t="str">
        <f>IFERROR(VLOOKUP(E1648,Specifications!$A$2:$D$9,3,FALSE),"")</f>
        <v/>
      </c>
      <c r="O1648" s="5" t="str">
        <f>IFERROR(VLOOKUP(E1648,Specifications!$A$2:$D$9,4,FALSE),"")</f>
        <v/>
      </c>
      <c r="P1648" s="8" t="str">
        <f t="shared" si="78"/>
        <v/>
      </c>
      <c r="Q1648" s="9"/>
    </row>
    <row r="1649" spans="1:17" ht="15">
      <c r="A1649" s="5" t="str">
        <f t="shared" si="76"/>
        <v/>
      </c>
      <c r="B1649" s="6"/>
      <c r="C1649" s="5" t="str">
        <f>IFERROR(VLOOKUP(B1649,Lists!$A$2:$B$25,2,FALSE),"")</f>
        <v/>
      </c>
      <c r="D1649" s="7"/>
      <c r="E1649" s="6"/>
      <c r="F1649" s="6" t="str">
        <f t="shared" si="77"/>
        <v/>
      </c>
      <c r="G1649" s="6"/>
      <c r="H1649" s="6"/>
      <c r="I1649" s="6"/>
      <c r="J1649" s="7"/>
      <c r="K1649" s="5" t="str" cm="1">
        <f t="array" ref="K1649">IF(OR(A1649="",B1649="",D1649="",E1649=""),"",A1649&amp;"_"&amp;SUBSTITUTE(B1649," ","-")&amp;"_"&amp;D1649&amp;"_"&amp;SUBSTITUTE(SUBSTITUTE(E1649," ",""),"€","Euro")&amp;"_"&amp;IF(F1649="","Unknown",F1649)&amp;IF(F1649="Commemorative",IF(G1649="","","_"&amp;SUBSTITUTE(SUBSTITUTE(SUBSTITUTE(G1649," ","-"),"/","-"),CHAR(39),"")),"")&amp;IF(I1649="Duplicate","_Dub"&amp;IF(SUMPRODUCT(($B$2:B1649=B1649)*($D$2:D1649=D1649)*($E$2:E1649=E1649)*($F$2:F1649=F1649)*($G$2:G1649=G1649)*($I$2:I1649="Duplicate"))&lt;=1,"",SUMPRODUCT(($B$2:B1649=B1649)*($D$2:D1649=D1649)*($E$2:E1649=E1649)*($F$2:F1649=F1649)*($G$2:G1649=G1649)*($I$2:I1649="Duplicate"))-1),"")&amp;".jpeg")</f>
        <v/>
      </c>
      <c r="L1649" s="6"/>
      <c r="M1649" s="5" t="str">
        <f>IFERROR(VLOOKUP(E1649,Specifications!$A$2:$D$9,2,FALSE),"")</f>
        <v/>
      </c>
      <c r="N1649" s="5" t="str">
        <f>IFERROR(VLOOKUP(E1649,Specifications!$A$2:$D$9,3,FALSE),"")</f>
        <v/>
      </c>
      <c r="O1649" s="5" t="str">
        <f>IFERROR(VLOOKUP(E1649,Specifications!$A$2:$D$9,4,FALSE),"")</f>
        <v/>
      </c>
      <c r="P1649" s="8" t="str">
        <f t="shared" si="78"/>
        <v/>
      </c>
      <c r="Q1649" s="9"/>
    </row>
    <row r="1650" spans="1:17" ht="15">
      <c r="A1650" s="5" t="str">
        <f t="shared" si="76"/>
        <v/>
      </c>
      <c r="B1650" s="6"/>
      <c r="C1650" s="5" t="str">
        <f>IFERROR(VLOOKUP(B1650,Lists!$A$2:$B$25,2,FALSE),"")</f>
        <v/>
      </c>
      <c r="D1650" s="7"/>
      <c r="E1650" s="6"/>
      <c r="F1650" s="6" t="str">
        <f t="shared" si="77"/>
        <v/>
      </c>
      <c r="G1650" s="6"/>
      <c r="H1650" s="6"/>
      <c r="I1650" s="6"/>
      <c r="J1650" s="7"/>
      <c r="K1650" s="5" t="str" cm="1">
        <f t="array" ref="K1650">IF(OR(A1650="",B1650="",D1650="",E1650=""),"",A1650&amp;"_"&amp;SUBSTITUTE(B1650," ","-")&amp;"_"&amp;D1650&amp;"_"&amp;SUBSTITUTE(SUBSTITUTE(E1650," ",""),"€","Euro")&amp;"_"&amp;IF(F1650="","Unknown",F1650)&amp;IF(F1650="Commemorative",IF(G1650="","","_"&amp;SUBSTITUTE(SUBSTITUTE(SUBSTITUTE(G1650," ","-"),"/","-"),CHAR(39),"")),"")&amp;IF(I1650="Duplicate","_Dub"&amp;IF(SUMPRODUCT(($B$2:B1650=B1650)*($D$2:D1650=D1650)*($E$2:E1650=E1650)*($F$2:F1650=F1650)*($G$2:G1650=G1650)*($I$2:I1650="Duplicate"))&lt;=1,"",SUMPRODUCT(($B$2:B1650=B1650)*($D$2:D1650=D1650)*($E$2:E1650=E1650)*($F$2:F1650=F1650)*($G$2:G1650=G1650)*($I$2:I1650="Duplicate"))-1),"")&amp;".jpeg")</f>
        <v/>
      </c>
      <c r="L1650" s="6"/>
      <c r="M1650" s="5" t="str">
        <f>IFERROR(VLOOKUP(E1650,Specifications!$A$2:$D$9,2,FALSE),"")</f>
        <v/>
      </c>
      <c r="N1650" s="5" t="str">
        <f>IFERROR(VLOOKUP(E1650,Specifications!$A$2:$D$9,3,FALSE),"")</f>
        <v/>
      </c>
      <c r="O1650" s="5" t="str">
        <f>IFERROR(VLOOKUP(E1650,Specifications!$A$2:$D$9,4,FALSE),"")</f>
        <v/>
      </c>
      <c r="P1650" s="8" t="str">
        <f t="shared" si="78"/>
        <v/>
      </c>
      <c r="Q1650" s="9"/>
    </row>
    <row r="1651" spans="1:17" ht="15">
      <c r="A1651" s="5" t="str">
        <f t="shared" si="76"/>
        <v/>
      </c>
      <c r="B1651" s="6"/>
      <c r="C1651" s="5" t="str">
        <f>IFERROR(VLOOKUP(B1651,Lists!$A$2:$B$25,2,FALSE),"")</f>
        <v/>
      </c>
      <c r="D1651" s="7"/>
      <c r="E1651" s="6"/>
      <c r="F1651" s="6" t="str">
        <f t="shared" si="77"/>
        <v/>
      </c>
      <c r="G1651" s="6"/>
      <c r="H1651" s="6"/>
      <c r="I1651" s="6"/>
      <c r="J1651" s="7"/>
      <c r="K1651" s="5" t="str" cm="1">
        <f t="array" ref="K1651">IF(OR(A1651="",B1651="",D1651="",E1651=""),"",A1651&amp;"_"&amp;SUBSTITUTE(B1651," ","-")&amp;"_"&amp;D1651&amp;"_"&amp;SUBSTITUTE(SUBSTITUTE(E1651," ",""),"€","Euro")&amp;"_"&amp;IF(F1651="","Unknown",F1651)&amp;IF(F1651="Commemorative",IF(G1651="","","_"&amp;SUBSTITUTE(SUBSTITUTE(SUBSTITUTE(G1651," ","-"),"/","-"),CHAR(39),"")),"")&amp;IF(I1651="Duplicate","_Dub"&amp;IF(SUMPRODUCT(($B$2:B1651=B1651)*($D$2:D1651=D1651)*($E$2:E1651=E1651)*($F$2:F1651=F1651)*($G$2:G1651=G1651)*($I$2:I1651="Duplicate"))&lt;=1,"",SUMPRODUCT(($B$2:B1651=B1651)*($D$2:D1651=D1651)*($E$2:E1651=E1651)*($F$2:F1651=F1651)*($G$2:G1651=G1651)*($I$2:I1651="Duplicate"))-1),"")&amp;".jpeg")</f>
        <v/>
      </c>
      <c r="L1651" s="6"/>
      <c r="M1651" s="5" t="str">
        <f>IFERROR(VLOOKUP(E1651,Specifications!$A$2:$D$9,2,FALSE),"")</f>
        <v/>
      </c>
      <c r="N1651" s="5" t="str">
        <f>IFERROR(VLOOKUP(E1651,Specifications!$A$2:$D$9,3,FALSE),"")</f>
        <v/>
      </c>
      <c r="O1651" s="5" t="str">
        <f>IFERROR(VLOOKUP(E1651,Specifications!$A$2:$D$9,4,FALSE),"")</f>
        <v/>
      </c>
      <c r="P1651" s="8" t="str">
        <f t="shared" si="78"/>
        <v/>
      </c>
      <c r="Q1651" s="9"/>
    </row>
    <row r="1652" spans="1:17" ht="15">
      <c r="A1652" s="5" t="str">
        <f t="shared" si="76"/>
        <v/>
      </c>
      <c r="B1652" s="6"/>
      <c r="C1652" s="5" t="str">
        <f>IFERROR(VLOOKUP(B1652,Lists!$A$2:$B$25,2,FALSE),"")</f>
        <v/>
      </c>
      <c r="D1652" s="7"/>
      <c r="E1652" s="6"/>
      <c r="F1652" s="6" t="str">
        <f t="shared" si="77"/>
        <v/>
      </c>
      <c r="G1652" s="6"/>
      <c r="H1652" s="6"/>
      <c r="I1652" s="6"/>
      <c r="J1652" s="7"/>
      <c r="K1652" s="5" t="str" cm="1">
        <f t="array" ref="K1652">IF(OR(A1652="",B1652="",D1652="",E1652=""),"",A1652&amp;"_"&amp;SUBSTITUTE(B1652," ","-")&amp;"_"&amp;D1652&amp;"_"&amp;SUBSTITUTE(SUBSTITUTE(E1652," ",""),"€","Euro")&amp;"_"&amp;IF(F1652="","Unknown",F1652)&amp;IF(F1652="Commemorative",IF(G1652="","","_"&amp;SUBSTITUTE(SUBSTITUTE(SUBSTITUTE(G1652," ","-"),"/","-"),CHAR(39),"")),"")&amp;IF(I1652="Duplicate","_Dub"&amp;IF(SUMPRODUCT(($B$2:B1652=B1652)*($D$2:D1652=D1652)*($E$2:E1652=E1652)*($F$2:F1652=F1652)*($G$2:G1652=G1652)*($I$2:I1652="Duplicate"))&lt;=1,"",SUMPRODUCT(($B$2:B1652=B1652)*($D$2:D1652=D1652)*($E$2:E1652=E1652)*($F$2:F1652=F1652)*($G$2:G1652=G1652)*($I$2:I1652="Duplicate"))-1),"")&amp;".jpeg")</f>
        <v/>
      </c>
      <c r="L1652" s="6"/>
      <c r="M1652" s="5" t="str">
        <f>IFERROR(VLOOKUP(E1652,Specifications!$A$2:$D$9,2,FALSE),"")</f>
        <v/>
      </c>
      <c r="N1652" s="5" t="str">
        <f>IFERROR(VLOOKUP(E1652,Specifications!$A$2:$D$9,3,FALSE),"")</f>
        <v/>
      </c>
      <c r="O1652" s="5" t="str">
        <f>IFERROR(VLOOKUP(E1652,Specifications!$A$2:$D$9,4,FALSE),"")</f>
        <v/>
      </c>
      <c r="P1652" s="8" t="str">
        <f t="shared" si="78"/>
        <v/>
      </c>
      <c r="Q1652" s="9"/>
    </row>
    <row r="1653" spans="1:17" ht="15">
      <c r="A1653" s="5" t="str">
        <f t="shared" si="76"/>
        <v/>
      </c>
      <c r="B1653" s="6"/>
      <c r="C1653" s="5" t="str">
        <f>IFERROR(VLOOKUP(B1653,Lists!$A$2:$B$25,2,FALSE),"")</f>
        <v/>
      </c>
      <c r="D1653" s="7"/>
      <c r="E1653" s="6"/>
      <c r="F1653" s="6" t="str">
        <f t="shared" si="77"/>
        <v/>
      </c>
      <c r="G1653" s="6"/>
      <c r="H1653" s="6"/>
      <c r="I1653" s="6"/>
      <c r="J1653" s="7"/>
      <c r="K1653" s="5" t="str" cm="1">
        <f t="array" ref="K1653">IF(OR(A1653="",B1653="",D1653="",E1653=""),"",A1653&amp;"_"&amp;SUBSTITUTE(B1653," ","-")&amp;"_"&amp;D1653&amp;"_"&amp;SUBSTITUTE(SUBSTITUTE(E1653," ",""),"€","Euro")&amp;"_"&amp;IF(F1653="","Unknown",F1653)&amp;IF(F1653="Commemorative",IF(G1653="","","_"&amp;SUBSTITUTE(SUBSTITUTE(SUBSTITUTE(G1653," ","-"),"/","-"),CHAR(39),"")),"")&amp;IF(I1653="Duplicate","_Dub"&amp;IF(SUMPRODUCT(($B$2:B1653=B1653)*($D$2:D1653=D1653)*($E$2:E1653=E1653)*($F$2:F1653=F1653)*($G$2:G1653=G1653)*($I$2:I1653="Duplicate"))&lt;=1,"",SUMPRODUCT(($B$2:B1653=B1653)*($D$2:D1653=D1653)*($E$2:E1653=E1653)*($F$2:F1653=F1653)*($G$2:G1653=G1653)*($I$2:I1653="Duplicate"))-1),"")&amp;".jpeg")</f>
        <v/>
      </c>
      <c r="L1653" s="6"/>
      <c r="M1653" s="5" t="str">
        <f>IFERROR(VLOOKUP(E1653,Specifications!$A$2:$D$9,2,FALSE),"")</f>
        <v/>
      </c>
      <c r="N1653" s="5" t="str">
        <f>IFERROR(VLOOKUP(E1653,Specifications!$A$2:$D$9,3,FALSE),"")</f>
        <v/>
      </c>
      <c r="O1653" s="5" t="str">
        <f>IFERROR(VLOOKUP(E1653,Specifications!$A$2:$D$9,4,FALSE),"")</f>
        <v/>
      </c>
      <c r="P1653" s="8" t="str">
        <f t="shared" si="78"/>
        <v/>
      </c>
      <c r="Q1653" s="9"/>
    </row>
    <row r="1654" spans="1:17" ht="15">
      <c r="A1654" s="5" t="str">
        <f t="shared" si="76"/>
        <v/>
      </c>
      <c r="B1654" s="6"/>
      <c r="C1654" s="5" t="str">
        <f>IFERROR(VLOOKUP(B1654,Lists!$A$2:$B$25,2,FALSE),"")</f>
        <v/>
      </c>
      <c r="D1654" s="7"/>
      <c r="E1654" s="6"/>
      <c r="F1654" s="6" t="str">
        <f t="shared" si="77"/>
        <v/>
      </c>
      <c r="G1654" s="6"/>
      <c r="H1654" s="6"/>
      <c r="I1654" s="6"/>
      <c r="J1654" s="7"/>
      <c r="K1654" s="5" t="str" cm="1">
        <f t="array" ref="K1654">IF(OR(A1654="",B1654="",D1654="",E1654=""),"",A1654&amp;"_"&amp;SUBSTITUTE(B1654," ","-")&amp;"_"&amp;D1654&amp;"_"&amp;SUBSTITUTE(SUBSTITUTE(E1654," ",""),"€","Euro")&amp;"_"&amp;IF(F1654="","Unknown",F1654)&amp;IF(F1654="Commemorative",IF(G1654="","","_"&amp;SUBSTITUTE(SUBSTITUTE(SUBSTITUTE(G1654," ","-"),"/","-"),CHAR(39),"")),"")&amp;IF(I1654="Duplicate","_Dub"&amp;IF(SUMPRODUCT(($B$2:B1654=B1654)*($D$2:D1654=D1654)*($E$2:E1654=E1654)*($F$2:F1654=F1654)*($G$2:G1654=G1654)*($I$2:I1654="Duplicate"))&lt;=1,"",SUMPRODUCT(($B$2:B1654=B1654)*($D$2:D1654=D1654)*($E$2:E1654=E1654)*($F$2:F1654=F1654)*($G$2:G1654=G1654)*($I$2:I1654="Duplicate"))-1),"")&amp;".jpeg")</f>
        <v/>
      </c>
      <c r="L1654" s="6"/>
      <c r="M1654" s="5" t="str">
        <f>IFERROR(VLOOKUP(E1654,Specifications!$A$2:$D$9,2,FALSE),"")</f>
        <v/>
      </c>
      <c r="N1654" s="5" t="str">
        <f>IFERROR(VLOOKUP(E1654,Specifications!$A$2:$D$9,3,FALSE),"")</f>
        <v/>
      </c>
      <c r="O1654" s="5" t="str">
        <f>IFERROR(VLOOKUP(E1654,Specifications!$A$2:$D$9,4,FALSE),"")</f>
        <v/>
      </c>
      <c r="P1654" s="8" t="str">
        <f t="shared" si="78"/>
        <v/>
      </c>
      <c r="Q1654" s="9"/>
    </row>
    <row r="1655" spans="1:17" ht="15">
      <c r="A1655" s="5" t="str">
        <f t="shared" si="76"/>
        <v/>
      </c>
      <c r="B1655" s="6"/>
      <c r="C1655" s="5" t="str">
        <f>IFERROR(VLOOKUP(B1655,Lists!$A$2:$B$25,2,FALSE),"")</f>
        <v/>
      </c>
      <c r="D1655" s="7"/>
      <c r="E1655" s="6"/>
      <c r="F1655" s="6" t="str">
        <f t="shared" si="77"/>
        <v/>
      </c>
      <c r="G1655" s="6"/>
      <c r="H1655" s="6"/>
      <c r="I1655" s="6"/>
      <c r="J1655" s="7"/>
      <c r="K1655" s="5" t="str" cm="1">
        <f t="array" ref="K1655">IF(OR(A1655="",B1655="",D1655="",E1655=""),"",A1655&amp;"_"&amp;SUBSTITUTE(B1655," ","-")&amp;"_"&amp;D1655&amp;"_"&amp;SUBSTITUTE(SUBSTITUTE(E1655," ",""),"€","Euro")&amp;"_"&amp;IF(F1655="","Unknown",F1655)&amp;IF(F1655="Commemorative",IF(G1655="","","_"&amp;SUBSTITUTE(SUBSTITUTE(SUBSTITUTE(G1655," ","-"),"/","-"),CHAR(39),"")),"")&amp;IF(I1655="Duplicate","_Dub"&amp;IF(SUMPRODUCT(($B$2:B1655=B1655)*($D$2:D1655=D1655)*($E$2:E1655=E1655)*($F$2:F1655=F1655)*($G$2:G1655=G1655)*($I$2:I1655="Duplicate"))&lt;=1,"",SUMPRODUCT(($B$2:B1655=B1655)*($D$2:D1655=D1655)*($E$2:E1655=E1655)*($F$2:F1655=F1655)*($G$2:G1655=G1655)*($I$2:I1655="Duplicate"))-1),"")&amp;".jpeg")</f>
        <v/>
      </c>
      <c r="L1655" s="6"/>
      <c r="M1655" s="5" t="str">
        <f>IFERROR(VLOOKUP(E1655,Specifications!$A$2:$D$9,2,FALSE),"")</f>
        <v/>
      </c>
      <c r="N1655" s="5" t="str">
        <f>IFERROR(VLOOKUP(E1655,Specifications!$A$2:$D$9,3,FALSE),"")</f>
        <v/>
      </c>
      <c r="O1655" s="5" t="str">
        <f>IFERROR(VLOOKUP(E1655,Specifications!$A$2:$D$9,4,FALSE),"")</f>
        <v/>
      </c>
      <c r="P1655" s="8" t="str">
        <f t="shared" si="78"/>
        <v/>
      </c>
      <c r="Q1655" s="9"/>
    </row>
    <row r="1656" spans="1:17" ht="15">
      <c r="A1656" s="5" t="str">
        <f t="shared" si="76"/>
        <v/>
      </c>
      <c r="B1656" s="6"/>
      <c r="C1656" s="5" t="str">
        <f>IFERROR(VLOOKUP(B1656,Lists!$A$2:$B$25,2,FALSE),"")</f>
        <v/>
      </c>
      <c r="D1656" s="7"/>
      <c r="E1656" s="6"/>
      <c r="F1656" s="6" t="str">
        <f t="shared" si="77"/>
        <v/>
      </c>
      <c r="G1656" s="6"/>
      <c r="H1656" s="6"/>
      <c r="I1656" s="6"/>
      <c r="J1656" s="7"/>
      <c r="K1656" s="5" t="str" cm="1">
        <f t="array" ref="K1656">IF(OR(A1656="",B1656="",D1656="",E1656=""),"",A1656&amp;"_"&amp;SUBSTITUTE(B1656," ","-")&amp;"_"&amp;D1656&amp;"_"&amp;SUBSTITUTE(SUBSTITUTE(E1656," ",""),"€","Euro")&amp;"_"&amp;IF(F1656="","Unknown",F1656)&amp;IF(F1656="Commemorative",IF(G1656="","","_"&amp;SUBSTITUTE(SUBSTITUTE(SUBSTITUTE(G1656," ","-"),"/","-"),CHAR(39),"")),"")&amp;IF(I1656="Duplicate","_Dub"&amp;IF(SUMPRODUCT(($B$2:B1656=B1656)*($D$2:D1656=D1656)*($E$2:E1656=E1656)*($F$2:F1656=F1656)*($G$2:G1656=G1656)*($I$2:I1656="Duplicate"))&lt;=1,"",SUMPRODUCT(($B$2:B1656=B1656)*($D$2:D1656=D1656)*($E$2:E1656=E1656)*($F$2:F1656=F1656)*($G$2:G1656=G1656)*($I$2:I1656="Duplicate"))-1),"")&amp;".jpeg")</f>
        <v/>
      </c>
      <c r="L1656" s="6"/>
      <c r="M1656" s="5" t="str">
        <f>IFERROR(VLOOKUP(E1656,Specifications!$A$2:$D$9,2,FALSE),"")</f>
        <v/>
      </c>
      <c r="N1656" s="5" t="str">
        <f>IFERROR(VLOOKUP(E1656,Specifications!$A$2:$D$9,3,FALSE),"")</f>
        <v/>
      </c>
      <c r="O1656" s="5" t="str">
        <f>IFERROR(VLOOKUP(E1656,Specifications!$A$2:$D$9,4,FALSE),"")</f>
        <v/>
      </c>
      <c r="P1656" s="8" t="str">
        <f t="shared" si="78"/>
        <v/>
      </c>
      <c r="Q1656" s="9"/>
    </row>
    <row r="1657" spans="1:17" ht="15">
      <c r="A1657" s="5" t="str">
        <f t="shared" si="76"/>
        <v/>
      </c>
      <c r="B1657" s="6"/>
      <c r="C1657" s="5" t="str">
        <f>IFERROR(VLOOKUP(B1657,Lists!$A$2:$B$25,2,FALSE),"")</f>
        <v/>
      </c>
      <c r="D1657" s="7"/>
      <c r="E1657" s="6"/>
      <c r="F1657" s="6" t="str">
        <f t="shared" si="77"/>
        <v/>
      </c>
      <c r="G1657" s="6"/>
      <c r="H1657" s="6"/>
      <c r="I1657" s="6"/>
      <c r="J1657" s="7"/>
      <c r="K1657" s="5" t="str" cm="1">
        <f t="array" ref="K1657">IF(OR(A1657="",B1657="",D1657="",E1657=""),"",A1657&amp;"_"&amp;SUBSTITUTE(B1657," ","-")&amp;"_"&amp;D1657&amp;"_"&amp;SUBSTITUTE(SUBSTITUTE(E1657," ",""),"€","Euro")&amp;"_"&amp;IF(F1657="","Unknown",F1657)&amp;IF(F1657="Commemorative",IF(G1657="","","_"&amp;SUBSTITUTE(SUBSTITUTE(SUBSTITUTE(G1657," ","-"),"/","-"),CHAR(39),"")),"")&amp;IF(I1657="Duplicate","_Dub"&amp;IF(SUMPRODUCT(($B$2:B1657=B1657)*($D$2:D1657=D1657)*($E$2:E1657=E1657)*($F$2:F1657=F1657)*($G$2:G1657=G1657)*($I$2:I1657="Duplicate"))&lt;=1,"",SUMPRODUCT(($B$2:B1657=B1657)*($D$2:D1657=D1657)*($E$2:E1657=E1657)*($F$2:F1657=F1657)*($G$2:G1657=G1657)*($I$2:I1657="Duplicate"))-1),"")&amp;".jpeg")</f>
        <v/>
      </c>
      <c r="L1657" s="6"/>
      <c r="M1657" s="5" t="str">
        <f>IFERROR(VLOOKUP(E1657,Specifications!$A$2:$D$9,2,FALSE),"")</f>
        <v/>
      </c>
      <c r="N1657" s="5" t="str">
        <f>IFERROR(VLOOKUP(E1657,Specifications!$A$2:$D$9,3,FALSE),"")</f>
        <v/>
      </c>
      <c r="O1657" s="5" t="str">
        <f>IFERROR(VLOOKUP(E1657,Specifications!$A$2:$D$9,4,FALSE),"")</f>
        <v/>
      </c>
      <c r="P1657" s="8" t="str">
        <f t="shared" si="78"/>
        <v/>
      </c>
      <c r="Q1657" s="9"/>
    </row>
    <row r="1658" spans="1:17" ht="15">
      <c r="A1658" s="5" t="str">
        <f t="shared" si="76"/>
        <v/>
      </c>
      <c r="B1658" s="6"/>
      <c r="C1658" s="5" t="str">
        <f>IFERROR(VLOOKUP(B1658,Lists!$A$2:$B$25,2,FALSE),"")</f>
        <v/>
      </c>
      <c r="D1658" s="7"/>
      <c r="E1658" s="6"/>
      <c r="F1658" s="6" t="str">
        <f t="shared" si="77"/>
        <v/>
      </c>
      <c r="G1658" s="6"/>
      <c r="H1658" s="6"/>
      <c r="I1658" s="6"/>
      <c r="J1658" s="7"/>
      <c r="K1658" s="5" t="str" cm="1">
        <f t="array" ref="K1658">IF(OR(A1658="",B1658="",D1658="",E1658=""),"",A1658&amp;"_"&amp;SUBSTITUTE(B1658," ","-")&amp;"_"&amp;D1658&amp;"_"&amp;SUBSTITUTE(SUBSTITUTE(E1658," ",""),"€","Euro")&amp;"_"&amp;IF(F1658="","Unknown",F1658)&amp;IF(F1658="Commemorative",IF(G1658="","","_"&amp;SUBSTITUTE(SUBSTITUTE(SUBSTITUTE(G1658," ","-"),"/","-"),CHAR(39),"")),"")&amp;IF(I1658="Duplicate","_Dub"&amp;IF(SUMPRODUCT(($B$2:B1658=B1658)*($D$2:D1658=D1658)*($E$2:E1658=E1658)*($F$2:F1658=F1658)*($G$2:G1658=G1658)*($I$2:I1658="Duplicate"))&lt;=1,"",SUMPRODUCT(($B$2:B1658=B1658)*($D$2:D1658=D1658)*($E$2:E1658=E1658)*($F$2:F1658=F1658)*($G$2:G1658=G1658)*($I$2:I1658="Duplicate"))-1),"")&amp;".jpeg")</f>
        <v/>
      </c>
      <c r="L1658" s="6"/>
      <c r="M1658" s="5" t="str">
        <f>IFERROR(VLOOKUP(E1658,Specifications!$A$2:$D$9,2,FALSE),"")</f>
        <v/>
      </c>
      <c r="N1658" s="5" t="str">
        <f>IFERROR(VLOOKUP(E1658,Specifications!$A$2:$D$9,3,FALSE),"")</f>
        <v/>
      </c>
      <c r="O1658" s="5" t="str">
        <f>IFERROR(VLOOKUP(E1658,Specifications!$A$2:$D$9,4,FALSE),"")</f>
        <v/>
      </c>
      <c r="P1658" s="8" t="str">
        <f t="shared" si="78"/>
        <v/>
      </c>
      <c r="Q1658" s="9"/>
    </row>
    <row r="1659" spans="1:17" ht="15">
      <c r="A1659" s="5" t="str">
        <f t="shared" si="76"/>
        <v/>
      </c>
      <c r="B1659" s="6"/>
      <c r="C1659" s="5" t="str">
        <f>IFERROR(VLOOKUP(B1659,Lists!$A$2:$B$25,2,FALSE),"")</f>
        <v/>
      </c>
      <c r="D1659" s="7"/>
      <c r="E1659" s="6"/>
      <c r="F1659" s="6" t="str">
        <f t="shared" si="77"/>
        <v/>
      </c>
      <c r="G1659" s="6"/>
      <c r="H1659" s="6"/>
      <c r="I1659" s="6"/>
      <c r="J1659" s="7"/>
      <c r="K1659" s="5" t="str" cm="1">
        <f t="array" ref="K1659">IF(OR(A1659="",B1659="",D1659="",E1659=""),"",A1659&amp;"_"&amp;SUBSTITUTE(B1659," ","-")&amp;"_"&amp;D1659&amp;"_"&amp;SUBSTITUTE(SUBSTITUTE(E1659," ",""),"€","Euro")&amp;"_"&amp;IF(F1659="","Unknown",F1659)&amp;IF(F1659="Commemorative",IF(G1659="","","_"&amp;SUBSTITUTE(SUBSTITUTE(SUBSTITUTE(G1659," ","-"),"/","-"),CHAR(39),"")),"")&amp;IF(I1659="Duplicate","_Dub"&amp;IF(SUMPRODUCT(($B$2:B1659=B1659)*($D$2:D1659=D1659)*($E$2:E1659=E1659)*($F$2:F1659=F1659)*($G$2:G1659=G1659)*($I$2:I1659="Duplicate"))&lt;=1,"",SUMPRODUCT(($B$2:B1659=B1659)*($D$2:D1659=D1659)*($E$2:E1659=E1659)*($F$2:F1659=F1659)*($G$2:G1659=G1659)*($I$2:I1659="Duplicate"))-1),"")&amp;".jpeg")</f>
        <v/>
      </c>
      <c r="L1659" s="6"/>
      <c r="M1659" s="5" t="str">
        <f>IFERROR(VLOOKUP(E1659,Specifications!$A$2:$D$9,2,FALSE),"")</f>
        <v/>
      </c>
      <c r="N1659" s="5" t="str">
        <f>IFERROR(VLOOKUP(E1659,Specifications!$A$2:$D$9,3,FALSE),"")</f>
        <v/>
      </c>
      <c r="O1659" s="5" t="str">
        <f>IFERROR(VLOOKUP(E1659,Specifications!$A$2:$D$9,4,FALSE),"")</f>
        <v/>
      </c>
      <c r="P1659" s="8" t="str">
        <f t="shared" si="78"/>
        <v/>
      </c>
      <c r="Q1659" s="9"/>
    </row>
    <row r="1660" spans="1:17" ht="15">
      <c r="A1660" s="5" t="str">
        <f t="shared" si="76"/>
        <v/>
      </c>
      <c r="B1660" s="6"/>
      <c r="C1660" s="5" t="str">
        <f>IFERROR(VLOOKUP(B1660,Lists!$A$2:$B$25,2,FALSE),"")</f>
        <v/>
      </c>
      <c r="D1660" s="7"/>
      <c r="E1660" s="6"/>
      <c r="F1660" s="6" t="str">
        <f t="shared" si="77"/>
        <v/>
      </c>
      <c r="G1660" s="6"/>
      <c r="H1660" s="6"/>
      <c r="I1660" s="6"/>
      <c r="J1660" s="7"/>
      <c r="K1660" s="5" t="str" cm="1">
        <f t="array" ref="K1660">IF(OR(A1660="",B1660="",D1660="",E1660=""),"",A1660&amp;"_"&amp;SUBSTITUTE(B1660," ","-")&amp;"_"&amp;D1660&amp;"_"&amp;SUBSTITUTE(SUBSTITUTE(E1660," ",""),"€","Euro")&amp;"_"&amp;IF(F1660="","Unknown",F1660)&amp;IF(F1660="Commemorative",IF(G1660="","","_"&amp;SUBSTITUTE(SUBSTITUTE(SUBSTITUTE(G1660," ","-"),"/","-"),CHAR(39),"")),"")&amp;IF(I1660="Duplicate","_Dub"&amp;IF(SUMPRODUCT(($B$2:B1660=B1660)*($D$2:D1660=D1660)*($E$2:E1660=E1660)*($F$2:F1660=F1660)*($G$2:G1660=G1660)*($I$2:I1660="Duplicate"))&lt;=1,"",SUMPRODUCT(($B$2:B1660=B1660)*($D$2:D1660=D1660)*($E$2:E1660=E1660)*($F$2:F1660=F1660)*($G$2:G1660=G1660)*($I$2:I1660="Duplicate"))-1),"")&amp;".jpeg")</f>
        <v/>
      </c>
      <c r="L1660" s="6"/>
      <c r="M1660" s="5" t="str">
        <f>IFERROR(VLOOKUP(E1660,Specifications!$A$2:$D$9,2,FALSE),"")</f>
        <v/>
      </c>
      <c r="N1660" s="5" t="str">
        <f>IFERROR(VLOOKUP(E1660,Specifications!$A$2:$D$9,3,FALSE),"")</f>
        <v/>
      </c>
      <c r="O1660" s="5" t="str">
        <f>IFERROR(VLOOKUP(E1660,Specifications!$A$2:$D$9,4,FALSE),"")</f>
        <v/>
      </c>
      <c r="P1660" s="8" t="str">
        <f t="shared" si="78"/>
        <v/>
      </c>
      <c r="Q1660" s="9"/>
    </row>
    <row r="1661" spans="1:17" ht="15">
      <c r="A1661" s="5" t="str">
        <f t="shared" si="76"/>
        <v/>
      </c>
      <c r="B1661" s="6"/>
      <c r="C1661" s="5" t="str">
        <f>IFERROR(VLOOKUP(B1661,Lists!$A$2:$B$25,2,FALSE),"")</f>
        <v/>
      </c>
      <c r="D1661" s="7"/>
      <c r="E1661" s="6"/>
      <c r="F1661" s="6" t="str">
        <f t="shared" si="77"/>
        <v/>
      </c>
      <c r="G1661" s="6"/>
      <c r="H1661" s="6"/>
      <c r="I1661" s="6"/>
      <c r="J1661" s="7"/>
      <c r="K1661" s="5" t="str" cm="1">
        <f t="array" ref="K1661">IF(OR(A1661="",B1661="",D1661="",E1661=""),"",A1661&amp;"_"&amp;SUBSTITUTE(B1661," ","-")&amp;"_"&amp;D1661&amp;"_"&amp;SUBSTITUTE(SUBSTITUTE(E1661," ",""),"€","Euro")&amp;"_"&amp;IF(F1661="","Unknown",F1661)&amp;IF(F1661="Commemorative",IF(G1661="","","_"&amp;SUBSTITUTE(SUBSTITUTE(SUBSTITUTE(G1661," ","-"),"/","-"),CHAR(39),"")),"")&amp;IF(I1661="Duplicate","_Dub"&amp;IF(SUMPRODUCT(($B$2:B1661=B1661)*($D$2:D1661=D1661)*($E$2:E1661=E1661)*($F$2:F1661=F1661)*($G$2:G1661=G1661)*($I$2:I1661="Duplicate"))&lt;=1,"",SUMPRODUCT(($B$2:B1661=B1661)*($D$2:D1661=D1661)*($E$2:E1661=E1661)*($F$2:F1661=F1661)*($G$2:G1661=G1661)*($I$2:I1661="Duplicate"))-1),"")&amp;".jpeg")</f>
        <v/>
      </c>
      <c r="L1661" s="6"/>
      <c r="M1661" s="5" t="str">
        <f>IFERROR(VLOOKUP(E1661,Specifications!$A$2:$D$9,2,FALSE),"")</f>
        <v/>
      </c>
      <c r="N1661" s="5" t="str">
        <f>IFERROR(VLOOKUP(E1661,Specifications!$A$2:$D$9,3,FALSE),"")</f>
        <v/>
      </c>
      <c r="O1661" s="5" t="str">
        <f>IFERROR(VLOOKUP(E1661,Specifications!$A$2:$D$9,4,FALSE),"")</f>
        <v/>
      </c>
      <c r="P1661" s="8" t="str">
        <f t="shared" si="78"/>
        <v/>
      </c>
      <c r="Q1661" s="9"/>
    </row>
    <row r="1662" spans="1:17" ht="15">
      <c r="A1662" s="5" t="str">
        <f t="shared" si="76"/>
        <v/>
      </c>
      <c r="B1662" s="6"/>
      <c r="C1662" s="5" t="str">
        <f>IFERROR(VLOOKUP(B1662,Lists!$A$2:$B$25,2,FALSE),"")</f>
        <v/>
      </c>
      <c r="D1662" s="7"/>
      <c r="E1662" s="6"/>
      <c r="F1662" s="6" t="str">
        <f t="shared" si="77"/>
        <v/>
      </c>
      <c r="G1662" s="6"/>
      <c r="H1662" s="6"/>
      <c r="I1662" s="6"/>
      <c r="J1662" s="7"/>
      <c r="K1662" s="5" t="str" cm="1">
        <f t="array" ref="K1662">IF(OR(A1662="",B1662="",D1662="",E1662=""),"",A1662&amp;"_"&amp;SUBSTITUTE(B1662," ","-")&amp;"_"&amp;D1662&amp;"_"&amp;SUBSTITUTE(SUBSTITUTE(E1662," ",""),"€","Euro")&amp;"_"&amp;IF(F1662="","Unknown",F1662)&amp;IF(F1662="Commemorative",IF(G1662="","","_"&amp;SUBSTITUTE(SUBSTITUTE(SUBSTITUTE(G1662," ","-"),"/","-"),CHAR(39),"")),"")&amp;IF(I1662="Duplicate","_Dub"&amp;IF(SUMPRODUCT(($B$2:B1662=B1662)*($D$2:D1662=D1662)*($E$2:E1662=E1662)*($F$2:F1662=F1662)*($G$2:G1662=G1662)*($I$2:I1662="Duplicate"))&lt;=1,"",SUMPRODUCT(($B$2:B1662=B1662)*($D$2:D1662=D1662)*($E$2:E1662=E1662)*($F$2:F1662=F1662)*($G$2:G1662=G1662)*($I$2:I1662="Duplicate"))-1),"")&amp;".jpeg")</f>
        <v/>
      </c>
      <c r="L1662" s="6"/>
      <c r="M1662" s="5" t="str">
        <f>IFERROR(VLOOKUP(E1662,Specifications!$A$2:$D$9,2,FALSE),"")</f>
        <v/>
      </c>
      <c r="N1662" s="5" t="str">
        <f>IFERROR(VLOOKUP(E1662,Specifications!$A$2:$D$9,3,FALSE),"")</f>
        <v/>
      </c>
      <c r="O1662" s="5" t="str">
        <f>IFERROR(VLOOKUP(E1662,Specifications!$A$2:$D$9,4,FALSE),"")</f>
        <v/>
      </c>
      <c r="P1662" s="8" t="str">
        <f t="shared" si="78"/>
        <v/>
      </c>
      <c r="Q1662" s="9"/>
    </row>
    <row r="1663" spans="1:17" ht="15">
      <c r="A1663" s="5" t="str">
        <f t="shared" si="76"/>
        <v/>
      </c>
      <c r="B1663" s="6"/>
      <c r="C1663" s="5" t="str">
        <f>IFERROR(VLOOKUP(B1663,Lists!$A$2:$B$25,2,FALSE),"")</f>
        <v/>
      </c>
      <c r="D1663" s="7"/>
      <c r="E1663" s="6"/>
      <c r="F1663" s="6" t="str">
        <f t="shared" si="77"/>
        <v/>
      </c>
      <c r="G1663" s="6"/>
      <c r="H1663" s="6"/>
      <c r="I1663" s="6"/>
      <c r="J1663" s="7"/>
      <c r="K1663" s="5" t="str" cm="1">
        <f t="array" ref="K1663">IF(OR(A1663="",B1663="",D1663="",E1663=""),"",A1663&amp;"_"&amp;SUBSTITUTE(B1663," ","-")&amp;"_"&amp;D1663&amp;"_"&amp;SUBSTITUTE(SUBSTITUTE(E1663," ",""),"€","Euro")&amp;"_"&amp;IF(F1663="","Unknown",F1663)&amp;IF(F1663="Commemorative",IF(G1663="","","_"&amp;SUBSTITUTE(SUBSTITUTE(SUBSTITUTE(G1663," ","-"),"/","-"),CHAR(39),"")),"")&amp;IF(I1663="Duplicate","_Dub"&amp;IF(SUMPRODUCT(($B$2:B1663=B1663)*($D$2:D1663=D1663)*($E$2:E1663=E1663)*($F$2:F1663=F1663)*($G$2:G1663=G1663)*($I$2:I1663="Duplicate"))&lt;=1,"",SUMPRODUCT(($B$2:B1663=B1663)*($D$2:D1663=D1663)*($E$2:E1663=E1663)*($F$2:F1663=F1663)*($G$2:G1663=G1663)*($I$2:I1663="Duplicate"))-1),"")&amp;".jpeg")</f>
        <v/>
      </c>
      <c r="L1663" s="6"/>
      <c r="M1663" s="5" t="str">
        <f>IFERROR(VLOOKUP(E1663,Specifications!$A$2:$D$9,2,FALSE),"")</f>
        <v/>
      </c>
      <c r="N1663" s="5" t="str">
        <f>IFERROR(VLOOKUP(E1663,Specifications!$A$2:$D$9,3,FALSE),"")</f>
        <v/>
      </c>
      <c r="O1663" s="5" t="str">
        <f>IFERROR(VLOOKUP(E1663,Specifications!$A$2:$D$9,4,FALSE),"")</f>
        <v/>
      </c>
      <c r="P1663" s="8" t="str">
        <f t="shared" si="78"/>
        <v/>
      </c>
      <c r="Q1663" s="9"/>
    </row>
    <row r="1664" spans="1:17" ht="15">
      <c r="A1664" s="5" t="str">
        <f t="shared" si="76"/>
        <v/>
      </c>
      <c r="B1664" s="6"/>
      <c r="C1664" s="5" t="str">
        <f>IFERROR(VLOOKUP(B1664,Lists!$A$2:$B$25,2,FALSE),"")</f>
        <v/>
      </c>
      <c r="D1664" s="7"/>
      <c r="E1664" s="6"/>
      <c r="F1664" s="6" t="str">
        <f t="shared" si="77"/>
        <v/>
      </c>
      <c r="G1664" s="6"/>
      <c r="H1664" s="6"/>
      <c r="I1664" s="6"/>
      <c r="J1664" s="7"/>
      <c r="K1664" s="5" t="str" cm="1">
        <f t="array" ref="K1664">IF(OR(A1664="",B1664="",D1664="",E1664=""),"",A1664&amp;"_"&amp;SUBSTITUTE(B1664," ","-")&amp;"_"&amp;D1664&amp;"_"&amp;SUBSTITUTE(SUBSTITUTE(E1664," ",""),"€","Euro")&amp;"_"&amp;IF(F1664="","Unknown",F1664)&amp;IF(F1664="Commemorative",IF(G1664="","","_"&amp;SUBSTITUTE(SUBSTITUTE(SUBSTITUTE(G1664," ","-"),"/","-"),CHAR(39),"")),"")&amp;IF(I1664="Duplicate","_Dub"&amp;IF(SUMPRODUCT(($B$2:B1664=B1664)*($D$2:D1664=D1664)*($E$2:E1664=E1664)*($F$2:F1664=F1664)*($G$2:G1664=G1664)*($I$2:I1664="Duplicate"))&lt;=1,"",SUMPRODUCT(($B$2:B1664=B1664)*($D$2:D1664=D1664)*($E$2:E1664=E1664)*($F$2:F1664=F1664)*($G$2:G1664=G1664)*($I$2:I1664="Duplicate"))-1),"")&amp;".jpeg")</f>
        <v/>
      </c>
      <c r="L1664" s="6"/>
      <c r="M1664" s="5" t="str">
        <f>IFERROR(VLOOKUP(E1664,Specifications!$A$2:$D$9,2,FALSE),"")</f>
        <v/>
      </c>
      <c r="N1664" s="5" t="str">
        <f>IFERROR(VLOOKUP(E1664,Specifications!$A$2:$D$9,3,FALSE),"")</f>
        <v/>
      </c>
      <c r="O1664" s="5" t="str">
        <f>IFERROR(VLOOKUP(E1664,Specifications!$A$2:$D$9,4,FALSE),"")</f>
        <v/>
      </c>
      <c r="P1664" s="8" t="str">
        <f t="shared" si="78"/>
        <v/>
      </c>
      <c r="Q1664" s="9"/>
    </row>
    <row r="1665" spans="1:17" ht="15">
      <c r="A1665" s="5" t="str">
        <f t="shared" si="76"/>
        <v/>
      </c>
      <c r="B1665" s="6"/>
      <c r="C1665" s="5" t="str">
        <f>IFERROR(VLOOKUP(B1665,Lists!$A$2:$B$25,2,FALSE),"")</f>
        <v/>
      </c>
      <c r="D1665" s="7"/>
      <c r="E1665" s="6"/>
      <c r="F1665" s="6" t="str">
        <f t="shared" si="77"/>
        <v/>
      </c>
      <c r="G1665" s="6"/>
      <c r="H1665" s="6"/>
      <c r="I1665" s="6"/>
      <c r="J1665" s="7"/>
      <c r="K1665" s="5" t="str" cm="1">
        <f t="array" ref="K1665">IF(OR(A1665="",B1665="",D1665="",E1665=""),"",A1665&amp;"_"&amp;SUBSTITUTE(B1665," ","-")&amp;"_"&amp;D1665&amp;"_"&amp;SUBSTITUTE(SUBSTITUTE(E1665," ",""),"€","Euro")&amp;"_"&amp;IF(F1665="","Unknown",F1665)&amp;IF(F1665="Commemorative",IF(G1665="","","_"&amp;SUBSTITUTE(SUBSTITUTE(SUBSTITUTE(G1665," ","-"),"/","-"),CHAR(39),"")),"")&amp;IF(I1665="Duplicate","_Dub"&amp;IF(SUMPRODUCT(($B$2:B1665=B1665)*($D$2:D1665=D1665)*($E$2:E1665=E1665)*($F$2:F1665=F1665)*($G$2:G1665=G1665)*($I$2:I1665="Duplicate"))&lt;=1,"",SUMPRODUCT(($B$2:B1665=B1665)*($D$2:D1665=D1665)*($E$2:E1665=E1665)*($F$2:F1665=F1665)*($G$2:G1665=G1665)*($I$2:I1665="Duplicate"))-1),"")&amp;".jpeg")</f>
        <v/>
      </c>
      <c r="L1665" s="6"/>
      <c r="M1665" s="5" t="str">
        <f>IFERROR(VLOOKUP(E1665,Specifications!$A$2:$D$9,2,FALSE),"")</f>
        <v/>
      </c>
      <c r="N1665" s="5" t="str">
        <f>IFERROR(VLOOKUP(E1665,Specifications!$A$2:$D$9,3,FALSE),"")</f>
        <v/>
      </c>
      <c r="O1665" s="5" t="str">
        <f>IFERROR(VLOOKUP(E1665,Specifications!$A$2:$D$9,4,FALSE),"")</f>
        <v/>
      </c>
      <c r="P1665" s="8" t="str">
        <f t="shared" si="78"/>
        <v/>
      </c>
      <c r="Q1665" s="9"/>
    </row>
    <row r="1666" spans="1:17" ht="15">
      <c r="A1666" s="5" t="str">
        <f t="shared" ref="A1666:A1729" si="79">IF(B1666="","",TEXT(ROW()-1,"000"))</f>
        <v/>
      </c>
      <c r="B1666" s="6"/>
      <c r="C1666" s="5" t="str">
        <f>IFERROR(VLOOKUP(B1666,Lists!$A$2:$B$25,2,FALSE),"")</f>
        <v/>
      </c>
      <c r="D1666" s="7"/>
      <c r="E1666" s="6"/>
      <c r="F1666" s="6" t="str">
        <f t="shared" ref="F1666:F1729" si="80">IF(E1666="","",IF(E1666="2 €","", "Regular"))</f>
        <v/>
      </c>
      <c r="G1666" s="6"/>
      <c r="H1666" s="6"/>
      <c r="I1666" s="6"/>
      <c r="J1666" s="7"/>
      <c r="K1666" s="5" t="str" cm="1">
        <f t="array" ref="K1666">IF(OR(A1666="",B1666="",D1666="",E1666=""),"",A1666&amp;"_"&amp;SUBSTITUTE(B1666," ","-")&amp;"_"&amp;D1666&amp;"_"&amp;SUBSTITUTE(SUBSTITUTE(E1666," ",""),"€","Euro")&amp;"_"&amp;IF(F1666="","Unknown",F1666)&amp;IF(F1666="Commemorative",IF(G1666="","","_"&amp;SUBSTITUTE(SUBSTITUTE(SUBSTITUTE(G1666," ","-"),"/","-"),CHAR(39),"")),"")&amp;IF(I1666="Duplicate","_Dub"&amp;IF(SUMPRODUCT(($B$2:B1666=B1666)*($D$2:D1666=D1666)*($E$2:E1666=E1666)*($F$2:F1666=F1666)*($G$2:G1666=G1666)*($I$2:I1666="Duplicate"))&lt;=1,"",SUMPRODUCT(($B$2:B1666=B1666)*($D$2:D1666=D1666)*($E$2:E1666=E1666)*($F$2:F1666=F1666)*($G$2:G1666=G1666)*($I$2:I1666="Duplicate"))-1),"")&amp;".jpeg")</f>
        <v/>
      </c>
      <c r="L1666" s="6"/>
      <c r="M1666" s="5" t="str">
        <f>IFERROR(VLOOKUP(E1666,Specifications!$A$2:$D$9,2,FALSE),"")</f>
        <v/>
      </c>
      <c r="N1666" s="5" t="str">
        <f>IFERROR(VLOOKUP(E1666,Specifications!$A$2:$D$9,3,FALSE),"")</f>
        <v/>
      </c>
      <c r="O1666" s="5" t="str">
        <f>IFERROR(VLOOKUP(E1666,Specifications!$A$2:$D$9,4,FALSE),"")</f>
        <v/>
      </c>
      <c r="P1666" s="8" t="str">
        <f t="shared" ref="P1666:P1729" si="81">IF(OR(B1666="",E1666="",F1666=""),"",IF(F1666="Regular","Regular "&amp;E1666&amp;" circulation coin of "&amp;B1666&amp;".",IF(F1666="Commemorative",IF(G1666="","",E1666&amp;" commemorative coin of "&amp;B1666&amp;" – "&amp;G1666&amp;"."),"")))</f>
        <v/>
      </c>
      <c r="Q1666" s="9"/>
    </row>
    <row r="1667" spans="1:17" ht="15">
      <c r="A1667" s="5" t="str">
        <f t="shared" si="79"/>
        <v/>
      </c>
      <c r="B1667" s="6"/>
      <c r="C1667" s="5" t="str">
        <f>IFERROR(VLOOKUP(B1667,Lists!$A$2:$B$25,2,FALSE),"")</f>
        <v/>
      </c>
      <c r="D1667" s="7"/>
      <c r="E1667" s="6"/>
      <c r="F1667" s="6" t="str">
        <f t="shared" si="80"/>
        <v/>
      </c>
      <c r="G1667" s="6"/>
      <c r="H1667" s="6"/>
      <c r="I1667" s="6"/>
      <c r="J1667" s="7"/>
      <c r="K1667" s="5" t="str" cm="1">
        <f t="array" ref="K1667">IF(OR(A1667="",B1667="",D1667="",E1667=""),"",A1667&amp;"_"&amp;SUBSTITUTE(B1667," ","-")&amp;"_"&amp;D1667&amp;"_"&amp;SUBSTITUTE(SUBSTITUTE(E1667," ",""),"€","Euro")&amp;"_"&amp;IF(F1667="","Unknown",F1667)&amp;IF(F1667="Commemorative",IF(G1667="","","_"&amp;SUBSTITUTE(SUBSTITUTE(SUBSTITUTE(G1667," ","-"),"/","-"),CHAR(39),"")),"")&amp;IF(I1667="Duplicate","_Dub"&amp;IF(SUMPRODUCT(($B$2:B1667=B1667)*($D$2:D1667=D1667)*($E$2:E1667=E1667)*($F$2:F1667=F1667)*($G$2:G1667=G1667)*($I$2:I1667="Duplicate"))&lt;=1,"",SUMPRODUCT(($B$2:B1667=B1667)*($D$2:D1667=D1667)*($E$2:E1667=E1667)*($F$2:F1667=F1667)*($G$2:G1667=G1667)*($I$2:I1667="Duplicate"))-1),"")&amp;".jpeg")</f>
        <v/>
      </c>
      <c r="L1667" s="6"/>
      <c r="M1667" s="5" t="str">
        <f>IFERROR(VLOOKUP(E1667,Specifications!$A$2:$D$9,2,FALSE),"")</f>
        <v/>
      </c>
      <c r="N1667" s="5" t="str">
        <f>IFERROR(VLOOKUP(E1667,Specifications!$A$2:$D$9,3,FALSE),"")</f>
        <v/>
      </c>
      <c r="O1667" s="5" t="str">
        <f>IFERROR(VLOOKUP(E1667,Specifications!$A$2:$D$9,4,FALSE),"")</f>
        <v/>
      </c>
      <c r="P1667" s="8" t="str">
        <f t="shared" si="81"/>
        <v/>
      </c>
      <c r="Q1667" s="9"/>
    </row>
    <row r="1668" spans="1:17" ht="15">
      <c r="A1668" s="5" t="str">
        <f t="shared" si="79"/>
        <v/>
      </c>
      <c r="B1668" s="6"/>
      <c r="C1668" s="5" t="str">
        <f>IFERROR(VLOOKUP(B1668,Lists!$A$2:$B$25,2,FALSE),"")</f>
        <v/>
      </c>
      <c r="D1668" s="7"/>
      <c r="E1668" s="6"/>
      <c r="F1668" s="6" t="str">
        <f t="shared" si="80"/>
        <v/>
      </c>
      <c r="G1668" s="6"/>
      <c r="H1668" s="6"/>
      <c r="I1668" s="6"/>
      <c r="J1668" s="7"/>
      <c r="K1668" s="5" t="str" cm="1">
        <f t="array" ref="K1668">IF(OR(A1668="",B1668="",D1668="",E1668=""),"",A1668&amp;"_"&amp;SUBSTITUTE(B1668," ","-")&amp;"_"&amp;D1668&amp;"_"&amp;SUBSTITUTE(SUBSTITUTE(E1668," ",""),"€","Euro")&amp;"_"&amp;IF(F1668="","Unknown",F1668)&amp;IF(F1668="Commemorative",IF(G1668="","","_"&amp;SUBSTITUTE(SUBSTITUTE(SUBSTITUTE(G1668," ","-"),"/","-"),CHAR(39),"")),"")&amp;IF(I1668="Duplicate","_Dub"&amp;IF(SUMPRODUCT(($B$2:B1668=B1668)*($D$2:D1668=D1668)*($E$2:E1668=E1668)*($F$2:F1668=F1668)*($G$2:G1668=G1668)*($I$2:I1668="Duplicate"))&lt;=1,"",SUMPRODUCT(($B$2:B1668=B1668)*($D$2:D1668=D1668)*($E$2:E1668=E1668)*($F$2:F1668=F1668)*($G$2:G1668=G1668)*($I$2:I1668="Duplicate"))-1),"")&amp;".jpeg")</f>
        <v/>
      </c>
      <c r="L1668" s="6"/>
      <c r="M1668" s="5" t="str">
        <f>IFERROR(VLOOKUP(E1668,Specifications!$A$2:$D$9,2,FALSE),"")</f>
        <v/>
      </c>
      <c r="N1668" s="5" t="str">
        <f>IFERROR(VLOOKUP(E1668,Specifications!$A$2:$D$9,3,FALSE),"")</f>
        <v/>
      </c>
      <c r="O1668" s="5" t="str">
        <f>IFERROR(VLOOKUP(E1668,Specifications!$A$2:$D$9,4,FALSE),"")</f>
        <v/>
      </c>
      <c r="P1668" s="8" t="str">
        <f t="shared" si="81"/>
        <v/>
      </c>
      <c r="Q1668" s="9"/>
    </row>
    <row r="1669" spans="1:17" ht="15">
      <c r="A1669" s="5" t="str">
        <f t="shared" si="79"/>
        <v/>
      </c>
      <c r="B1669" s="6"/>
      <c r="C1669" s="5" t="str">
        <f>IFERROR(VLOOKUP(B1669,Lists!$A$2:$B$25,2,FALSE),"")</f>
        <v/>
      </c>
      <c r="D1669" s="7"/>
      <c r="E1669" s="6"/>
      <c r="F1669" s="6" t="str">
        <f t="shared" si="80"/>
        <v/>
      </c>
      <c r="G1669" s="6"/>
      <c r="H1669" s="6"/>
      <c r="I1669" s="6"/>
      <c r="J1669" s="7"/>
      <c r="K1669" s="5" t="str" cm="1">
        <f t="array" ref="K1669">IF(OR(A1669="",B1669="",D1669="",E1669=""),"",A1669&amp;"_"&amp;SUBSTITUTE(B1669," ","-")&amp;"_"&amp;D1669&amp;"_"&amp;SUBSTITUTE(SUBSTITUTE(E1669," ",""),"€","Euro")&amp;"_"&amp;IF(F1669="","Unknown",F1669)&amp;IF(F1669="Commemorative",IF(G1669="","","_"&amp;SUBSTITUTE(SUBSTITUTE(SUBSTITUTE(G1669," ","-"),"/","-"),CHAR(39),"")),"")&amp;IF(I1669="Duplicate","_Dub"&amp;IF(SUMPRODUCT(($B$2:B1669=B1669)*($D$2:D1669=D1669)*($E$2:E1669=E1669)*($F$2:F1669=F1669)*($G$2:G1669=G1669)*($I$2:I1669="Duplicate"))&lt;=1,"",SUMPRODUCT(($B$2:B1669=B1669)*($D$2:D1669=D1669)*($E$2:E1669=E1669)*($F$2:F1669=F1669)*($G$2:G1669=G1669)*($I$2:I1669="Duplicate"))-1),"")&amp;".jpeg")</f>
        <v/>
      </c>
      <c r="L1669" s="6"/>
      <c r="M1669" s="5" t="str">
        <f>IFERROR(VLOOKUP(E1669,Specifications!$A$2:$D$9,2,FALSE),"")</f>
        <v/>
      </c>
      <c r="N1669" s="5" t="str">
        <f>IFERROR(VLOOKUP(E1669,Specifications!$A$2:$D$9,3,FALSE),"")</f>
        <v/>
      </c>
      <c r="O1669" s="5" t="str">
        <f>IFERROR(VLOOKUP(E1669,Specifications!$A$2:$D$9,4,FALSE),"")</f>
        <v/>
      </c>
      <c r="P1669" s="8" t="str">
        <f t="shared" si="81"/>
        <v/>
      </c>
      <c r="Q1669" s="9"/>
    </row>
    <row r="1670" spans="1:17" ht="15">
      <c r="A1670" s="5" t="str">
        <f t="shared" si="79"/>
        <v/>
      </c>
      <c r="B1670" s="6"/>
      <c r="C1670" s="5" t="str">
        <f>IFERROR(VLOOKUP(B1670,Lists!$A$2:$B$25,2,FALSE),"")</f>
        <v/>
      </c>
      <c r="D1670" s="7"/>
      <c r="E1670" s="6"/>
      <c r="F1670" s="6" t="str">
        <f t="shared" si="80"/>
        <v/>
      </c>
      <c r="G1670" s="6"/>
      <c r="H1670" s="6"/>
      <c r="I1670" s="6"/>
      <c r="J1670" s="7"/>
      <c r="K1670" s="5" t="str" cm="1">
        <f t="array" ref="K1670">IF(OR(A1670="",B1670="",D1670="",E1670=""),"",A1670&amp;"_"&amp;SUBSTITUTE(B1670," ","-")&amp;"_"&amp;D1670&amp;"_"&amp;SUBSTITUTE(SUBSTITUTE(E1670," ",""),"€","Euro")&amp;"_"&amp;IF(F1670="","Unknown",F1670)&amp;IF(F1670="Commemorative",IF(G1670="","","_"&amp;SUBSTITUTE(SUBSTITUTE(SUBSTITUTE(G1670," ","-"),"/","-"),CHAR(39),"")),"")&amp;IF(I1670="Duplicate","_Dub"&amp;IF(SUMPRODUCT(($B$2:B1670=B1670)*($D$2:D1670=D1670)*($E$2:E1670=E1670)*($F$2:F1670=F1670)*($G$2:G1670=G1670)*($I$2:I1670="Duplicate"))&lt;=1,"",SUMPRODUCT(($B$2:B1670=B1670)*($D$2:D1670=D1670)*($E$2:E1670=E1670)*($F$2:F1670=F1670)*($G$2:G1670=G1670)*($I$2:I1670="Duplicate"))-1),"")&amp;".jpeg")</f>
        <v/>
      </c>
      <c r="L1670" s="6"/>
      <c r="M1670" s="5" t="str">
        <f>IFERROR(VLOOKUP(E1670,Specifications!$A$2:$D$9,2,FALSE),"")</f>
        <v/>
      </c>
      <c r="N1670" s="5" t="str">
        <f>IFERROR(VLOOKUP(E1670,Specifications!$A$2:$D$9,3,FALSE),"")</f>
        <v/>
      </c>
      <c r="O1670" s="5" t="str">
        <f>IFERROR(VLOOKUP(E1670,Specifications!$A$2:$D$9,4,FALSE),"")</f>
        <v/>
      </c>
      <c r="P1670" s="8" t="str">
        <f t="shared" si="81"/>
        <v/>
      </c>
      <c r="Q1670" s="9"/>
    </row>
    <row r="1671" spans="1:17" ht="15">
      <c r="A1671" s="5" t="str">
        <f t="shared" si="79"/>
        <v/>
      </c>
      <c r="B1671" s="6"/>
      <c r="C1671" s="5" t="str">
        <f>IFERROR(VLOOKUP(B1671,Lists!$A$2:$B$25,2,FALSE),"")</f>
        <v/>
      </c>
      <c r="D1671" s="7"/>
      <c r="E1671" s="6"/>
      <c r="F1671" s="6" t="str">
        <f t="shared" si="80"/>
        <v/>
      </c>
      <c r="G1671" s="6"/>
      <c r="H1671" s="6"/>
      <c r="I1671" s="6"/>
      <c r="J1671" s="7"/>
      <c r="K1671" s="5" t="str" cm="1">
        <f t="array" ref="K1671">IF(OR(A1671="",B1671="",D1671="",E1671=""),"",A1671&amp;"_"&amp;SUBSTITUTE(B1671," ","-")&amp;"_"&amp;D1671&amp;"_"&amp;SUBSTITUTE(SUBSTITUTE(E1671," ",""),"€","Euro")&amp;"_"&amp;IF(F1671="","Unknown",F1671)&amp;IF(F1671="Commemorative",IF(G1671="","","_"&amp;SUBSTITUTE(SUBSTITUTE(SUBSTITUTE(G1671," ","-"),"/","-"),CHAR(39),"")),"")&amp;IF(I1671="Duplicate","_Dub"&amp;IF(SUMPRODUCT(($B$2:B1671=B1671)*($D$2:D1671=D1671)*($E$2:E1671=E1671)*($F$2:F1671=F1671)*($G$2:G1671=G1671)*($I$2:I1671="Duplicate"))&lt;=1,"",SUMPRODUCT(($B$2:B1671=B1671)*($D$2:D1671=D1671)*($E$2:E1671=E1671)*($F$2:F1671=F1671)*($G$2:G1671=G1671)*($I$2:I1671="Duplicate"))-1),"")&amp;".jpeg")</f>
        <v/>
      </c>
      <c r="L1671" s="6"/>
      <c r="M1671" s="5" t="str">
        <f>IFERROR(VLOOKUP(E1671,Specifications!$A$2:$D$9,2,FALSE),"")</f>
        <v/>
      </c>
      <c r="N1671" s="5" t="str">
        <f>IFERROR(VLOOKUP(E1671,Specifications!$A$2:$D$9,3,FALSE),"")</f>
        <v/>
      </c>
      <c r="O1671" s="5" t="str">
        <f>IFERROR(VLOOKUP(E1671,Specifications!$A$2:$D$9,4,FALSE),"")</f>
        <v/>
      </c>
      <c r="P1671" s="8" t="str">
        <f t="shared" si="81"/>
        <v/>
      </c>
      <c r="Q1671" s="9"/>
    </row>
    <row r="1672" spans="1:17" ht="15">
      <c r="A1672" s="5" t="str">
        <f t="shared" si="79"/>
        <v/>
      </c>
      <c r="B1672" s="6"/>
      <c r="C1672" s="5" t="str">
        <f>IFERROR(VLOOKUP(B1672,Lists!$A$2:$B$25,2,FALSE),"")</f>
        <v/>
      </c>
      <c r="D1672" s="7"/>
      <c r="E1672" s="6"/>
      <c r="F1672" s="6" t="str">
        <f t="shared" si="80"/>
        <v/>
      </c>
      <c r="G1672" s="6"/>
      <c r="H1672" s="6"/>
      <c r="I1672" s="6"/>
      <c r="J1672" s="7"/>
      <c r="K1672" s="5" t="str" cm="1">
        <f t="array" ref="K1672">IF(OR(A1672="",B1672="",D1672="",E1672=""),"",A1672&amp;"_"&amp;SUBSTITUTE(B1672," ","-")&amp;"_"&amp;D1672&amp;"_"&amp;SUBSTITUTE(SUBSTITUTE(E1672," ",""),"€","Euro")&amp;"_"&amp;IF(F1672="","Unknown",F1672)&amp;IF(F1672="Commemorative",IF(G1672="","","_"&amp;SUBSTITUTE(SUBSTITUTE(SUBSTITUTE(G1672," ","-"),"/","-"),CHAR(39),"")),"")&amp;IF(I1672="Duplicate","_Dub"&amp;IF(SUMPRODUCT(($B$2:B1672=B1672)*($D$2:D1672=D1672)*($E$2:E1672=E1672)*($F$2:F1672=F1672)*($G$2:G1672=G1672)*($I$2:I1672="Duplicate"))&lt;=1,"",SUMPRODUCT(($B$2:B1672=B1672)*($D$2:D1672=D1672)*($E$2:E1672=E1672)*($F$2:F1672=F1672)*($G$2:G1672=G1672)*($I$2:I1672="Duplicate"))-1),"")&amp;".jpeg")</f>
        <v/>
      </c>
      <c r="L1672" s="6"/>
      <c r="M1672" s="5" t="str">
        <f>IFERROR(VLOOKUP(E1672,Specifications!$A$2:$D$9,2,FALSE),"")</f>
        <v/>
      </c>
      <c r="N1672" s="5" t="str">
        <f>IFERROR(VLOOKUP(E1672,Specifications!$A$2:$D$9,3,FALSE),"")</f>
        <v/>
      </c>
      <c r="O1672" s="5" t="str">
        <f>IFERROR(VLOOKUP(E1672,Specifications!$A$2:$D$9,4,FALSE),"")</f>
        <v/>
      </c>
      <c r="P1672" s="8" t="str">
        <f t="shared" si="81"/>
        <v/>
      </c>
      <c r="Q1672" s="9"/>
    </row>
    <row r="1673" spans="1:17" ht="15">
      <c r="A1673" s="5" t="str">
        <f t="shared" si="79"/>
        <v/>
      </c>
      <c r="B1673" s="6"/>
      <c r="C1673" s="5" t="str">
        <f>IFERROR(VLOOKUP(B1673,Lists!$A$2:$B$25,2,FALSE),"")</f>
        <v/>
      </c>
      <c r="D1673" s="7"/>
      <c r="E1673" s="6"/>
      <c r="F1673" s="6" t="str">
        <f t="shared" si="80"/>
        <v/>
      </c>
      <c r="G1673" s="6"/>
      <c r="H1673" s="6"/>
      <c r="I1673" s="6"/>
      <c r="J1673" s="7"/>
      <c r="K1673" s="5" t="str" cm="1">
        <f t="array" ref="K1673">IF(OR(A1673="",B1673="",D1673="",E1673=""),"",A1673&amp;"_"&amp;SUBSTITUTE(B1673," ","-")&amp;"_"&amp;D1673&amp;"_"&amp;SUBSTITUTE(SUBSTITUTE(E1673," ",""),"€","Euro")&amp;"_"&amp;IF(F1673="","Unknown",F1673)&amp;IF(F1673="Commemorative",IF(G1673="","","_"&amp;SUBSTITUTE(SUBSTITUTE(SUBSTITUTE(G1673," ","-"),"/","-"),CHAR(39),"")),"")&amp;IF(I1673="Duplicate","_Dub"&amp;IF(SUMPRODUCT(($B$2:B1673=B1673)*($D$2:D1673=D1673)*($E$2:E1673=E1673)*($F$2:F1673=F1673)*($G$2:G1673=G1673)*($I$2:I1673="Duplicate"))&lt;=1,"",SUMPRODUCT(($B$2:B1673=B1673)*($D$2:D1673=D1673)*($E$2:E1673=E1673)*($F$2:F1673=F1673)*($G$2:G1673=G1673)*($I$2:I1673="Duplicate"))-1),"")&amp;".jpeg")</f>
        <v/>
      </c>
      <c r="L1673" s="6"/>
      <c r="M1673" s="5" t="str">
        <f>IFERROR(VLOOKUP(E1673,Specifications!$A$2:$D$9,2,FALSE),"")</f>
        <v/>
      </c>
      <c r="N1673" s="5" t="str">
        <f>IFERROR(VLOOKUP(E1673,Specifications!$A$2:$D$9,3,FALSE),"")</f>
        <v/>
      </c>
      <c r="O1673" s="5" t="str">
        <f>IFERROR(VLOOKUP(E1673,Specifications!$A$2:$D$9,4,FALSE),"")</f>
        <v/>
      </c>
      <c r="P1673" s="8" t="str">
        <f t="shared" si="81"/>
        <v/>
      </c>
      <c r="Q1673" s="9"/>
    </row>
    <row r="1674" spans="1:17" ht="15">
      <c r="A1674" s="5" t="str">
        <f t="shared" si="79"/>
        <v/>
      </c>
      <c r="B1674" s="6"/>
      <c r="C1674" s="5" t="str">
        <f>IFERROR(VLOOKUP(B1674,Lists!$A$2:$B$25,2,FALSE),"")</f>
        <v/>
      </c>
      <c r="D1674" s="7"/>
      <c r="E1674" s="6"/>
      <c r="F1674" s="6" t="str">
        <f t="shared" si="80"/>
        <v/>
      </c>
      <c r="G1674" s="6"/>
      <c r="H1674" s="6"/>
      <c r="I1674" s="6"/>
      <c r="J1674" s="7"/>
      <c r="K1674" s="5" t="str" cm="1">
        <f t="array" ref="K1674">IF(OR(A1674="",B1674="",D1674="",E1674=""),"",A1674&amp;"_"&amp;SUBSTITUTE(B1674," ","-")&amp;"_"&amp;D1674&amp;"_"&amp;SUBSTITUTE(SUBSTITUTE(E1674," ",""),"€","Euro")&amp;"_"&amp;IF(F1674="","Unknown",F1674)&amp;IF(F1674="Commemorative",IF(G1674="","","_"&amp;SUBSTITUTE(SUBSTITUTE(SUBSTITUTE(G1674," ","-"),"/","-"),CHAR(39),"")),"")&amp;IF(I1674="Duplicate","_Dub"&amp;IF(SUMPRODUCT(($B$2:B1674=B1674)*($D$2:D1674=D1674)*($E$2:E1674=E1674)*($F$2:F1674=F1674)*($G$2:G1674=G1674)*($I$2:I1674="Duplicate"))&lt;=1,"",SUMPRODUCT(($B$2:B1674=B1674)*($D$2:D1674=D1674)*($E$2:E1674=E1674)*($F$2:F1674=F1674)*($G$2:G1674=G1674)*($I$2:I1674="Duplicate"))-1),"")&amp;".jpeg")</f>
        <v/>
      </c>
      <c r="L1674" s="6"/>
      <c r="M1674" s="5" t="str">
        <f>IFERROR(VLOOKUP(E1674,Specifications!$A$2:$D$9,2,FALSE),"")</f>
        <v/>
      </c>
      <c r="N1674" s="5" t="str">
        <f>IFERROR(VLOOKUP(E1674,Specifications!$A$2:$D$9,3,FALSE),"")</f>
        <v/>
      </c>
      <c r="O1674" s="5" t="str">
        <f>IFERROR(VLOOKUP(E1674,Specifications!$A$2:$D$9,4,FALSE),"")</f>
        <v/>
      </c>
      <c r="P1674" s="8" t="str">
        <f t="shared" si="81"/>
        <v/>
      </c>
      <c r="Q1674" s="9"/>
    </row>
    <row r="1675" spans="1:17" ht="15">
      <c r="A1675" s="5" t="str">
        <f t="shared" si="79"/>
        <v/>
      </c>
      <c r="B1675" s="6"/>
      <c r="C1675" s="5" t="str">
        <f>IFERROR(VLOOKUP(B1675,Lists!$A$2:$B$25,2,FALSE),"")</f>
        <v/>
      </c>
      <c r="D1675" s="7"/>
      <c r="E1675" s="6"/>
      <c r="F1675" s="6" t="str">
        <f t="shared" si="80"/>
        <v/>
      </c>
      <c r="G1675" s="6"/>
      <c r="H1675" s="6"/>
      <c r="I1675" s="6"/>
      <c r="J1675" s="7"/>
      <c r="K1675" s="5" t="str" cm="1">
        <f t="array" ref="K1675">IF(OR(A1675="",B1675="",D1675="",E1675=""),"",A1675&amp;"_"&amp;SUBSTITUTE(B1675," ","-")&amp;"_"&amp;D1675&amp;"_"&amp;SUBSTITUTE(SUBSTITUTE(E1675," ",""),"€","Euro")&amp;"_"&amp;IF(F1675="","Unknown",F1675)&amp;IF(F1675="Commemorative",IF(G1675="","","_"&amp;SUBSTITUTE(SUBSTITUTE(SUBSTITUTE(G1675," ","-"),"/","-"),CHAR(39),"")),"")&amp;IF(I1675="Duplicate","_Dub"&amp;IF(SUMPRODUCT(($B$2:B1675=B1675)*($D$2:D1675=D1675)*($E$2:E1675=E1675)*($F$2:F1675=F1675)*($G$2:G1675=G1675)*($I$2:I1675="Duplicate"))&lt;=1,"",SUMPRODUCT(($B$2:B1675=B1675)*($D$2:D1675=D1675)*($E$2:E1675=E1675)*($F$2:F1675=F1675)*($G$2:G1675=G1675)*($I$2:I1675="Duplicate"))-1),"")&amp;".jpeg")</f>
        <v/>
      </c>
      <c r="L1675" s="6"/>
      <c r="M1675" s="5" t="str">
        <f>IFERROR(VLOOKUP(E1675,Specifications!$A$2:$D$9,2,FALSE),"")</f>
        <v/>
      </c>
      <c r="N1675" s="5" t="str">
        <f>IFERROR(VLOOKUP(E1675,Specifications!$A$2:$D$9,3,FALSE),"")</f>
        <v/>
      </c>
      <c r="O1675" s="5" t="str">
        <f>IFERROR(VLOOKUP(E1675,Specifications!$A$2:$D$9,4,FALSE),"")</f>
        <v/>
      </c>
      <c r="P1675" s="8" t="str">
        <f t="shared" si="81"/>
        <v/>
      </c>
      <c r="Q1675" s="9"/>
    </row>
    <row r="1676" spans="1:17" ht="15">
      <c r="A1676" s="5" t="str">
        <f t="shared" si="79"/>
        <v/>
      </c>
      <c r="B1676" s="6"/>
      <c r="C1676" s="5" t="str">
        <f>IFERROR(VLOOKUP(B1676,Lists!$A$2:$B$25,2,FALSE),"")</f>
        <v/>
      </c>
      <c r="D1676" s="7"/>
      <c r="E1676" s="6"/>
      <c r="F1676" s="6" t="str">
        <f t="shared" si="80"/>
        <v/>
      </c>
      <c r="G1676" s="6"/>
      <c r="H1676" s="6"/>
      <c r="I1676" s="6"/>
      <c r="J1676" s="7"/>
      <c r="K1676" s="5" t="str" cm="1">
        <f t="array" ref="K1676">IF(OR(A1676="",B1676="",D1676="",E1676=""),"",A1676&amp;"_"&amp;SUBSTITUTE(B1676," ","-")&amp;"_"&amp;D1676&amp;"_"&amp;SUBSTITUTE(SUBSTITUTE(E1676," ",""),"€","Euro")&amp;"_"&amp;IF(F1676="","Unknown",F1676)&amp;IF(F1676="Commemorative",IF(G1676="","","_"&amp;SUBSTITUTE(SUBSTITUTE(SUBSTITUTE(G1676," ","-"),"/","-"),CHAR(39),"")),"")&amp;IF(I1676="Duplicate","_Dub"&amp;IF(SUMPRODUCT(($B$2:B1676=B1676)*($D$2:D1676=D1676)*($E$2:E1676=E1676)*($F$2:F1676=F1676)*($G$2:G1676=G1676)*($I$2:I1676="Duplicate"))&lt;=1,"",SUMPRODUCT(($B$2:B1676=B1676)*($D$2:D1676=D1676)*($E$2:E1676=E1676)*($F$2:F1676=F1676)*($G$2:G1676=G1676)*($I$2:I1676="Duplicate"))-1),"")&amp;".jpeg")</f>
        <v/>
      </c>
      <c r="L1676" s="6"/>
      <c r="M1676" s="5" t="str">
        <f>IFERROR(VLOOKUP(E1676,Specifications!$A$2:$D$9,2,FALSE),"")</f>
        <v/>
      </c>
      <c r="N1676" s="5" t="str">
        <f>IFERROR(VLOOKUP(E1676,Specifications!$A$2:$D$9,3,FALSE),"")</f>
        <v/>
      </c>
      <c r="O1676" s="5" t="str">
        <f>IFERROR(VLOOKUP(E1676,Specifications!$A$2:$D$9,4,FALSE),"")</f>
        <v/>
      </c>
      <c r="P1676" s="8" t="str">
        <f t="shared" si="81"/>
        <v/>
      </c>
      <c r="Q1676" s="9"/>
    </row>
    <row r="1677" spans="1:17" ht="15">
      <c r="A1677" s="5" t="str">
        <f t="shared" si="79"/>
        <v/>
      </c>
      <c r="B1677" s="6"/>
      <c r="C1677" s="5" t="str">
        <f>IFERROR(VLOOKUP(B1677,Lists!$A$2:$B$25,2,FALSE),"")</f>
        <v/>
      </c>
      <c r="D1677" s="7"/>
      <c r="E1677" s="6"/>
      <c r="F1677" s="6" t="str">
        <f t="shared" si="80"/>
        <v/>
      </c>
      <c r="G1677" s="6"/>
      <c r="H1677" s="6"/>
      <c r="I1677" s="6"/>
      <c r="J1677" s="7"/>
      <c r="K1677" s="5" t="str" cm="1">
        <f t="array" ref="K1677">IF(OR(A1677="",B1677="",D1677="",E1677=""),"",A1677&amp;"_"&amp;SUBSTITUTE(B1677," ","-")&amp;"_"&amp;D1677&amp;"_"&amp;SUBSTITUTE(SUBSTITUTE(E1677," ",""),"€","Euro")&amp;"_"&amp;IF(F1677="","Unknown",F1677)&amp;IF(F1677="Commemorative",IF(G1677="","","_"&amp;SUBSTITUTE(SUBSTITUTE(SUBSTITUTE(G1677," ","-"),"/","-"),CHAR(39),"")),"")&amp;IF(I1677="Duplicate","_Dub"&amp;IF(SUMPRODUCT(($B$2:B1677=B1677)*($D$2:D1677=D1677)*($E$2:E1677=E1677)*($F$2:F1677=F1677)*($G$2:G1677=G1677)*($I$2:I1677="Duplicate"))&lt;=1,"",SUMPRODUCT(($B$2:B1677=B1677)*($D$2:D1677=D1677)*($E$2:E1677=E1677)*($F$2:F1677=F1677)*($G$2:G1677=G1677)*($I$2:I1677="Duplicate"))-1),"")&amp;".jpeg")</f>
        <v/>
      </c>
      <c r="L1677" s="6"/>
      <c r="M1677" s="5" t="str">
        <f>IFERROR(VLOOKUP(E1677,Specifications!$A$2:$D$9,2,FALSE),"")</f>
        <v/>
      </c>
      <c r="N1677" s="5" t="str">
        <f>IFERROR(VLOOKUP(E1677,Specifications!$A$2:$D$9,3,FALSE),"")</f>
        <v/>
      </c>
      <c r="O1677" s="5" t="str">
        <f>IFERROR(VLOOKUP(E1677,Specifications!$A$2:$D$9,4,FALSE),"")</f>
        <v/>
      </c>
      <c r="P1677" s="8" t="str">
        <f t="shared" si="81"/>
        <v/>
      </c>
      <c r="Q1677" s="9"/>
    </row>
    <row r="1678" spans="1:17" ht="15">
      <c r="A1678" s="5" t="str">
        <f t="shared" si="79"/>
        <v/>
      </c>
      <c r="B1678" s="6"/>
      <c r="C1678" s="5" t="str">
        <f>IFERROR(VLOOKUP(B1678,Lists!$A$2:$B$25,2,FALSE),"")</f>
        <v/>
      </c>
      <c r="D1678" s="7"/>
      <c r="E1678" s="6"/>
      <c r="F1678" s="6" t="str">
        <f t="shared" si="80"/>
        <v/>
      </c>
      <c r="G1678" s="6"/>
      <c r="H1678" s="6"/>
      <c r="I1678" s="6"/>
      <c r="J1678" s="7"/>
      <c r="K1678" s="5" t="str" cm="1">
        <f t="array" ref="K1678">IF(OR(A1678="",B1678="",D1678="",E1678=""),"",A1678&amp;"_"&amp;SUBSTITUTE(B1678," ","-")&amp;"_"&amp;D1678&amp;"_"&amp;SUBSTITUTE(SUBSTITUTE(E1678," ",""),"€","Euro")&amp;"_"&amp;IF(F1678="","Unknown",F1678)&amp;IF(F1678="Commemorative",IF(G1678="","","_"&amp;SUBSTITUTE(SUBSTITUTE(SUBSTITUTE(G1678," ","-"),"/","-"),CHAR(39),"")),"")&amp;IF(I1678="Duplicate","_Dub"&amp;IF(SUMPRODUCT(($B$2:B1678=B1678)*($D$2:D1678=D1678)*($E$2:E1678=E1678)*($F$2:F1678=F1678)*($G$2:G1678=G1678)*($I$2:I1678="Duplicate"))&lt;=1,"",SUMPRODUCT(($B$2:B1678=B1678)*($D$2:D1678=D1678)*($E$2:E1678=E1678)*($F$2:F1678=F1678)*($G$2:G1678=G1678)*($I$2:I1678="Duplicate"))-1),"")&amp;".jpeg")</f>
        <v/>
      </c>
      <c r="L1678" s="6"/>
      <c r="M1678" s="5" t="str">
        <f>IFERROR(VLOOKUP(E1678,Specifications!$A$2:$D$9,2,FALSE),"")</f>
        <v/>
      </c>
      <c r="N1678" s="5" t="str">
        <f>IFERROR(VLOOKUP(E1678,Specifications!$A$2:$D$9,3,FALSE),"")</f>
        <v/>
      </c>
      <c r="O1678" s="5" t="str">
        <f>IFERROR(VLOOKUP(E1678,Specifications!$A$2:$D$9,4,FALSE),"")</f>
        <v/>
      </c>
      <c r="P1678" s="8" t="str">
        <f t="shared" si="81"/>
        <v/>
      </c>
      <c r="Q1678" s="9"/>
    </row>
    <row r="1679" spans="1:17" ht="15">
      <c r="A1679" s="5" t="str">
        <f t="shared" si="79"/>
        <v/>
      </c>
      <c r="B1679" s="6"/>
      <c r="C1679" s="5" t="str">
        <f>IFERROR(VLOOKUP(B1679,Lists!$A$2:$B$25,2,FALSE),"")</f>
        <v/>
      </c>
      <c r="D1679" s="7"/>
      <c r="E1679" s="6"/>
      <c r="F1679" s="6" t="str">
        <f t="shared" si="80"/>
        <v/>
      </c>
      <c r="G1679" s="6"/>
      <c r="H1679" s="6"/>
      <c r="I1679" s="6"/>
      <c r="J1679" s="7"/>
      <c r="K1679" s="5" t="str" cm="1">
        <f t="array" ref="K1679">IF(OR(A1679="",B1679="",D1679="",E1679=""),"",A1679&amp;"_"&amp;SUBSTITUTE(B1679," ","-")&amp;"_"&amp;D1679&amp;"_"&amp;SUBSTITUTE(SUBSTITUTE(E1679," ",""),"€","Euro")&amp;"_"&amp;IF(F1679="","Unknown",F1679)&amp;IF(F1679="Commemorative",IF(G1679="","","_"&amp;SUBSTITUTE(SUBSTITUTE(SUBSTITUTE(G1679," ","-"),"/","-"),CHAR(39),"")),"")&amp;IF(I1679="Duplicate","_Dub"&amp;IF(SUMPRODUCT(($B$2:B1679=B1679)*($D$2:D1679=D1679)*($E$2:E1679=E1679)*($F$2:F1679=F1679)*($G$2:G1679=G1679)*($I$2:I1679="Duplicate"))&lt;=1,"",SUMPRODUCT(($B$2:B1679=B1679)*($D$2:D1679=D1679)*($E$2:E1679=E1679)*($F$2:F1679=F1679)*($G$2:G1679=G1679)*($I$2:I1679="Duplicate"))-1),"")&amp;".jpeg")</f>
        <v/>
      </c>
      <c r="L1679" s="6"/>
      <c r="M1679" s="5" t="str">
        <f>IFERROR(VLOOKUP(E1679,Specifications!$A$2:$D$9,2,FALSE),"")</f>
        <v/>
      </c>
      <c r="N1679" s="5" t="str">
        <f>IFERROR(VLOOKUP(E1679,Specifications!$A$2:$D$9,3,FALSE),"")</f>
        <v/>
      </c>
      <c r="O1679" s="5" t="str">
        <f>IFERROR(VLOOKUP(E1679,Specifications!$A$2:$D$9,4,FALSE),"")</f>
        <v/>
      </c>
      <c r="P1679" s="8" t="str">
        <f t="shared" si="81"/>
        <v/>
      </c>
      <c r="Q1679" s="9"/>
    </row>
    <row r="1680" spans="1:17" ht="15">
      <c r="A1680" s="5" t="str">
        <f t="shared" si="79"/>
        <v/>
      </c>
      <c r="B1680" s="6"/>
      <c r="C1680" s="5" t="str">
        <f>IFERROR(VLOOKUP(B1680,Lists!$A$2:$B$25,2,FALSE),"")</f>
        <v/>
      </c>
      <c r="D1680" s="7"/>
      <c r="E1680" s="6"/>
      <c r="F1680" s="6" t="str">
        <f t="shared" si="80"/>
        <v/>
      </c>
      <c r="G1680" s="6"/>
      <c r="H1680" s="6"/>
      <c r="I1680" s="6"/>
      <c r="J1680" s="7"/>
      <c r="K1680" s="5" t="str" cm="1">
        <f t="array" ref="K1680">IF(OR(A1680="",B1680="",D1680="",E1680=""),"",A1680&amp;"_"&amp;SUBSTITUTE(B1680," ","-")&amp;"_"&amp;D1680&amp;"_"&amp;SUBSTITUTE(SUBSTITUTE(E1680," ",""),"€","Euro")&amp;"_"&amp;IF(F1680="","Unknown",F1680)&amp;IF(F1680="Commemorative",IF(G1680="","","_"&amp;SUBSTITUTE(SUBSTITUTE(SUBSTITUTE(G1680," ","-"),"/","-"),CHAR(39),"")),"")&amp;IF(I1680="Duplicate","_Dub"&amp;IF(SUMPRODUCT(($B$2:B1680=B1680)*($D$2:D1680=D1680)*($E$2:E1680=E1680)*($F$2:F1680=F1680)*($G$2:G1680=G1680)*($I$2:I1680="Duplicate"))&lt;=1,"",SUMPRODUCT(($B$2:B1680=B1680)*($D$2:D1680=D1680)*($E$2:E1680=E1680)*($F$2:F1680=F1680)*($G$2:G1680=G1680)*($I$2:I1680="Duplicate"))-1),"")&amp;".jpeg")</f>
        <v/>
      </c>
      <c r="L1680" s="6"/>
      <c r="M1680" s="5" t="str">
        <f>IFERROR(VLOOKUP(E1680,Specifications!$A$2:$D$9,2,FALSE),"")</f>
        <v/>
      </c>
      <c r="N1680" s="5" t="str">
        <f>IFERROR(VLOOKUP(E1680,Specifications!$A$2:$D$9,3,FALSE),"")</f>
        <v/>
      </c>
      <c r="O1680" s="5" t="str">
        <f>IFERROR(VLOOKUP(E1680,Specifications!$A$2:$D$9,4,FALSE),"")</f>
        <v/>
      </c>
      <c r="P1680" s="8" t="str">
        <f t="shared" si="81"/>
        <v/>
      </c>
      <c r="Q1680" s="9"/>
    </row>
    <row r="1681" spans="1:17" ht="15">
      <c r="A1681" s="5" t="str">
        <f t="shared" si="79"/>
        <v/>
      </c>
      <c r="B1681" s="6"/>
      <c r="C1681" s="5" t="str">
        <f>IFERROR(VLOOKUP(B1681,Lists!$A$2:$B$25,2,FALSE),"")</f>
        <v/>
      </c>
      <c r="D1681" s="7"/>
      <c r="E1681" s="6"/>
      <c r="F1681" s="6" t="str">
        <f t="shared" si="80"/>
        <v/>
      </c>
      <c r="G1681" s="6"/>
      <c r="H1681" s="6"/>
      <c r="I1681" s="6"/>
      <c r="J1681" s="7"/>
      <c r="K1681" s="5" t="str" cm="1">
        <f t="array" ref="K1681">IF(OR(A1681="",B1681="",D1681="",E1681=""),"",A1681&amp;"_"&amp;SUBSTITUTE(B1681," ","-")&amp;"_"&amp;D1681&amp;"_"&amp;SUBSTITUTE(SUBSTITUTE(E1681," ",""),"€","Euro")&amp;"_"&amp;IF(F1681="","Unknown",F1681)&amp;IF(F1681="Commemorative",IF(G1681="","","_"&amp;SUBSTITUTE(SUBSTITUTE(SUBSTITUTE(G1681," ","-"),"/","-"),CHAR(39),"")),"")&amp;IF(I1681="Duplicate","_Dub"&amp;IF(SUMPRODUCT(($B$2:B1681=B1681)*($D$2:D1681=D1681)*($E$2:E1681=E1681)*($F$2:F1681=F1681)*($G$2:G1681=G1681)*($I$2:I1681="Duplicate"))&lt;=1,"",SUMPRODUCT(($B$2:B1681=B1681)*($D$2:D1681=D1681)*($E$2:E1681=E1681)*($F$2:F1681=F1681)*($G$2:G1681=G1681)*($I$2:I1681="Duplicate"))-1),"")&amp;".jpeg")</f>
        <v/>
      </c>
      <c r="L1681" s="6"/>
      <c r="M1681" s="5" t="str">
        <f>IFERROR(VLOOKUP(E1681,Specifications!$A$2:$D$9,2,FALSE),"")</f>
        <v/>
      </c>
      <c r="N1681" s="5" t="str">
        <f>IFERROR(VLOOKUP(E1681,Specifications!$A$2:$D$9,3,FALSE),"")</f>
        <v/>
      </c>
      <c r="O1681" s="5" t="str">
        <f>IFERROR(VLOOKUP(E1681,Specifications!$A$2:$D$9,4,FALSE),"")</f>
        <v/>
      </c>
      <c r="P1681" s="8" t="str">
        <f t="shared" si="81"/>
        <v/>
      </c>
      <c r="Q1681" s="9"/>
    </row>
    <row r="1682" spans="1:17" ht="15">
      <c r="A1682" s="5" t="str">
        <f t="shared" si="79"/>
        <v/>
      </c>
      <c r="B1682" s="6"/>
      <c r="C1682" s="5" t="str">
        <f>IFERROR(VLOOKUP(B1682,Lists!$A$2:$B$25,2,FALSE),"")</f>
        <v/>
      </c>
      <c r="D1682" s="7"/>
      <c r="E1682" s="6"/>
      <c r="F1682" s="6" t="str">
        <f t="shared" si="80"/>
        <v/>
      </c>
      <c r="G1682" s="6"/>
      <c r="H1682" s="6"/>
      <c r="I1682" s="6"/>
      <c r="J1682" s="7"/>
      <c r="K1682" s="5" t="str" cm="1">
        <f t="array" ref="K1682">IF(OR(A1682="",B1682="",D1682="",E1682=""),"",A1682&amp;"_"&amp;SUBSTITUTE(B1682," ","-")&amp;"_"&amp;D1682&amp;"_"&amp;SUBSTITUTE(SUBSTITUTE(E1682," ",""),"€","Euro")&amp;"_"&amp;IF(F1682="","Unknown",F1682)&amp;IF(F1682="Commemorative",IF(G1682="","","_"&amp;SUBSTITUTE(SUBSTITUTE(SUBSTITUTE(G1682," ","-"),"/","-"),CHAR(39),"")),"")&amp;IF(I1682="Duplicate","_Dub"&amp;IF(SUMPRODUCT(($B$2:B1682=B1682)*($D$2:D1682=D1682)*($E$2:E1682=E1682)*($F$2:F1682=F1682)*($G$2:G1682=G1682)*($I$2:I1682="Duplicate"))&lt;=1,"",SUMPRODUCT(($B$2:B1682=B1682)*($D$2:D1682=D1682)*($E$2:E1682=E1682)*($F$2:F1682=F1682)*($G$2:G1682=G1682)*($I$2:I1682="Duplicate"))-1),"")&amp;".jpeg")</f>
        <v/>
      </c>
      <c r="L1682" s="6"/>
      <c r="M1682" s="5" t="str">
        <f>IFERROR(VLOOKUP(E1682,Specifications!$A$2:$D$9,2,FALSE),"")</f>
        <v/>
      </c>
      <c r="N1682" s="5" t="str">
        <f>IFERROR(VLOOKUP(E1682,Specifications!$A$2:$D$9,3,FALSE),"")</f>
        <v/>
      </c>
      <c r="O1682" s="5" t="str">
        <f>IFERROR(VLOOKUP(E1682,Specifications!$A$2:$D$9,4,FALSE),"")</f>
        <v/>
      </c>
      <c r="P1682" s="8" t="str">
        <f t="shared" si="81"/>
        <v/>
      </c>
      <c r="Q1682" s="9"/>
    </row>
    <row r="1683" spans="1:17" ht="15">
      <c r="A1683" s="5" t="str">
        <f t="shared" si="79"/>
        <v/>
      </c>
      <c r="B1683" s="6"/>
      <c r="C1683" s="5" t="str">
        <f>IFERROR(VLOOKUP(B1683,Lists!$A$2:$B$25,2,FALSE),"")</f>
        <v/>
      </c>
      <c r="D1683" s="7"/>
      <c r="E1683" s="6"/>
      <c r="F1683" s="6" t="str">
        <f t="shared" si="80"/>
        <v/>
      </c>
      <c r="G1683" s="6"/>
      <c r="H1683" s="6"/>
      <c r="I1683" s="6"/>
      <c r="J1683" s="7"/>
      <c r="K1683" s="5" t="str" cm="1">
        <f t="array" ref="K1683">IF(OR(A1683="",B1683="",D1683="",E1683=""),"",A1683&amp;"_"&amp;SUBSTITUTE(B1683," ","-")&amp;"_"&amp;D1683&amp;"_"&amp;SUBSTITUTE(SUBSTITUTE(E1683," ",""),"€","Euro")&amp;"_"&amp;IF(F1683="","Unknown",F1683)&amp;IF(F1683="Commemorative",IF(G1683="","","_"&amp;SUBSTITUTE(SUBSTITUTE(SUBSTITUTE(G1683," ","-"),"/","-"),CHAR(39),"")),"")&amp;IF(I1683="Duplicate","_Dub"&amp;IF(SUMPRODUCT(($B$2:B1683=B1683)*($D$2:D1683=D1683)*($E$2:E1683=E1683)*($F$2:F1683=F1683)*($G$2:G1683=G1683)*($I$2:I1683="Duplicate"))&lt;=1,"",SUMPRODUCT(($B$2:B1683=B1683)*($D$2:D1683=D1683)*($E$2:E1683=E1683)*($F$2:F1683=F1683)*($G$2:G1683=G1683)*($I$2:I1683="Duplicate"))-1),"")&amp;".jpeg")</f>
        <v/>
      </c>
      <c r="L1683" s="6"/>
      <c r="M1683" s="5" t="str">
        <f>IFERROR(VLOOKUP(E1683,Specifications!$A$2:$D$9,2,FALSE),"")</f>
        <v/>
      </c>
      <c r="N1683" s="5" t="str">
        <f>IFERROR(VLOOKUP(E1683,Specifications!$A$2:$D$9,3,FALSE),"")</f>
        <v/>
      </c>
      <c r="O1683" s="5" t="str">
        <f>IFERROR(VLOOKUP(E1683,Specifications!$A$2:$D$9,4,FALSE),"")</f>
        <v/>
      </c>
      <c r="P1683" s="8" t="str">
        <f t="shared" si="81"/>
        <v/>
      </c>
      <c r="Q1683" s="9"/>
    </row>
    <row r="1684" spans="1:17" ht="15">
      <c r="A1684" s="5" t="str">
        <f t="shared" si="79"/>
        <v/>
      </c>
      <c r="B1684" s="6"/>
      <c r="C1684" s="5" t="str">
        <f>IFERROR(VLOOKUP(B1684,Lists!$A$2:$B$25,2,FALSE),"")</f>
        <v/>
      </c>
      <c r="D1684" s="7"/>
      <c r="E1684" s="6"/>
      <c r="F1684" s="6" t="str">
        <f t="shared" si="80"/>
        <v/>
      </c>
      <c r="G1684" s="6"/>
      <c r="H1684" s="6"/>
      <c r="I1684" s="6"/>
      <c r="J1684" s="7"/>
      <c r="K1684" s="5" t="str" cm="1">
        <f t="array" ref="K1684">IF(OR(A1684="",B1684="",D1684="",E1684=""),"",A1684&amp;"_"&amp;SUBSTITUTE(B1684," ","-")&amp;"_"&amp;D1684&amp;"_"&amp;SUBSTITUTE(SUBSTITUTE(E1684," ",""),"€","Euro")&amp;"_"&amp;IF(F1684="","Unknown",F1684)&amp;IF(F1684="Commemorative",IF(G1684="","","_"&amp;SUBSTITUTE(SUBSTITUTE(SUBSTITUTE(G1684," ","-"),"/","-"),CHAR(39),"")),"")&amp;IF(I1684="Duplicate","_Dub"&amp;IF(SUMPRODUCT(($B$2:B1684=B1684)*($D$2:D1684=D1684)*($E$2:E1684=E1684)*($F$2:F1684=F1684)*($G$2:G1684=G1684)*($I$2:I1684="Duplicate"))&lt;=1,"",SUMPRODUCT(($B$2:B1684=B1684)*($D$2:D1684=D1684)*($E$2:E1684=E1684)*($F$2:F1684=F1684)*($G$2:G1684=G1684)*($I$2:I1684="Duplicate"))-1),"")&amp;".jpeg")</f>
        <v/>
      </c>
      <c r="L1684" s="6"/>
      <c r="M1684" s="5" t="str">
        <f>IFERROR(VLOOKUP(E1684,Specifications!$A$2:$D$9,2,FALSE),"")</f>
        <v/>
      </c>
      <c r="N1684" s="5" t="str">
        <f>IFERROR(VLOOKUP(E1684,Specifications!$A$2:$D$9,3,FALSE),"")</f>
        <v/>
      </c>
      <c r="O1684" s="5" t="str">
        <f>IFERROR(VLOOKUP(E1684,Specifications!$A$2:$D$9,4,FALSE),"")</f>
        <v/>
      </c>
      <c r="P1684" s="8" t="str">
        <f t="shared" si="81"/>
        <v/>
      </c>
      <c r="Q1684" s="9"/>
    </row>
    <row r="1685" spans="1:17" ht="15">
      <c r="A1685" s="5" t="str">
        <f t="shared" si="79"/>
        <v/>
      </c>
      <c r="B1685" s="6"/>
      <c r="C1685" s="5" t="str">
        <f>IFERROR(VLOOKUP(B1685,Lists!$A$2:$B$25,2,FALSE),"")</f>
        <v/>
      </c>
      <c r="D1685" s="7"/>
      <c r="E1685" s="6"/>
      <c r="F1685" s="6" t="str">
        <f t="shared" si="80"/>
        <v/>
      </c>
      <c r="G1685" s="6"/>
      <c r="H1685" s="6"/>
      <c r="I1685" s="6"/>
      <c r="J1685" s="7"/>
      <c r="K1685" s="5" t="str" cm="1">
        <f t="array" ref="K1685">IF(OR(A1685="",B1685="",D1685="",E1685=""),"",A1685&amp;"_"&amp;SUBSTITUTE(B1685," ","-")&amp;"_"&amp;D1685&amp;"_"&amp;SUBSTITUTE(SUBSTITUTE(E1685," ",""),"€","Euro")&amp;"_"&amp;IF(F1685="","Unknown",F1685)&amp;IF(F1685="Commemorative",IF(G1685="","","_"&amp;SUBSTITUTE(SUBSTITUTE(SUBSTITUTE(G1685," ","-"),"/","-"),CHAR(39),"")),"")&amp;IF(I1685="Duplicate","_Dub"&amp;IF(SUMPRODUCT(($B$2:B1685=B1685)*($D$2:D1685=D1685)*($E$2:E1685=E1685)*($F$2:F1685=F1685)*($G$2:G1685=G1685)*($I$2:I1685="Duplicate"))&lt;=1,"",SUMPRODUCT(($B$2:B1685=B1685)*($D$2:D1685=D1685)*($E$2:E1685=E1685)*($F$2:F1685=F1685)*($G$2:G1685=G1685)*($I$2:I1685="Duplicate"))-1),"")&amp;".jpeg")</f>
        <v/>
      </c>
      <c r="L1685" s="6"/>
      <c r="M1685" s="5" t="str">
        <f>IFERROR(VLOOKUP(E1685,Specifications!$A$2:$D$9,2,FALSE),"")</f>
        <v/>
      </c>
      <c r="N1685" s="5" t="str">
        <f>IFERROR(VLOOKUP(E1685,Specifications!$A$2:$D$9,3,FALSE),"")</f>
        <v/>
      </c>
      <c r="O1685" s="5" t="str">
        <f>IFERROR(VLOOKUP(E1685,Specifications!$A$2:$D$9,4,FALSE),"")</f>
        <v/>
      </c>
      <c r="P1685" s="8" t="str">
        <f t="shared" si="81"/>
        <v/>
      </c>
      <c r="Q1685" s="9"/>
    </row>
    <row r="1686" spans="1:17" ht="15">
      <c r="A1686" s="5" t="str">
        <f t="shared" si="79"/>
        <v/>
      </c>
      <c r="B1686" s="6"/>
      <c r="C1686" s="5" t="str">
        <f>IFERROR(VLOOKUP(B1686,Lists!$A$2:$B$25,2,FALSE),"")</f>
        <v/>
      </c>
      <c r="D1686" s="7"/>
      <c r="E1686" s="6"/>
      <c r="F1686" s="6" t="str">
        <f t="shared" si="80"/>
        <v/>
      </c>
      <c r="G1686" s="6"/>
      <c r="H1686" s="6"/>
      <c r="I1686" s="6"/>
      <c r="J1686" s="7"/>
      <c r="K1686" s="5" t="str" cm="1">
        <f t="array" ref="K1686">IF(OR(A1686="",B1686="",D1686="",E1686=""),"",A1686&amp;"_"&amp;SUBSTITUTE(B1686," ","-")&amp;"_"&amp;D1686&amp;"_"&amp;SUBSTITUTE(SUBSTITUTE(E1686," ",""),"€","Euro")&amp;"_"&amp;IF(F1686="","Unknown",F1686)&amp;IF(F1686="Commemorative",IF(G1686="","","_"&amp;SUBSTITUTE(SUBSTITUTE(SUBSTITUTE(G1686," ","-"),"/","-"),CHAR(39),"")),"")&amp;IF(I1686="Duplicate","_Dub"&amp;IF(SUMPRODUCT(($B$2:B1686=B1686)*($D$2:D1686=D1686)*($E$2:E1686=E1686)*($F$2:F1686=F1686)*($G$2:G1686=G1686)*($I$2:I1686="Duplicate"))&lt;=1,"",SUMPRODUCT(($B$2:B1686=B1686)*($D$2:D1686=D1686)*($E$2:E1686=E1686)*($F$2:F1686=F1686)*($G$2:G1686=G1686)*($I$2:I1686="Duplicate"))-1),"")&amp;".jpeg")</f>
        <v/>
      </c>
      <c r="L1686" s="6"/>
      <c r="M1686" s="5" t="str">
        <f>IFERROR(VLOOKUP(E1686,Specifications!$A$2:$D$9,2,FALSE),"")</f>
        <v/>
      </c>
      <c r="N1686" s="5" t="str">
        <f>IFERROR(VLOOKUP(E1686,Specifications!$A$2:$D$9,3,FALSE),"")</f>
        <v/>
      </c>
      <c r="O1686" s="5" t="str">
        <f>IFERROR(VLOOKUP(E1686,Specifications!$A$2:$D$9,4,FALSE),"")</f>
        <v/>
      </c>
      <c r="P1686" s="8" t="str">
        <f t="shared" si="81"/>
        <v/>
      </c>
      <c r="Q1686" s="9"/>
    </row>
    <row r="1687" spans="1:17" ht="15">
      <c r="A1687" s="5" t="str">
        <f t="shared" si="79"/>
        <v/>
      </c>
      <c r="B1687" s="6"/>
      <c r="C1687" s="5" t="str">
        <f>IFERROR(VLOOKUP(B1687,Lists!$A$2:$B$25,2,FALSE),"")</f>
        <v/>
      </c>
      <c r="D1687" s="7"/>
      <c r="E1687" s="6"/>
      <c r="F1687" s="6" t="str">
        <f t="shared" si="80"/>
        <v/>
      </c>
      <c r="G1687" s="6"/>
      <c r="H1687" s="6"/>
      <c r="I1687" s="6"/>
      <c r="J1687" s="7"/>
      <c r="K1687" s="5" t="str" cm="1">
        <f t="array" ref="K1687">IF(OR(A1687="",B1687="",D1687="",E1687=""),"",A1687&amp;"_"&amp;SUBSTITUTE(B1687," ","-")&amp;"_"&amp;D1687&amp;"_"&amp;SUBSTITUTE(SUBSTITUTE(E1687," ",""),"€","Euro")&amp;"_"&amp;IF(F1687="","Unknown",F1687)&amp;IF(F1687="Commemorative",IF(G1687="","","_"&amp;SUBSTITUTE(SUBSTITUTE(SUBSTITUTE(G1687," ","-"),"/","-"),CHAR(39),"")),"")&amp;IF(I1687="Duplicate","_Dub"&amp;IF(SUMPRODUCT(($B$2:B1687=B1687)*($D$2:D1687=D1687)*($E$2:E1687=E1687)*($F$2:F1687=F1687)*($G$2:G1687=G1687)*($I$2:I1687="Duplicate"))&lt;=1,"",SUMPRODUCT(($B$2:B1687=B1687)*($D$2:D1687=D1687)*($E$2:E1687=E1687)*($F$2:F1687=F1687)*($G$2:G1687=G1687)*($I$2:I1687="Duplicate"))-1),"")&amp;".jpeg")</f>
        <v/>
      </c>
      <c r="L1687" s="6"/>
      <c r="M1687" s="5" t="str">
        <f>IFERROR(VLOOKUP(E1687,Specifications!$A$2:$D$9,2,FALSE),"")</f>
        <v/>
      </c>
      <c r="N1687" s="5" t="str">
        <f>IFERROR(VLOOKUP(E1687,Specifications!$A$2:$D$9,3,FALSE),"")</f>
        <v/>
      </c>
      <c r="O1687" s="5" t="str">
        <f>IFERROR(VLOOKUP(E1687,Specifications!$A$2:$D$9,4,FALSE),"")</f>
        <v/>
      </c>
      <c r="P1687" s="8" t="str">
        <f t="shared" si="81"/>
        <v/>
      </c>
      <c r="Q1687" s="9"/>
    </row>
    <row r="1688" spans="1:17" ht="15">
      <c r="A1688" s="5" t="str">
        <f t="shared" si="79"/>
        <v/>
      </c>
      <c r="B1688" s="6"/>
      <c r="C1688" s="5" t="str">
        <f>IFERROR(VLOOKUP(B1688,Lists!$A$2:$B$25,2,FALSE),"")</f>
        <v/>
      </c>
      <c r="D1688" s="7"/>
      <c r="E1688" s="6"/>
      <c r="F1688" s="6" t="str">
        <f t="shared" si="80"/>
        <v/>
      </c>
      <c r="G1688" s="6"/>
      <c r="H1688" s="6"/>
      <c r="I1688" s="6"/>
      <c r="J1688" s="7"/>
      <c r="K1688" s="5" t="str" cm="1">
        <f t="array" ref="K1688">IF(OR(A1688="",B1688="",D1688="",E1688=""),"",A1688&amp;"_"&amp;SUBSTITUTE(B1688," ","-")&amp;"_"&amp;D1688&amp;"_"&amp;SUBSTITUTE(SUBSTITUTE(E1688," ",""),"€","Euro")&amp;"_"&amp;IF(F1688="","Unknown",F1688)&amp;IF(F1688="Commemorative",IF(G1688="","","_"&amp;SUBSTITUTE(SUBSTITUTE(SUBSTITUTE(G1688," ","-"),"/","-"),CHAR(39),"")),"")&amp;IF(I1688="Duplicate","_Dub"&amp;IF(SUMPRODUCT(($B$2:B1688=B1688)*($D$2:D1688=D1688)*($E$2:E1688=E1688)*($F$2:F1688=F1688)*($G$2:G1688=G1688)*($I$2:I1688="Duplicate"))&lt;=1,"",SUMPRODUCT(($B$2:B1688=B1688)*($D$2:D1688=D1688)*($E$2:E1688=E1688)*($F$2:F1688=F1688)*($G$2:G1688=G1688)*($I$2:I1688="Duplicate"))-1),"")&amp;".jpeg")</f>
        <v/>
      </c>
      <c r="L1688" s="6"/>
      <c r="M1688" s="5" t="str">
        <f>IFERROR(VLOOKUP(E1688,Specifications!$A$2:$D$9,2,FALSE),"")</f>
        <v/>
      </c>
      <c r="N1688" s="5" t="str">
        <f>IFERROR(VLOOKUP(E1688,Specifications!$A$2:$D$9,3,FALSE),"")</f>
        <v/>
      </c>
      <c r="O1688" s="5" t="str">
        <f>IFERROR(VLOOKUP(E1688,Specifications!$A$2:$D$9,4,FALSE),"")</f>
        <v/>
      </c>
      <c r="P1688" s="8" t="str">
        <f t="shared" si="81"/>
        <v/>
      </c>
      <c r="Q1688" s="9"/>
    </row>
    <row r="1689" spans="1:17" ht="15">
      <c r="A1689" s="5" t="str">
        <f t="shared" si="79"/>
        <v/>
      </c>
      <c r="B1689" s="6"/>
      <c r="C1689" s="5" t="str">
        <f>IFERROR(VLOOKUP(B1689,Lists!$A$2:$B$25,2,FALSE),"")</f>
        <v/>
      </c>
      <c r="D1689" s="7"/>
      <c r="E1689" s="6"/>
      <c r="F1689" s="6" t="str">
        <f t="shared" si="80"/>
        <v/>
      </c>
      <c r="G1689" s="6"/>
      <c r="H1689" s="6"/>
      <c r="I1689" s="6"/>
      <c r="J1689" s="7"/>
      <c r="K1689" s="5" t="str" cm="1">
        <f t="array" ref="K1689">IF(OR(A1689="",B1689="",D1689="",E1689=""),"",A1689&amp;"_"&amp;SUBSTITUTE(B1689," ","-")&amp;"_"&amp;D1689&amp;"_"&amp;SUBSTITUTE(SUBSTITUTE(E1689," ",""),"€","Euro")&amp;"_"&amp;IF(F1689="","Unknown",F1689)&amp;IF(F1689="Commemorative",IF(G1689="","","_"&amp;SUBSTITUTE(SUBSTITUTE(SUBSTITUTE(G1689," ","-"),"/","-"),CHAR(39),"")),"")&amp;IF(I1689="Duplicate","_Dub"&amp;IF(SUMPRODUCT(($B$2:B1689=B1689)*($D$2:D1689=D1689)*($E$2:E1689=E1689)*($F$2:F1689=F1689)*($G$2:G1689=G1689)*($I$2:I1689="Duplicate"))&lt;=1,"",SUMPRODUCT(($B$2:B1689=B1689)*($D$2:D1689=D1689)*($E$2:E1689=E1689)*($F$2:F1689=F1689)*($G$2:G1689=G1689)*($I$2:I1689="Duplicate"))-1),"")&amp;".jpeg")</f>
        <v/>
      </c>
      <c r="L1689" s="6"/>
      <c r="M1689" s="5" t="str">
        <f>IFERROR(VLOOKUP(E1689,Specifications!$A$2:$D$9,2,FALSE),"")</f>
        <v/>
      </c>
      <c r="N1689" s="5" t="str">
        <f>IFERROR(VLOOKUP(E1689,Specifications!$A$2:$D$9,3,FALSE),"")</f>
        <v/>
      </c>
      <c r="O1689" s="5" t="str">
        <f>IFERROR(VLOOKUP(E1689,Specifications!$A$2:$D$9,4,FALSE),"")</f>
        <v/>
      </c>
      <c r="P1689" s="8" t="str">
        <f t="shared" si="81"/>
        <v/>
      </c>
      <c r="Q1689" s="9"/>
    </row>
    <row r="1690" spans="1:17" ht="15">
      <c r="A1690" s="5" t="str">
        <f t="shared" si="79"/>
        <v/>
      </c>
      <c r="B1690" s="6"/>
      <c r="C1690" s="5" t="str">
        <f>IFERROR(VLOOKUP(B1690,Lists!$A$2:$B$25,2,FALSE),"")</f>
        <v/>
      </c>
      <c r="D1690" s="7"/>
      <c r="E1690" s="6"/>
      <c r="F1690" s="6" t="str">
        <f t="shared" si="80"/>
        <v/>
      </c>
      <c r="G1690" s="6"/>
      <c r="H1690" s="6"/>
      <c r="I1690" s="6"/>
      <c r="J1690" s="7"/>
      <c r="K1690" s="5" t="str" cm="1">
        <f t="array" ref="K1690">IF(OR(A1690="",B1690="",D1690="",E1690=""),"",A1690&amp;"_"&amp;SUBSTITUTE(B1690," ","-")&amp;"_"&amp;D1690&amp;"_"&amp;SUBSTITUTE(SUBSTITUTE(E1690," ",""),"€","Euro")&amp;"_"&amp;IF(F1690="","Unknown",F1690)&amp;IF(F1690="Commemorative",IF(G1690="","","_"&amp;SUBSTITUTE(SUBSTITUTE(SUBSTITUTE(G1690," ","-"),"/","-"),CHAR(39),"")),"")&amp;IF(I1690="Duplicate","_Dub"&amp;IF(SUMPRODUCT(($B$2:B1690=B1690)*($D$2:D1690=D1690)*($E$2:E1690=E1690)*($F$2:F1690=F1690)*($G$2:G1690=G1690)*($I$2:I1690="Duplicate"))&lt;=1,"",SUMPRODUCT(($B$2:B1690=B1690)*($D$2:D1690=D1690)*($E$2:E1690=E1690)*($F$2:F1690=F1690)*($G$2:G1690=G1690)*($I$2:I1690="Duplicate"))-1),"")&amp;".jpeg")</f>
        <v/>
      </c>
      <c r="L1690" s="6"/>
      <c r="M1690" s="5" t="str">
        <f>IFERROR(VLOOKUP(E1690,Specifications!$A$2:$D$9,2,FALSE),"")</f>
        <v/>
      </c>
      <c r="N1690" s="5" t="str">
        <f>IFERROR(VLOOKUP(E1690,Specifications!$A$2:$D$9,3,FALSE),"")</f>
        <v/>
      </c>
      <c r="O1690" s="5" t="str">
        <f>IFERROR(VLOOKUP(E1690,Specifications!$A$2:$D$9,4,FALSE),"")</f>
        <v/>
      </c>
      <c r="P1690" s="8" t="str">
        <f t="shared" si="81"/>
        <v/>
      </c>
      <c r="Q1690" s="9"/>
    </row>
    <row r="1691" spans="1:17" ht="15">
      <c r="A1691" s="5" t="str">
        <f t="shared" si="79"/>
        <v/>
      </c>
      <c r="B1691" s="6"/>
      <c r="C1691" s="5" t="str">
        <f>IFERROR(VLOOKUP(B1691,Lists!$A$2:$B$25,2,FALSE),"")</f>
        <v/>
      </c>
      <c r="D1691" s="7"/>
      <c r="E1691" s="6"/>
      <c r="F1691" s="6" t="str">
        <f t="shared" si="80"/>
        <v/>
      </c>
      <c r="G1691" s="6"/>
      <c r="H1691" s="6"/>
      <c r="I1691" s="6"/>
      <c r="J1691" s="7"/>
      <c r="K1691" s="5" t="str" cm="1">
        <f t="array" ref="K1691">IF(OR(A1691="",B1691="",D1691="",E1691=""),"",A1691&amp;"_"&amp;SUBSTITUTE(B1691," ","-")&amp;"_"&amp;D1691&amp;"_"&amp;SUBSTITUTE(SUBSTITUTE(E1691," ",""),"€","Euro")&amp;"_"&amp;IF(F1691="","Unknown",F1691)&amp;IF(F1691="Commemorative",IF(G1691="","","_"&amp;SUBSTITUTE(SUBSTITUTE(SUBSTITUTE(G1691," ","-"),"/","-"),CHAR(39),"")),"")&amp;IF(I1691="Duplicate","_Dub"&amp;IF(SUMPRODUCT(($B$2:B1691=B1691)*($D$2:D1691=D1691)*($E$2:E1691=E1691)*($F$2:F1691=F1691)*($G$2:G1691=G1691)*($I$2:I1691="Duplicate"))&lt;=1,"",SUMPRODUCT(($B$2:B1691=B1691)*($D$2:D1691=D1691)*($E$2:E1691=E1691)*($F$2:F1691=F1691)*($G$2:G1691=G1691)*($I$2:I1691="Duplicate"))-1),"")&amp;".jpeg")</f>
        <v/>
      </c>
      <c r="L1691" s="6"/>
      <c r="M1691" s="5" t="str">
        <f>IFERROR(VLOOKUP(E1691,Specifications!$A$2:$D$9,2,FALSE),"")</f>
        <v/>
      </c>
      <c r="N1691" s="5" t="str">
        <f>IFERROR(VLOOKUP(E1691,Specifications!$A$2:$D$9,3,FALSE),"")</f>
        <v/>
      </c>
      <c r="O1691" s="5" t="str">
        <f>IFERROR(VLOOKUP(E1691,Specifications!$A$2:$D$9,4,FALSE),"")</f>
        <v/>
      </c>
      <c r="P1691" s="8" t="str">
        <f t="shared" si="81"/>
        <v/>
      </c>
      <c r="Q1691" s="9"/>
    </row>
    <row r="1692" spans="1:17" ht="15">
      <c r="A1692" s="5" t="str">
        <f t="shared" si="79"/>
        <v/>
      </c>
      <c r="B1692" s="6"/>
      <c r="C1692" s="5" t="str">
        <f>IFERROR(VLOOKUP(B1692,Lists!$A$2:$B$25,2,FALSE),"")</f>
        <v/>
      </c>
      <c r="D1692" s="7"/>
      <c r="E1692" s="6"/>
      <c r="F1692" s="6" t="str">
        <f t="shared" si="80"/>
        <v/>
      </c>
      <c r="G1692" s="6"/>
      <c r="H1692" s="6"/>
      <c r="I1692" s="6"/>
      <c r="J1692" s="7"/>
      <c r="K1692" s="5" t="str" cm="1">
        <f t="array" ref="K1692">IF(OR(A1692="",B1692="",D1692="",E1692=""),"",A1692&amp;"_"&amp;SUBSTITUTE(B1692," ","-")&amp;"_"&amp;D1692&amp;"_"&amp;SUBSTITUTE(SUBSTITUTE(E1692," ",""),"€","Euro")&amp;"_"&amp;IF(F1692="","Unknown",F1692)&amp;IF(F1692="Commemorative",IF(G1692="","","_"&amp;SUBSTITUTE(SUBSTITUTE(SUBSTITUTE(G1692," ","-"),"/","-"),CHAR(39),"")),"")&amp;IF(I1692="Duplicate","_Dub"&amp;IF(SUMPRODUCT(($B$2:B1692=B1692)*($D$2:D1692=D1692)*($E$2:E1692=E1692)*($F$2:F1692=F1692)*($G$2:G1692=G1692)*($I$2:I1692="Duplicate"))&lt;=1,"",SUMPRODUCT(($B$2:B1692=B1692)*($D$2:D1692=D1692)*($E$2:E1692=E1692)*($F$2:F1692=F1692)*($G$2:G1692=G1692)*($I$2:I1692="Duplicate"))-1),"")&amp;".jpeg")</f>
        <v/>
      </c>
      <c r="L1692" s="6"/>
      <c r="M1692" s="5" t="str">
        <f>IFERROR(VLOOKUP(E1692,Specifications!$A$2:$D$9,2,FALSE),"")</f>
        <v/>
      </c>
      <c r="N1692" s="5" t="str">
        <f>IFERROR(VLOOKUP(E1692,Specifications!$A$2:$D$9,3,FALSE),"")</f>
        <v/>
      </c>
      <c r="O1692" s="5" t="str">
        <f>IFERROR(VLOOKUP(E1692,Specifications!$A$2:$D$9,4,FALSE),"")</f>
        <v/>
      </c>
      <c r="P1692" s="8" t="str">
        <f t="shared" si="81"/>
        <v/>
      </c>
      <c r="Q1692" s="9"/>
    </row>
    <row r="1693" spans="1:17" ht="15">
      <c r="A1693" s="5" t="str">
        <f t="shared" si="79"/>
        <v/>
      </c>
      <c r="B1693" s="6"/>
      <c r="C1693" s="5" t="str">
        <f>IFERROR(VLOOKUP(B1693,Lists!$A$2:$B$25,2,FALSE),"")</f>
        <v/>
      </c>
      <c r="D1693" s="7"/>
      <c r="E1693" s="6"/>
      <c r="F1693" s="6" t="str">
        <f t="shared" si="80"/>
        <v/>
      </c>
      <c r="G1693" s="6"/>
      <c r="H1693" s="6"/>
      <c r="I1693" s="6"/>
      <c r="J1693" s="7"/>
      <c r="K1693" s="5" t="str" cm="1">
        <f t="array" ref="K1693">IF(OR(A1693="",B1693="",D1693="",E1693=""),"",A1693&amp;"_"&amp;SUBSTITUTE(B1693," ","-")&amp;"_"&amp;D1693&amp;"_"&amp;SUBSTITUTE(SUBSTITUTE(E1693," ",""),"€","Euro")&amp;"_"&amp;IF(F1693="","Unknown",F1693)&amp;IF(F1693="Commemorative",IF(G1693="","","_"&amp;SUBSTITUTE(SUBSTITUTE(SUBSTITUTE(G1693," ","-"),"/","-"),CHAR(39),"")),"")&amp;IF(I1693="Duplicate","_Dub"&amp;IF(SUMPRODUCT(($B$2:B1693=B1693)*($D$2:D1693=D1693)*($E$2:E1693=E1693)*($F$2:F1693=F1693)*($G$2:G1693=G1693)*($I$2:I1693="Duplicate"))&lt;=1,"",SUMPRODUCT(($B$2:B1693=B1693)*($D$2:D1693=D1693)*($E$2:E1693=E1693)*($F$2:F1693=F1693)*($G$2:G1693=G1693)*($I$2:I1693="Duplicate"))-1),"")&amp;".jpeg")</f>
        <v/>
      </c>
      <c r="L1693" s="6"/>
      <c r="M1693" s="5" t="str">
        <f>IFERROR(VLOOKUP(E1693,Specifications!$A$2:$D$9,2,FALSE),"")</f>
        <v/>
      </c>
      <c r="N1693" s="5" t="str">
        <f>IFERROR(VLOOKUP(E1693,Specifications!$A$2:$D$9,3,FALSE),"")</f>
        <v/>
      </c>
      <c r="O1693" s="5" t="str">
        <f>IFERROR(VLOOKUP(E1693,Specifications!$A$2:$D$9,4,FALSE),"")</f>
        <v/>
      </c>
      <c r="P1693" s="8" t="str">
        <f t="shared" si="81"/>
        <v/>
      </c>
      <c r="Q1693" s="9"/>
    </row>
    <row r="1694" spans="1:17" ht="15">
      <c r="A1694" s="5" t="str">
        <f t="shared" si="79"/>
        <v/>
      </c>
      <c r="B1694" s="6"/>
      <c r="C1694" s="5" t="str">
        <f>IFERROR(VLOOKUP(B1694,Lists!$A$2:$B$25,2,FALSE),"")</f>
        <v/>
      </c>
      <c r="D1694" s="7"/>
      <c r="E1694" s="6"/>
      <c r="F1694" s="6" t="str">
        <f t="shared" si="80"/>
        <v/>
      </c>
      <c r="G1694" s="6"/>
      <c r="H1694" s="6"/>
      <c r="I1694" s="6"/>
      <c r="J1694" s="7"/>
      <c r="K1694" s="5" t="str" cm="1">
        <f t="array" ref="K1694">IF(OR(A1694="",B1694="",D1694="",E1694=""),"",A1694&amp;"_"&amp;SUBSTITUTE(B1694," ","-")&amp;"_"&amp;D1694&amp;"_"&amp;SUBSTITUTE(SUBSTITUTE(E1694," ",""),"€","Euro")&amp;"_"&amp;IF(F1694="","Unknown",F1694)&amp;IF(F1694="Commemorative",IF(G1694="","","_"&amp;SUBSTITUTE(SUBSTITUTE(SUBSTITUTE(G1694," ","-"),"/","-"),CHAR(39),"")),"")&amp;IF(I1694="Duplicate","_Dub"&amp;IF(SUMPRODUCT(($B$2:B1694=B1694)*($D$2:D1694=D1694)*($E$2:E1694=E1694)*($F$2:F1694=F1694)*($G$2:G1694=G1694)*($I$2:I1694="Duplicate"))&lt;=1,"",SUMPRODUCT(($B$2:B1694=B1694)*($D$2:D1694=D1694)*($E$2:E1694=E1694)*($F$2:F1694=F1694)*($G$2:G1694=G1694)*($I$2:I1694="Duplicate"))-1),"")&amp;".jpeg")</f>
        <v/>
      </c>
      <c r="L1694" s="6"/>
      <c r="M1694" s="5" t="str">
        <f>IFERROR(VLOOKUP(E1694,Specifications!$A$2:$D$9,2,FALSE),"")</f>
        <v/>
      </c>
      <c r="N1694" s="5" t="str">
        <f>IFERROR(VLOOKUP(E1694,Specifications!$A$2:$D$9,3,FALSE),"")</f>
        <v/>
      </c>
      <c r="O1694" s="5" t="str">
        <f>IFERROR(VLOOKUP(E1694,Specifications!$A$2:$D$9,4,FALSE),"")</f>
        <v/>
      </c>
      <c r="P1694" s="8" t="str">
        <f t="shared" si="81"/>
        <v/>
      </c>
      <c r="Q1694" s="9"/>
    </row>
    <row r="1695" spans="1:17" ht="15">
      <c r="A1695" s="5" t="str">
        <f t="shared" si="79"/>
        <v/>
      </c>
      <c r="B1695" s="6"/>
      <c r="C1695" s="5" t="str">
        <f>IFERROR(VLOOKUP(B1695,Lists!$A$2:$B$25,2,FALSE),"")</f>
        <v/>
      </c>
      <c r="D1695" s="7"/>
      <c r="E1695" s="6"/>
      <c r="F1695" s="6" t="str">
        <f t="shared" si="80"/>
        <v/>
      </c>
      <c r="G1695" s="6"/>
      <c r="H1695" s="6"/>
      <c r="I1695" s="6"/>
      <c r="J1695" s="7"/>
      <c r="K1695" s="5" t="str" cm="1">
        <f t="array" ref="K1695">IF(OR(A1695="",B1695="",D1695="",E1695=""),"",A1695&amp;"_"&amp;SUBSTITUTE(B1695," ","-")&amp;"_"&amp;D1695&amp;"_"&amp;SUBSTITUTE(SUBSTITUTE(E1695," ",""),"€","Euro")&amp;"_"&amp;IF(F1695="","Unknown",F1695)&amp;IF(F1695="Commemorative",IF(G1695="","","_"&amp;SUBSTITUTE(SUBSTITUTE(SUBSTITUTE(G1695," ","-"),"/","-"),CHAR(39),"")),"")&amp;IF(I1695="Duplicate","_Dub"&amp;IF(SUMPRODUCT(($B$2:B1695=B1695)*($D$2:D1695=D1695)*($E$2:E1695=E1695)*($F$2:F1695=F1695)*($G$2:G1695=G1695)*($I$2:I1695="Duplicate"))&lt;=1,"",SUMPRODUCT(($B$2:B1695=B1695)*($D$2:D1695=D1695)*($E$2:E1695=E1695)*($F$2:F1695=F1695)*($G$2:G1695=G1695)*($I$2:I1695="Duplicate"))-1),"")&amp;".jpeg")</f>
        <v/>
      </c>
      <c r="L1695" s="6"/>
      <c r="M1695" s="5" t="str">
        <f>IFERROR(VLOOKUP(E1695,Specifications!$A$2:$D$9,2,FALSE),"")</f>
        <v/>
      </c>
      <c r="N1695" s="5" t="str">
        <f>IFERROR(VLOOKUP(E1695,Specifications!$A$2:$D$9,3,FALSE),"")</f>
        <v/>
      </c>
      <c r="O1695" s="5" t="str">
        <f>IFERROR(VLOOKUP(E1695,Specifications!$A$2:$D$9,4,FALSE),"")</f>
        <v/>
      </c>
      <c r="P1695" s="8" t="str">
        <f t="shared" si="81"/>
        <v/>
      </c>
      <c r="Q1695" s="9"/>
    </row>
    <row r="1696" spans="1:17" ht="15">
      <c r="A1696" s="5" t="str">
        <f t="shared" si="79"/>
        <v/>
      </c>
      <c r="B1696" s="6"/>
      <c r="C1696" s="5" t="str">
        <f>IFERROR(VLOOKUP(B1696,Lists!$A$2:$B$25,2,FALSE),"")</f>
        <v/>
      </c>
      <c r="D1696" s="7"/>
      <c r="E1696" s="6"/>
      <c r="F1696" s="6" t="str">
        <f t="shared" si="80"/>
        <v/>
      </c>
      <c r="G1696" s="6"/>
      <c r="H1696" s="6"/>
      <c r="I1696" s="6"/>
      <c r="J1696" s="7"/>
      <c r="K1696" s="5" t="str" cm="1">
        <f t="array" ref="K1696">IF(OR(A1696="",B1696="",D1696="",E1696=""),"",A1696&amp;"_"&amp;SUBSTITUTE(B1696," ","-")&amp;"_"&amp;D1696&amp;"_"&amp;SUBSTITUTE(SUBSTITUTE(E1696," ",""),"€","Euro")&amp;"_"&amp;IF(F1696="","Unknown",F1696)&amp;IF(F1696="Commemorative",IF(G1696="","","_"&amp;SUBSTITUTE(SUBSTITUTE(SUBSTITUTE(G1696," ","-"),"/","-"),CHAR(39),"")),"")&amp;IF(I1696="Duplicate","_Dub"&amp;IF(SUMPRODUCT(($B$2:B1696=B1696)*($D$2:D1696=D1696)*($E$2:E1696=E1696)*($F$2:F1696=F1696)*($G$2:G1696=G1696)*($I$2:I1696="Duplicate"))&lt;=1,"",SUMPRODUCT(($B$2:B1696=B1696)*($D$2:D1696=D1696)*($E$2:E1696=E1696)*($F$2:F1696=F1696)*($G$2:G1696=G1696)*($I$2:I1696="Duplicate"))-1),"")&amp;".jpeg")</f>
        <v/>
      </c>
      <c r="L1696" s="6"/>
      <c r="M1696" s="5" t="str">
        <f>IFERROR(VLOOKUP(E1696,Specifications!$A$2:$D$9,2,FALSE),"")</f>
        <v/>
      </c>
      <c r="N1696" s="5" t="str">
        <f>IFERROR(VLOOKUP(E1696,Specifications!$A$2:$D$9,3,FALSE),"")</f>
        <v/>
      </c>
      <c r="O1696" s="5" t="str">
        <f>IFERROR(VLOOKUP(E1696,Specifications!$A$2:$D$9,4,FALSE),"")</f>
        <v/>
      </c>
      <c r="P1696" s="8" t="str">
        <f t="shared" si="81"/>
        <v/>
      </c>
      <c r="Q1696" s="9"/>
    </row>
    <row r="1697" spans="1:17" ht="15">
      <c r="A1697" s="5" t="str">
        <f t="shared" si="79"/>
        <v/>
      </c>
      <c r="B1697" s="6"/>
      <c r="C1697" s="5" t="str">
        <f>IFERROR(VLOOKUP(B1697,Lists!$A$2:$B$25,2,FALSE),"")</f>
        <v/>
      </c>
      <c r="D1697" s="7"/>
      <c r="E1697" s="6"/>
      <c r="F1697" s="6" t="str">
        <f t="shared" si="80"/>
        <v/>
      </c>
      <c r="G1697" s="6"/>
      <c r="H1697" s="6"/>
      <c r="I1697" s="6"/>
      <c r="J1697" s="7"/>
      <c r="K1697" s="5" t="str" cm="1">
        <f t="array" ref="K1697">IF(OR(A1697="",B1697="",D1697="",E1697=""),"",A1697&amp;"_"&amp;SUBSTITUTE(B1697," ","-")&amp;"_"&amp;D1697&amp;"_"&amp;SUBSTITUTE(SUBSTITUTE(E1697," ",""),"€","Euro")&amp;"_"&amp;IF(F1697="","Unknown",F1697)&amp;IF(F1697="Commemorative",IF(G1697="","","_"&amp;SUBSTITUTE(SUBSTITUTE(SUBSTITUTE(G1697," ","-"),"/","-"),CHAR(39),"")),"")&amp;IF(I1697="Duplicate","_Dub"&amp;IF(SUMPRODUCT(($B$2:B1697=B1697)*($D$2:D1697=D1697)*($E$2:E1697=E1697)*($F$2:F1697=F1697)*($G$2:G1697=G1697)*($I$2:I1697="Duplicate"))&lt;=1,"",SUMPRODUCT(($B$2:B1697=B1697)*($D$2:D1697=D1697)*($E$2:E1697=E1697)*($F$2:F1697=F1697)*($G$2:G1697=G1697)*($I$2:I1697="Duplicate"))-1),"")&amp;".jpeg")</f>
        <v/>
      </c>
      <c r="L1697" s="6"/>
      <c r="M1697" s="5" t="str">
        <f>IFERROR(VLOOKUP(E1697,Specifications!$A$2:$D$9,2,FALSE),"")</f>
        <v/>
      </c>
      <c r="N1697" s="5" t="str">
        <f>IFERROR(VLOOKUP(E1697,Specifications!$A$2:$D$9,3,FALSE),"")</f>
        <v/>
      </c>
      <c r="O1697" s="5" t="str">
        <f>IFERROR(VLOOKUP(E1697,Specifications!$A$2:$D$9,4,FALSE),"")</f>
        <v/>
      </c>
      <c r="P1697" s="8" t="str">
        <f t="shared" si="81"/>
        <v/>
      </c>
      <c r="Q1697" s="9"/>
    </row>
    <row r="1698" spans="1:17" ht="15">
      <c r="A1698" s="5" t="str">
        <f t="shared" si="79"/>
        <v/>
      </c>
      <c r="B1698" s="6"/>
      <c r="C1698" s="5" t="str">
        <f>IFERROR(VLOOKUP(B1698,Lists!$A$2:$B$25,2,FALSE),"")</f>
        <v/>
      </c>
      <c r="D1698" s="7"/>
      <c r="E1698" s="6"/>
      <c r="F1698" s="6" t="str">
        <f t="shared" si="80"/>
        <v/>
      </c>
      <c r="G1698" s="6"/>
      <c r="H1698" s="6"/>
      <c r="I1698" s="6"/>
      <c r="J1698" s="7"/>
      <c r="K1698" s="5" t="str" cm="1">
        <f t="array" ref="K1698">IF(OR(A1698="",B1698="",D1698="",E1698=""),"",A1698&amp;"_"&amp;SUBSTITUTE(B1698," ","-")&amp;"_"&amp;D1698&amp;"_"&amp;SUBSTITUTE(SUBSTITUTE(E1698," ",""),"€","Euro")&amp;"_"&amp;IF(F1698="","Unknown",F1698)&amp;IF(F1698="Commemorative",IF(G1698="","","_"&amp;SUBSTITUTE(SUBSTITUTE(SUBSTITUTE(G1698," ","-"),"/","-"),CHAR(39),"")),"")&amp;IF(I1698="Duplicate","_Dub"&amp;IF(SUMPRODUCT(($B$2:B1698=B1698)*($D$2:D1698=D1698)*($E$2:E1698=E1698)*($F$2:F1698=F1698)*($G$2:G1698=G1698)*($I$2:I1698="Duplicate"))&lt;=1,"",SUMPRODUCT(($B$2:B1698=B1698)*($D$2:D1698=D1698)*($E$2:E1698=E1698)*($F$2:F1698=F1698)*($G$2:G1698=G1698)*($I$2:I1698="Duplicate"))-1),"")&amp;".jpeg")</f>
        <v/>
      </c>
      <c r="L1698" s="6"/>
      <c r="M1698" s="5" t="str">
        <f>IFERROR(VLOOKUP(E1698,Specifications!$A$2:$D$9,2,FALSE),"")</f>
        <v/>
      </c>
      <c r="N1698" s="5" t="str">
        <f>IFERROR(VLOOKUP(E1698,Specifications!$A$2:$D$9,3,FALSE),"")</f>
        <v/>
      </c>
      <c r="O1698" s="5" t="str">
        <f>IFERROR(VLOOKUP(E1698,Specifications!$A$2:$D$9,4,FALSE),"")</f>
        <v/>
      </c>
      <c r="P1698" s="8" t="str">
        <f t="shared" si="81"/>
        <v/>
      </c>
      <c r="Q1698" s="9"/>
    </row>
    <row r="1699" spans="1:17" ht="15">
      <c r="A1699" s="5" t="str">
        <f t="shared" si="79"/>
        <v/>
      </c>
      <c r="B1699" s="6"/>
      <c r="C1699" s="5" t="str">
        <f>IFERROR(VLOOKUP(B1699,Lists!$A$2:$B$25,2,FALSE),"")</f>
        <v/>
      </c>
      <c r="D1699" s="7"/>
      <c r="E1699" s="6"/>
      <c r="F1699" s="6" t="str">
        <f t="shared" si="80"/>
        <v/>
      </c>
      <c r="G1699" s="6"/>
      <c r="H1699" s="6"/>
      <c r="I1699" s="6"/>
      <c r="J1699" s="7"/>
      <c r="K1699" s="5" t="str" cm="1">
        <f t="array" ref="K1699">IF(OR(A1699="",B1699="",D1699="",E1699=""),"",A1699&amp;"_"&amp;SUBSTITUTE(B1699," ","-")&amp;"_"&amp;D1699&amp;"_"&amp;SUBSTITUTE(SUBSTITUTE(E1699," ",""),"€","Euro")&amp;"_"&amp;IF(F1699="","Unknown",F1699)&amp;IF(F1699="Commemorative",IF(G1699="","","_"&amp;SUBSTITUTE(SUBSTITUTE(SUBSTITUTE(G1699," ","-"),"/","-"),CHAR(39),"")),"")&amp;IF(I1699="Duplicate","_Dub"&amp;IF(SUMPRODUCT(($B$2:B1699=B1699)*($D$2:D1699=D1699)*($E$2:E1699=E1699)*($F$2:F1699=F1699)*($G$2:G1699=G1699)*($I$2:I1699="Duplicate"))&lt;=1,"",SUMPRODUCT(($B$2:B1699=B1699)*($D$2:D1699=D1699)*($E$2:E1699=E1699)*($F$2:F1699=F1699)*($G$2:G1699=G1699)*($I$2:I1699="Duplicate"))-1),"")&amp;".jpeg")</f>
        <v/>
      </c>
      <c r="L1699" s="6"/>
      <c r="M1699" s="5" t="str">
        <f>IFERROR(VLOOKUP(E1699,Specifications!$A$2:$D$9,2,FALSE),"")</f>
        <v/>
      </c>
      <c r="N1699" s="5" t="str">
        <f>IFERROR(VLOOKUP(E1699,Specifications!$A$2:$D$9,3,FALSE),"")</f>
        <v/>
      </c>
      <c r="O1699" s="5" t="str">
        <f>IFERROR(VLOOKUP(E1699,Specifications!$A$2:$D$9,4,FALSE),"")</f>
        <v/>
      </c>
      <c r="P1699" s="8" t="str">
        <f t="shared" si="81"/>
        <v/>
      </c>
      <c r="Q1699" s="9"/>
    </row>
    <row r="1700" spans="1:17" ht="15">
      <c r="A1700" s="5" t="str">
        <f t="shared" si="79"/>
        <v/>
      </c>
      <c r="B1700" s="6"/>
      <c r="C1700" s="5" t="str">
        <f>IFERROR(VLOOKUP(B1700,Lists!$A$2:$B$25,2,FALSE),"")</f>
        <v/>
      </c>
      <c r="D1700" s="7"/>
      <c r="E1700" s="6"/>
      <c r="F1700" s="6" t="str">
        <f t="shared" si="80"/>
        <v/>
      </c>
      <c r="G1700" s="6"/>
      <c r="H1700" s="6"/>
      <c r="I1700" s="6"/>
      <c r="J1700" s="7"/>
      <c r="K1700" s="5" t="str" cm="1">
        <f t="array" ref="K1700">IF(OR(A1700="",B1700="",D1700="",E1700=""),"",A1700&amp;"_"&amp;SUBSTITUTE(B1700," ","-")&amp;"_"&amp;D1700&amp;"_"&amp;SUBSTITUTE(SUBSTITUTE(E1700," ",""),"€","Euro")&amp;"_"&amp;IF(F1700="","Unknown",F1700)&amp;IF(F1700="Commemorative",IF(G1700="","","_"&amp;SUBSTITUTE(SUBSTITUTE(SUBSTITUTE(G1700," ","-"),"/","-"),CHAR(39),"")),"")&amp;IF(I1700="Duplicate","_Dub"&amp;IF(SUMPRODUCT(($B$2:B1700=B1700)*($D$2:D1700=D1700)*($E$2:E1700=E1700)*($F$2:F1700=F1700)*($G$2:G1700=G1700)*($I$2:I1700="Duplicate"))&lt;=1,"",SUMPRODUCT(($B$2:B1700=B1700)*($D$2:D1700=D1700)*($E$2:E1700=E1700)*($F$2:F1700=F1700)*($G$2:G1700=G1700)*($I$2:I1700="Duplicate"))-1),"")&amp;".jpeg")</f>
        <v/>
      </c>
      <c r="L1700" s="6"/>
      <c r="M1700" s="5" t="str">
        <f>IFERROR(VLOOKUP(E1700,Specifications!$A$2:$D$9,2,FALSE),"")</f>
        <v/>
      </c>
      <c r="N1700" s="5" t="str">
        <f>IFERROR(VLOOKUP(E1700,Specifications!$A$2:$D$9,3,FALSE),"")</f>
        <v/>
      </c>
      <c r="O1700" s="5" t="str">
        <f>IFERROR(VLOOKUP(E1700,Specifications!$A$2:$D$9,4,FALSE),"")</f>
        <v/>
      </c>
      <c r="P1700" s="8" t="str">
        <f t="shared" si="81"/>
        <v/>
      </c>
      <c r="Q1700" s="9"/>
    </row>
    <row r="1701" spans="1:17" ht="15">
      <c r="A1701" s="5" t="str">
        <f t="shared" si="79"/>
        <v/>
      </c>
      <c r="B1701" s="6"/>
      <c r="C1701" s="5" t="str">
        <f>IFERROR(VLOOKUP(B1701,Lists!$A$2:$B$25,2,FALSE),"")</f>
        <v/>
      </c>
      <c r="D1701" s="7"/>
      <c r="E1701" s="6"/>
      <c r="F1701" s="6" t="str">
        <f t="shared" si="80"/>
        <v/>
      </c>
      <c r="G1701" s="6"/>
      <c r="H1701" s="6"/>
      <c r="I1701" s="6"/>
      <c r="J1701" s="7"/>
      <c r="K1701" s="5" t="str" cm="1">
        <f t="array" ref="K1701">IF(OR(A1701="",B1701="",D1701="",E1701=""),"",A1701&amp;"_"&amp;SUBSTITUTE(B1701," ","-")&amp;"_"&amp;D1701&amp;"_"&amp;SUBSTITUTE(SUBSTITUTE(E1701," ",""),"€","Euro")&amp;"_"&amp;IF(F1701="","Unknown",F1701)&amp;IF(F1701="Commemorative",IF(G1701="","","_"&amp;SUBSTITUTE(SUBSTITUTE(SUBSTITUTE(G1701," ","-"),"/","-"),CHAR(39),"")),"")&amp;IF(I1701="Duplicate","_Dub"&amp;IF(SUMPRODUCT(($B$2:B1701=B1701)*($D$2:D1701=D1701)*($E$2:E1701=E1701)*($F$2:F1701=F1701)*($G$2:G1701=G1701)*($I$2:I1701="Duplicate"))&lt;=1,"",SUMPRODUCT(($B$2:B1701=B1701)*($D$2:D1701=D1701)*($E$2:E1701=E1701)*($F$2:F1701=F1701)*($G$2:G1701=G1701)*($I$2:I1701="Duplicate"))-1),"")&amp;".jpeg")</f>
        <v/>
      </c>
      <c r="L1701" s="6"/>
      <c r="M1701" s="5" t="str">
        <f>IFERROR(VLOOKUP(E1701,Specifications!$A$2:$D$9,2,FALSE),"")</f>
        <v/>
      </c>
      <c r="N1701" s="5" t="str">
        <f>IFERROR(VLOOKUP(E1701,Specifications!$A$2:$D$9,3,FALSE),"")</f>
        <v/>
      </c>
      <c r="O1701" s="5" t="str">
        <f>IFERROR(VLOOKUP(E1701,Specifications!$A$2:$D$9,4,FALSE),"")</f>
        <v/>
      </c>
      <c r="P1701" s="8" t="str">
        <f t="shared" si="81"/>
        <v/>
      </c>
      <c r="Q1701" s="9"/>
    </row>
    <row r="1702" spans="1:17" ht="15">
      <c r="A1702" s="5" t="str">
        <f t="shared" si="79"/>
        <v/>
      </c>
      <c r="B1702" s="6"/>
      <c r="C1702" s="5" t="str">
        <f>IFERROR(VLOOKUP(B1702,Lists!$A$2:$B$25,2,FALSE),"")</f>
        <v/>
      </c>
      <c r="D1702" s="7"/>
      <c r="E1702" s="6"/>
      <c r="F1702" s="6" t="str">
        <f t="shared" si="80"/>
        <v/>
      </c>
      <c r="G1702" s="6"/>
      <c r="H1702" s="6"/>
      <c r="I1702" s="6"/>
      <c r="J1702" s="7"/>
      <c r="K1702" s="5" t="str" cm="1">
        <f t="array" ref="K1702">IF(OR(A1702="",B1702="",D1702="",E1702=""),"",A1702&amp;"_"&amp;SUBSTITUTE(B1702," ","-")&amp;"_"&amp;D1702&amp;"_"&amp;SUBSTITUTE(SUBSTITUTE(E1702," ",""),"€","Euro")&amp;"_"&amp;IF(F1702="","Unknown",F1702)&amp;IF(F1702="Commemorative",IF(G1702="","","_"&amp;SUBSTITUTE(SUBSTITUTE(SUBSTITUTE(G1702," ","-"),"/","-"),CHAR(39),"")),"")&amp;IF(I1702="Duplicate","_Dub"&amp;IF(SUMPRODUCT(($B$2:B1702=B1702)*($D$2:D1702=D1702)*($E$2:E1702=E1702)*($F$2:F1702=F1702)*($G$2:G1702=G1702)*($I$2:I1702="Duplicate"))&lt;=1,"",SUMPRODUCT(($B$2:B1702=B1702)*($D$2:D1702=D1702)*($E$2:E1702=E1702)*($F$2:F1702=F1702)*($G$2:G1702=G1702)*($I$2:I1702="Duplicate"))-1),"")&amp;".jpeg")</f>
        <v/>
      </c>
      <c r="L1702" s="6"/>
      <c r="M1702" s="5" t="str">
        <f>IFERROR(VLOOKUP(E1702,Specifications!$A$2:$D$9,2,FALSE),"")</f>
        <v/>
      </c>
      <c r="N1702" s="5" t="str">
        <f>IFERROR(VLOOKUP(E1702,Specifications!$A$2:$D$9,3,FALSE),"")</f>
        <v/>
      </c>
      <c r="O1702" s="5" t="str">
        <f>IFERROR(VLOOKUP(E1702,Specifications!$A$2:$D$9,4,FALSE),"")</f>
        <v/>
      </c>
      <c r="P1702" s="8" t="str">
        <f t="shared" si="81"/>
        <v/>
      </c>
      <c r="Q1702" s="9"/>
    </row>
    <row r="1703" spans="1:17" ht="15">
      <c r="A1703" s="5" t="str">
        <f t="shared" si="79"/>
        <v/>
      </c>
      <c r="B1703" s="6"/>
      <c r="C1703" s="5" t="str">
        <f>IFERROR(VLOOKUP(B1703,Lists!$A$2:$B$25,2,FALSE),"")</f>
        <v/>
      </c>
      <c r="D1703" s="7"/>
      <c r="E1703" s="6"/>
      <c r="F1703" s="6" t="str">
        <f t="shared" si="80"/>
        <v/>
      </c>
      <c r="G1703" s="6"/>
      <c r="H1703" s="6"/>
      <c r="I1703" s="6"/>
      <c r="J1703" s="7"/>
      <c r="K1703" s="5" t="str" cm="1">
        <f t="array" ref="K1703">IF(OR(A1703="",B1703="",D1703="",E1703=""),"",A1703&amp;"_"&amp;SUBSTITUTE(B1703," ","-")&amp;"_"&amp;D1703&amp;"_"&amp;SUBSTITUTE(SUBSTITUTE(E1703," ",""),"€","Euro")&amp;"_"&amp;IF(F1703="","Unknown",F1703)&amp;IF(F1703="Commemorative",IF(G1703="","","_"&amp;SUBSTITUTE(SUBSTITUTE(SUBSTITUTE(G1703," ","-"),"/","-"),CHAR(39),"")),"")&amp;IF(I1703="Duplicate","_Dub"&amp;IF(SUMPRODUCT(($B$2:B1703=B1703)*($D$2:D1703=D1703)*($E$2:E1703=E1703)*($F$2:F1703=F1703)*($G$2:G1703=G1703)*($I$2:I1703="Duplicate"))&lt;=1,"",SUMPRODUCT(($B$2:B1703=B1703)*($D$2:D1703=D1703)*($E$2:E1703=E1703)*($F$2:F1703=F1703)*($G$2:G1703=G1703)*($I$2:I1703="Duplicate"))-1),"")&amp;".jpeg")</f>
        <v/>
      </c>
      <c r="L1703" s="6"/>
      <c r="M1703" s="5" t="str">
        <f>IFERROR(VLOOKUP(E1703,Specifications!$A$2:$D$9,2,FALSE),"")</f>
        <v/>
      </c>
      <c r="N1703" s="5" t="str">
        <f>IFERROR(VLOOKUP(E1703,Specifications!$A$2:$D$9,3,FALSE),"")</f>
        <v/>
      </c>
      <c r="O1703" s="5" t="str">
        <f>IFERROR(VLOOKUP(E1703,Specifications!$A$2:$D$9,4,FALSE),"")</f>
        <v/>
      </c>
      <c r="P1703" s="8" t="str">
        <f t="shared" si="81"/>
        <v/>
      </c>
      <c r="Q1703" s="9"/>
    </row>
    <row r="1704" spans="1:17" ht="15">
      <c r="A1704" s="5" t="str">
        <f t="shared" si="79"/>
        <v/>
      </c>
      <c r="B1704" s="6"/>
      <c r="C1704" s="5" t="str">
        <f>IFERROR(VLOOKUP(B1704,Lists!$A$2:$B$25,2,FALSE),"")</f>
        <v/>
      </c>
      <c r="D1704" s="7"/>
      <c r="E1704" s="6"/>
      <c r="F1704" s="6" t="str">
        <f t="shared" si="80"/>
        <v/>
      </c>
      <c r="G1704" s="6"/>
      <c r="H1704" s="6"/>
      <c r="I1704" s="6"/>
      <c r="J1704" s="7"/>
      <c r="K1704" s="5" t="str" cm="1">
        <f t="array" ref="K1704">IF(OR(A1704="",B1704="",D1704="",E1704=""),"",A1704&amp;"_"&amp;SUBSTITUTE(B1704," ","-")&amp;"_"&amp;D1704&amp;"_"&amp;SUBSTITUTE(SUBSTITUTE(E1704," ",""),"€","Euro")&amp;"_"&amp;IF(F1704="","Unknown",F1704)&amp;IF(F1704="Commemorative",IF(G1704="","","_"&amp;SUBSTITUTE(SUBSTITUTE(SUBSTITUTE(G1704," ","-"),"/","-"),CHAR(39),"")),"")&amp;IF(I1704="Duplicate","_Dub"&amp;IF(SUMPRODUCT(($B$2:B1704=B1704)*($D$2:D1704=D1704)*($E$2:E1704=E1704)*($F$2:F1704=F1704)*($G$2:G1704=G1704)*($I$2:I1704="Duplicate"))&lt;=1,"",SUMPRODUCT(($B$2:B1704=B1704)*($D$2:D1704=D1704)*($E$2:E1704=E1704)*($F$2:F1704=F1704)*($G$2:G1704=G1704)*($I$2:I1704="Duplicate"))-1),"")&amp;".jpeg")</f>
        <v/>
      </c>
      <c r="L1704" s="6"/>
      <c r="M1704" s="5" t="str">
        <f>IFERROR(VLOOKUP(E1704,Specifications!$A$2:$D$9,2,FALSE),"")</f>
        <v/>
      </c>
      <c r="N1704" s="5" t="str">
        <f>IFERROR(VLOOKUP(E1704,Specifications!$A$2:$D$9,3,FALSE),"")</f>
        <v/>
      </c>
      <c r="O1704" s="5" t="str">
        <f>IFERROR(VLOOKUP(E1704,Specifications!$A$2:$D$9,4,FALSE),"")</f>
        <v/>
      </c>
      <c r="P1704" s="8" t="str">
        <f t="shared" si="81"/>
        <v/>
      </c>
      <c r="Q1704" s="9"/>
    </row>
    <row r="1705" spans="1:17" ht="15">
      <c r="A1705" s="5" t="str">
        <f t="shared" si="79"/>
        <v/>
      </c>
      <c r="B1705" s="6"/>
      <c r="C1705" s="5" t="str">
        <f>IFERROR(VLOOKUP(B1705,Lists!$A$2:$B$25,2,FALSE),"")</f>
        <v/>
      </c>
      <c r="D1705" s="7"/>
      <c r="E1705" s="6"/>
      <c r="F1705" s="6" t="str">
        <f t="shared" si="80"/>
        <v/>
      </c>
      <c r="G1705" s="6"/>
      <c r="H1705" s="6"/>
      <c r="I1705" s="6"/>
      <c r="J1705" s="7"/>
      <c r="K1705" s="5" t="str" cm="1">
        <f t="array" ref="K1705">IF(OR(A1705="",B1705="",D1705="",E1705=""),"",A1705&amp;"_"&amp;SUBSTITUTE(B1705," ","-")&amp;"_"&amp;D1705&amp;"_"&amp;SUBSTITUTE(SUBSTITUTE(E1705," ",""),"€","Euro")&amp;"_"&amp;IF(F1705="","Unknown",F1705)&amp;IF(F1705="Commemorative",IF(G1705="","","_"&amp;SUBSTITUTE(SUBSTITUTE(SUBSTITUTE(G1705," ","-"),"/","-"),CHAR(39),"")),"")&amp;IF(I1705="Duplicate","_Dub"&amp;IF(SUMPRODUCT(($B$2:B1705=B1705)*($D$2:D1705=D1705)*($E$2:E1705=E1705)*($F$2:F1705=F1705)*($G$2:G1705=G1705)*($I$2:I1705="Duplicate"))&lt;=1,"",SUMPRODUCT(($B$2:B1705=B1705)*($D$2:D1705=D1705)*($E$2:E1705=E1705)*($F$2:F1705=F1705)*($G$2:G1705=G1705)*($I$2:I1705="Duplicate"))-1),"")&amp;".jpeg")</f>
        <v/>
      </c>
      <c r="L1705" s="6"/>
      <c r="M1705" s="5" t="str">
        <f>IFERROR(VLOOKUP(E1705,Specifications!$A$2:$D$9,2,FALSE),"")</f>
        <v/>
      </c>
      <c r="N1705" s="5" t="str">
        <f>IFERROR(VLOOKUP(E1705,Specifications!$A$2:$D$9,3,FALSE),"")</f>
        <v/>
      </c>
      <c r="O1705" s="5" t="str">
        <f>IFERROR(VLOOKUP(E1705,Specifications!$A$2:$D$9,4,FALSE),"")</f>
        <v/>
      </c>
      <c r="P1705" s="8" t="str">
        <f t="shared" si="81"/>
        <v/>
      </c>
      <c r="Q1705" s="9"/>
    </row>
    <row r="1706" spans="1:17" ht="15">
      <c r="A1706" s="5" t="str">
        <f t="shared" si="79"/>
        <v/>
      </c>
      <c r="B1706" s="6"/>
      <c r="C1706" s="5" t="str">
        <f>IFERROR(VLOOKUP(B1706,Lists!$A$2:$B$25,2,FALSE),"")</f>
        <v/>
      </c>
      <c r="D1706" s="7"/>
      <c r="E1706" s="6"/>
      <c r="F1706" s="6" t="str">
        <f t="shared" si="80"/>
        <v/>
      </c>
      <c r="G1706" s="6"/>
      <c r="H1706" s="6"/>
      <c r="I1706" s="6"/>
      <c r="J1706" s="7"/>
      <c r="K1706" s="5" t="str" cm="1">
        <f t="array" ref="K1706">IF(OR(A1706="",B1706="",D1706="",E1706=""),"",A1706&amp;"_"&amp;SUBSTITUTE(B1706," ","-")&amp;"_"&amp;D1706&amp;"_"&amp;SUBSTITUTE(SUBSTITUTE(E1706," ",""),"€","Euro")&amp;"_"&amp;IF(F1706="","Unknown",F1706)&amp;IF(F1706="Commemorative",IF(G1706="","","_"&amp;SUBSTITUTE(SUBSTITUTE(SUBSTITUTE(G1706," ","-"),"/","-"),CHAR(39),"")),"")&amp;IF(I1706="Duplicate","_Dub"&amp;IF(SUMPRODUCT(($B$2:B1706=B1706)*($D$2:D1706=D1706)*($E$2:E1706=E1706)*($F$2:F1706=F1706)*($G$2:G1706=G1706)*($I$2:I1706="Duplicate"))&lt;=1,"",SUMPRODUCT(($B$2:B1706=B1706)*($D$2:D1706=D1706)*($E$2:E1706=E1706)*($F$2:F1706=F1706)*($G$2:G1706=G1706)*($I$2:I1706="Duplicate"))-1),"")&amp;".jpeg")</f>
        <v/>
      </c>
      <c r="L1706" s="6"/>
      <c r="M1706" s="5" t="str">
        <f>IFERROR(VLOOKUP(E1706,Specifications!$A$2:$D$9,2,FALSE),"")</f>
        <v/>
      </c>
      <c r="N1706" s="5" t="str">
        <f>IFERROR(VLOOKUP(E1706,Specifications!$A$2:$D$9,3,FALSE),"")</f>
        <v/>
      </c>
      <c r="O1706" s="5" t="str">
        <f>IFERROR(VLOOKUP(E1706,Specifications!$A$2:$D$9,4,FALSE),"")</f>
        <v/>
      </c>
      <c r="P1706" s="8" t="str">
        <f t="shared" si="81"/>
        <v/>
      </c>
      <c r="Q1706" s="9"/>
    </row>
    <row r="1707" spans="1:17" ht="15">
      <c r="A1707" s="5" t="str">
        <f t="shared" si="79"/>
        <v/>
      </c>
      <c r="B1707" s="6"/>
      <c r="C1707" s="5" t="str">
        <f>IFERROR(VLOOKUP(B1707,Lists!$A$2:$B$25,2,FALSE),"")</f>
        <v/>
      </c>
      <c r="D1707" s="7"/>
      <c r="E1707" s="6"/>
      <c r="F1707" s="6" t="str">
        <f t="shared" si="80"/>
        <v/>
      </c>
      <c r="G1707" s="6"/>
      <c r="H1707" s="6"/>
      <c r="I1707" s="6"/>
      <c r="J1707" s="7"/>
      <c r="K1707" s="5" t="str" cm="1">
        <f t="array" ref="K1707">IF(OR(A1707="",B1707="",D1707="",E1707=""),"",A1707&amp;"_"&amp;SUBSTITUTE(B1707," ","-")&amp;"_"&amp;D1707&amp;"_"&amp;SUBSTITUTE(SUBSTITUTE(E1707," ",""),"€","Euro")&amp;"_"&amp;IF(F1707="","Unknown",F1707)&amp;IF(F1707="Commemorative",IF(G1707="","","_"&amp;SUBSTITUTE(SUBSTITUTE(SUBSTITUTE(G1707," ","-"),"/","-"),CHAR(39),"")),"")&amp;IF(I1707="Duplicate","_Dub"&amp;IF(SUMPRODUCT(($B$2:B1707=B1707)*($D$2:D1707=D1707)*($E$2:E1707=E1707)*($F$2:F1707=F1707)*($G$2:G1707=G1707)*($I$2:I1707="Duplicate"))&lt;=1,"",SUMPRODUCT(($B$2:B1707=B1707)*($D$2:D1707=D1707)*($E$2:E1707=E1707)*($F$2:F1707=F1707)*($G$2:G1707=G1707)*($I$2:I1707="Duplicate"))-1),"")&amp;".jpeg")</f>
        <v/>
      </c>
      <c r="L1707" s="6"/>
      <c r="M1707" s="5" t="str">
        <f>IFERROR(VLOOKUP(E1707,Specifications!$A$2:$D$9,2,FALSE),"")</f>
        <v/>
      </c>
      <c r="N1707" s="5" t="str">
        <f>IFERROR(VLOOKUP(E1707,Specifications!$A$2:$D$9,3,FALSE),"")</f>
        <v/>
      </c>
      <c r="O1707" s="5" t="str">
        <f>IFERROR(VLOOKUP(E1707,Specifications!$A$2:$D$9,4,FALSE),"")</f>
        <v/>
      </c>
      <c r="P1707" s="8" t="str">
        <f t="shared" si="81"/>
        <v/>
      </c>
      <c r="Q1707" s="9"/>
    </row>
    <row r="1708" spans="1:17" ht="15">
      <c r="A1708" s="5" t="str">
        <f t="shared" si="79"/>
        <v/>
      </c>
      <c r="B1708" s="6"/>
      <c r="C1708" s="5" t="str">
        <f>IFERROR(VLOOKUP(B1708,Lists!$A$2:$B$25,2,FALSE),"")</f>
        <v/>
      </c>
      <c r="D1708" s="7"/>
      <c r="E1708" s="6"/>
      <c r="F1708" s="6" t="str">
        <f t="shared" si="80"/>
        <v/>
      </c>
      <c r="G1708" s="6"/>
      <c r="H1708" s="6"/>
      <c r="I1708" s="6"/>
      <c r="J1708" s="7"/>
      <c r="K1708" s="5" t="str" cm="1">
        <f t="array" ref="K1708">IF(OR(A1708="",B1708="",D1708="",E1708=""),"",A1708&amp;"_"&amp;SUBSTITUTE(B1708," ","-")&amp;"_"&amp;D1708&amp;"_"&amp;SUBSTITUTE(SUBSTITUTE(E1708," ",""),"€","Euro")&amp;"_"&amp;IF(F1708="","Unknown",F1708)&amp;IF(F1708="Commemorative",IF(G1708="","","_"&amp;SUBSTITUTE(SUBSTITUTE(SUBSTITUTE(G1708," ","-"),"/","-"),CHAR(39),"")),"")&amp;IF(I1708="Duplicate","_Dub"&amp;IF(SUMPRODUCT(($B$2:B1708=B1708)*($D$2:D1708=D1708)*($E$2:E1708=E1708)*($F$2:F1708=F1708)*($G$2:G1708=G1708)*($I$2:I1708="Duplicate"))&lt;=1,"",SUMPRODUCT(($B$2:B1708=B1708)*($D$2:D1708=D1708)*($E$2:E1708=E1708)*($F$2:F1708=F1708)*($G$2:G1708=G1708)*($I$2:I1708="Duplicate"))-1),"")&amp;".jpeg")</f>
        <v/>
      </c>
      <c r="L1708" s="6"/>
      <c r="M1708" s="5" t="str">
        <f>IFERROR(VLOOKUP(E1708,Specifications!$A$2:$D$9,2,FALSE),"")</f>
        <v/>
      </c>
      <c r="N1708" s="5" t="str">
        <f>IFERROR(VLOOKUP(E1708,Specifications!$A$2:$D$9,3,FALSE),"")</f>
        <v/>
      </c>
      <c r="O1708" s="5" t="str">
        <f>IFERROR(VLOOKUP(E1708,Specifications!$A$2:$D$9,4,FALSE),"")</f>
        <v/>
      </c>
      <c r="P1708" s="8" t="str">
        <f t="shared" si="81"/>
        <v/>
      </c>
      <c r="Q1708" s="9"/>
    </row>
    <row r="1709" spans="1:17" ht="15">
      <c r="A1709" s="5" t="str">
        <f t="shared" si="79"/>
        <v/>
      </c>
      <c r="B1709" s="6"/>
      <c r="C1709" s="5" t="str">
        <f>IFERROR(VLOOKUP(B1709,Lists!$A$2:$B$25,2,FALSE),"")</f>
        <v/>
      </c>
      <c r="D1709" s="7"/>
      <c r="E1709" s="6"/>
      <c r="F1709" s="6" t="str">
        <f t="shared" si="80"/>
        <v/>
      </c>
      <c r="G1709" s="6"/>
      <c r="H1709" s="6"/>
      <c r="I1709" s="6"/>
      <c r="J1709" s="7"/>
      <c r="K1709" s="5" t="str" cm="1">
        <f t="array" ref="K1709">IF(OR(A1709="",B1709="",D1709="",E1709=""),"",A1709&amp;"_"&amp;SUBSTITUTE(B1709," ","-")&amp;"_"&amp;D1709&amp;"_"&amp;SUBSTITUTE(SUBSTITUTE(E1709," ",""),"€","Euro")&amp;"_"&amp;IF(F1709="","Unknown",F1709)&amp;IF(F1709="Commemorative",IF(G1709="","","_"&amp;SUBSTITUTE(SUBSTITUTE(SUBSTITUTE(G1709," ","-"),"/","-"),CHAR(39),"")),"")&amp;IF(I1709="Duplicate","_Dub"&amp;IF(SUMPRODUCT(($B$2:B1709=B1709)*($D$2:D1709=D1709)*($E$2:E1709=E1709)*($F$2:F1709=F1709)*($G$2:G1709=G1709)*($I$2:I1709="Duplicate"))&lt;=1,"",SUMPRODUCT(($B$2:B1709=B1709)*($D$2:D1709=D1709)*($E$2:E1709=E1709)*($F$2:F1709=F1709)*($G$2:G1709=G1709)*($I$2:I1709="Duplicate"))-1),"")&amp;".jpeg")</f>
        <v/>
      </c>
      <c r="L1709" s="6"/>
      <c r="M1709" s="5" t="str">
        <f>IFERROR(VLOOKUP(E1709,Specifications!$A$2:$D$9,2,FALSE),"")</f>
        <v/>
      </c>
      <c r="N1709" s="5" t="str">
        <f>IFERROR(VLOOKUP(E1709,Specifications!$A$2:$D$9,3,FALSE),"")</f>
        <v/>
      </c>
      <c r="O1709" s="5" t="str">
        <f>IFERROR(VLOOKUP(E1709,Specifications!$A$2:$D$9,4,FALSE),"")</f>
        <v/>
      </c>
      <c r="P1709" s="8" t="str">
        <f t="shared" si="81"/>
        <v/>
      </c>
      <c r="Q1709" s="9"/>
    </row>
    <row r="1710" spans="1:17" ht="15">
      <c r="A1710" s="5" t="str">
        <f t="shared" si="79"/>
        <v/>
      </c>
      <c r="B1710" s="6"/>
      <c r="C1710" s="5" t="str">
        <f>IFERROR(VLOOKUP(B1710,Lists!$A$2:$B$25,2,FALSE),"")</f>
        <v/>
      </c>
      <c r="D1710" s="7"/>
      <c r="E1710" s="6"/>
      <c r="F1710" s="6" t="str">
        <f t="shared" si="80"/>
        <v/>
      </c>
      <c r="G1710" s="6"/>
      <c r="H1710" s="6"/>
      <c r="I1710" s="6"/>
      <c r="J1710" s="7"/>
      <c r="K1710" s="5" t="str" cm="1">
        <f t="array" ref="K1710">IF(OR(A1710="",B1710="",D1710="",E1710=""),"",A1710&amp;"_"&amp;SUBSTITUTE(B1710," ","-")&amp;"_"&amp;D1710&amp;"_"&amp;SUBSTITUTE(SUBSTITUTE(E1710," ",""),"€","Euro")&amp;"_"&amp;IF(F1710="","Unknown",F1710)&amp;IF(F1710="Commemorative",IF(G1710="","","_"&amp;SUBSTITUTE(SUBSTITUTE(SUBSTITUTE(G1710," ","-"),"/","-"),CHAR(39),"")),"")&amp;IF(I1710="Duplicate","_Dub"&amp;IF(SUMPRODUCT(($B$2:B1710=B1710)*($D$2:D1710=D1710)*($E$2:E1710=E1710)*($F$2:F1710=F1710)*($G$2:G1710=G1710)*($I$2:I1710="Duplicate"))&lt;=1,"",SUMPRODUCT(($B$2:B1710=B1710)*($D$2:D1710=D1710)*($E$2:E1710=E1710)*($F$2:F1710=F1710)*($G$2:G1710=G1710)*($I$2:I1710="Duplicate"))-1),"")&amp;".jpeg")</f>
        <v/>
      </c>
      <c r="L1710" s="6"/>
      <c r="M1710" s="5" t="str">
        <f>IFERROR(VLOOKUP(E1710,Specifications!$A$2:$D$9,2,FALSE),"")</f>
        <v/>
      </c>
      <c r="N1710" s="5" t="str">
        <f>IFERROR(VLOOKUP(E1710,Specifications!$A$2:$D$9,3,FALSE),"")</f>
        <v/>
      </c>
      <c r="O1710" s="5" t="str">
        <f>IFERROR(VLOOKUP(E1710,Specifications!$A$2:$D$9,4,FALSE),"")</f>
        <v/>
      </c>
      <c r="P1710" s="8" t="str">
        <f t="shared" si="81"/>
        <v/>
      </c>
      <c r="Q1710" s="9"/>
    </row>
    <row r="1711" spans="1:17" ht="15">
      <c r="A1711" s="5" t="str">
        <f t="shared" si="79"/>
        <v/>
      </c>
      <c r="B1711" s="6"/>
      <c r="C1711" s="5" t="str">
        <f>IFERROR(VLOOKUP(B1711,Lists!$A$2:$B$25,2,FALSE),"")</f>
        <v/>
      </c>
      <c r="D1711" s="7"/>
      <c r="E1711" s="6"/>
      <c r="F1711" s="6" t="str">
        <f t="shared" si="80"/>
        <v/>
      </c>
      <c r="G1711" s="6"/>
      <c r="H1711" s="6"/>
      <c r="I1711" s="6"/>
      <c r="J1711" s="7"/>
      <c r="K1711" s="5" t="str" cm="1">
        <f t="array" ref="K1711">IF(OR(A1711="",B1711="",D1711="",E1711=""),"",A1711&amp;"_"&amp;SUBSTITUTE(B1711," ","-")&amp;"_"&amp;D1711&amp;"_"&amp;SUBSTITUTE(SUBSTITUTE(E1711," ",""),"€","Euro")&amp;"_"&amp;IF(F1711="","Unknown",F1711)&amp;IF(F1711="Commemorative",IF(G1711="","","_"&amp;SUBSTITUTE(SUBSTITUTE(SUBSTITUTE(G1711," ","-"),"/","-"),CHAR(39),"")),"")&amp;IF(I1711="Duplicate","_Dub"&amp;IF(SUMPRODUCT(($B$2:B1711=B1711)*($D$2:D1711=D1711)*($E$2:E1711=E1711)*($F$2:F1711=F1711)*($G$2:G1711=G1711)*($I$2:I1711="Duplicate"))&lt;=1,"",SUMPRODUCT(($B$2:B1711=B1711)*($D$2:D1711=D1711)*($E$2:E1711=E1711)*($F$2:F1711=F1711)*($G$2:G1711=G1711)*($I$2:I1711="Duplicate"))-1),"")&amp;".jpeg")</f>
        <v/>
      </c>
      <c r="L1711" s="6"/>
      <c r="M1711" s="5" t="str">
        <f>IFERROR(VLOOKUP(E1711,Specifications!$A$2:$D$9,2,FALSE),"")</f>
        <v/>
      </c>
      <c r="N1711" s="5" t="str">
        <f>IFERROR(VLOOKUP(E1711,Specifications!$A$2:$D$9,3,FALSE),"")</f>
        <v/>
      </c>
      <c r="O1711" s="5" t="str">
        <f>IFERROR(VLOOKUP(E1711,Specifications!$A$2:$D$9,4,FALSE),"")</f>
        <v/>
      </c>
      <c r="P1711" s="8" t="str">
        <f t="shared" si="81"/>
        <v/>
      </c>
      <c r="Q1711" s="9"/>
    </row>
    <row r="1712" spans="1:17" ht="15">
      <c r="A1712" s="5" t="str">
        <f t="shared" si="79"/>
        <v/>
      </c>
      <c r="B1712" s="6"/>
      <c r="C1712" s="5" t="str">
        <f>IFERROR(VLOOKUP(B1712,Lists!$A$2:$B$25,2,FALSE),"")</f>
        <v/>
      </c>
      <c r="D1712" s="7"/>
      <c r="E1712" s="6"/>
      <c r="F1712" s="6" t="str">
        <f t="shared" si="80"/>
        <v/>
      </c>
      <c r="G1712" s="6"/>
      <c r="H1712" s="6"/>
      <c r="I1712" s="6"/>
      <c r="J1712" s="7"/>
      <c r="K1712" s="5" t="str" cm="1">
        <f t="array" ref="K1712">IF(OR(A1712="",B1712="",D1712="",E1712=""),"",A1712&amp;"_"&amp;SUBSTITUTE(B1712," ","-")&amp;"_"&amp;D1712&amp;"_"&amp;SUBSTITUTE(SUBSTITUTE(E1712," ",""),"€","Euro")&amp;"_"&amp;IF(F1712="","Unknown",F1712)&amp;IF(F1712="Commemorative",IF(G1712="","","_"&amp;SUBSTITUTE(SUBSTITUTE(SUBSTITUTE(G1712," ","-"),"/","-"),CHAR(39),"")),"")&amp;IF(I1712="Duplicate","_Dub"&amp;IF(SUMPRODUCT(($B$2:B1712=B1712)*($D$2:D1712=D1712)*($E$2:E1712=E1712)*($F$2:F1712=F1712)*($G$2:G1712=G1712)*($I$2:I1712="Duplicate"))&lt;=1,"",SUMPRODUCT(($B$2:B1712=B1712)*($D$2:D1712=D1712)*($E$2:E1712=E1712)*($F$2:F1712=F1712)*($G$2:G1712=G1712)*($I$2:I1712="Duplicate"))-1),"")&amp;".jpeg")</f>
        <v/>
      </c>
      <c r="L1712" s="6"/>
      <c r="M1712" s="5" t="str">
        <f>IFERROR(VLOOKUP(E1712,Specifications!$A$2:$D$9,2,FALSE),"")</f>
        <v/>
      </c>
      <c r="N1712" s="5" t="str">
        <f>IFERROR(VLOOKUP(E1712,Specifications!$A$2:$D$9,3,FALSE),"")</f>
        <v/>
      </c>
      <c r="O1712" s="5" t="str">
        <f>IFERROR(VLOOKUP(E1712,Specifications!$A$2:$D$9,4,FALSE),"")</f>
        <v/>
      </c>
      <c r="P1712" s="8" t="str">
        <f t="shared" si="81"/>
        <v/>
      </c>
      <c r="Q1712" s="9"/>
    </row>
    <row r="1713" spans="1:17" ht="15">
      <c r="A1713" s="5" t="str">
        <f t="shared" si="79"/>
        <v/>
      </c>
      <c r="B1713" s="6"/>
      <c r="C1713" s="5" t="str">
        <f>IFERROR(VLOOKUP(B1713,Lists!$A$2:$B$25,2,FALSE),"")</f>
        <v/>
      </c>
      <c r="D1713" s="7"/>
      <c r="E1713" s="6"/>
      <c r="F1713" s="6" t="str">
        <f t="shared" si="80"/>
        <v/>
      </c>
      <c r="G1713" s="6"/>
      <c r="H1713" s="6"/>
      <c r="I1713" s="6"/>
      <c r="J1713" s="7"/>
      <c r="K1713" s="5" t="str" cm="1">
        <f t="array" ref="K1713">IF(OR(A1713="",B1713="",D1713="",E1713=""),"",A1713&amp;"_"&amp;SUBSTITUTE(B1713," ","-")&amp;"_"&amp;D1713&amp;"_"&amp;SUBSTITUTE(SUBSTITUTE(E1713," ",""),"€","Euro")&amp;"_"&amp;IF(F1713="","Unknown",F1713)&amp;IF(F1713="Commemorative",IF(G1713="","","_"&amp;SUBSTITUTE(SUBSTITUTE(SUBSTITUTE(G1713," ","-"),"/","-"),CHAR(39),"")),"")&amp;IF(I1713="Duplicate","_Dub"&amp;IF(SUMPRODUCT(($B$2:B1713=B1713)*($D$2:D1713=D1713)*($E$2:E1713=E1713)*($F$2:F1713=F1713)*($G$2:G1713=G1713)*($I$2:I1713="Duplicate"))&lt;=1,"",SUMPRODUCT(($B$2:B1713=B1713)*($D$2:D1713=D1713)*($E$2:E1713=E1713)*($F$2:F1713=F1713)*($G$2:G1713=G1713)*($I$2:I1713="Duplicate"))-1),"")&amp;".jpeg")</f>
        <v/>
      </c>
      <c r="L1713" s="6"/>
      <c r="M1713" s="5" t="str">
        <f>IFERROR(VLOOKUP(E1713,Specifications!$A$2:$D$9,2,FALSE),"")</f>
        <v/>
      </c>
      <c r="N1713" s="5" t="str">
        <f>IFERROR(VLOOKUP(E1713,Specifications!$A$2:$D$9,3,FALSE),"")</f>
        <v/>
      </c>
      <c r="O1713" s="5" t="str">
        <f>IFERROR(VLOOKUP(E1713,Specifications!$A$2:$D$9,4,FALSE),"")</f>
        <v/>
      </c>
      <c r="P1713" s="8" t="str">
        <f t="shared" si="81"/>
        <v/>
      </c>
      <c r="Q1713" s="9"/>
    </row>
    <row r="1714" spans="1:17" ht="15">
      <c r="A1714" s="5" t="str">
        <f t="shared" si="79"/>
        <v/>
      </c>
      <c r="B1714" s="6"/>
      <c r="C1714" s="5" t="str">
        <f>IFERROR(VLOOKUP(B1714,Lists!$A$2:$B$25,2,FALSE),"")</f>
        <v/>
      </c>
      <c r="D1714" s="7"/>
      <c r="E1714" s="6"/>
      <c r="F1714" s="6" t="str">
        <f t="shared" si="80"/>
        <v/>
      </c>
      <c r="G1714" s="6"/>
      <c r="H1714" s="6"/>
      <c r="I1714" s="6"/>
      <c r="J1714" s="7"/>
      <c r="K1714" s="5" t="str" cm="1">
        <f t="array" ref="K1714">IF(OR(A1714="",B1714="",D1714="",E1714=""),"",A1714&amp;"_"&amp;SUBSTITUTE(B1714," ","-")&amp;"_"&amp;D1714&amp;"_"&amp;SUBSTITUTE(SUBSTITUTE(E1714," ",""),"€","Euro")&amp;"_"&amp;IF(F1714="","Unknown",F1714)&amp;IF(F1714="Commemorative",IF(G1714="","","_"&amp;SUBSTITUTE(SUBSTITUTE(SUBSTITUTE(G1714," ","-"),"/","-"),CHAR(39),"")),"")&amp;IF(I1714="Duplicate","_Dub"&amp;IF(SUMPRODUCT(($B$2:B1714=B1714)*($D$2:D1714=D1714)*($E$2:E1714=E1714)*($F$2:F1714=F1714)*($G$2:G1714=G1714)*($I$2:I1714="Duplicate"))&lt;=1,"",SUMPRODUCT(($B$2:B1714=B1714)*($D$2:D1714=D1714)*($E$2:E1714=E1714)*($F$2:F1714=F1714)*($G$2:G1714=G1714)*($I$2:I1714="Duplicate"))-1),"")&amp;".jpeg")</f>
        <v/>
      </c>
      <c r="L1714" s="6"/>
      <c r="M1714" s="5" t="str">
        <f>IFERROR(VLOOKUP(E1714,Specifications!$A$2:$D$9,2,FALSE),"")</f>
        <v/>
      </c>
      <c r="N1714" s="5" t="str">
        <f>IFERROR(VLOOKUP(E1714,Specifications!$A$2:$D$9,3,FALSE),"")</f>
        <v/>
      </c>
      <c r="O1714" s="5" t="str">
        <f>IFERROR(VLOOKUP(E1714,Specifications!$A$2:$D$9,4,FALSE),"")</f>
        <v/>
      </c>
      <c r="P1714" s="8" t="str">
        <f t="shared" si="81"/>
        <v/>
      </c>
      <c r="Q1714" s="9"/>
    </row>
    <row r="1715" spans="1:17" ht="15">
      <c r="A1715" s="5" t="str">
        <f t="shared" si="79"/>
        <v/>
      </c>
      <c r="B1715" s="6"/>
      <c r="C1715" s="5" t="str">
        <f>IFERROR(VLOOKUP(B1715,Lists!$A$2:$B$25,2,FALSE),"")</f>
        <v/>
      </c>
      <c r="D1715" s="7"/>
      <c r="E1715" s="6"/>
      <c r="F1715" s="6" t="str">
        <f t="shared" si="80"/>
        <v/>
      </c>
      <c r="G1715" s="6"/>
      <c r="H1715" s="6"/>
      <c r="I1715" s="6"/>
      <c r="J1715" s="7"/>
      <c r="K1715" s="5" t="str" cm="1">
        <f t="array" ref="K1715">IF(OR(A1715="",B1715="",D1715="",E1715=""),"",A1715&amp;"_"&amp;SUBSTITUTE(B1715," ","-")&amp;"_"&amp;D1715&amp;"_"&amp;SUBSTITUTE(SUBSTITUTE(E1715," ",""),"€","Euro")&amp;"_"&amp;IF(F1715="","Unknown",F1715)&amp;IF(F1715="Commemorative",IF(G1715="","","_"&amp;SUBSTITUTE(SUBSTITUTE(SUBSTITUTE(G1715," ","-"),"/","-"),CHAR(39),"")),"")&amp;IF(I1715="Duplicate","_Dub"&amp;IF(SUMPRODUCT(($B$2:B1715=B1715)*($D$2:D1715=D1715)*($E$2:E1715=E1715)*($F$2:F1715=F1715)*($G$2:G1715=G1715)*($I$2:I1715="Duplicate"))&lt;=1,"",SUMPRODUCT(($B$2:B1715=B1715)*($D$2:D1715=D1715)*($E$2:E1715=E1715)*($F$2:F1715=F1715)*($G$2:G1715=G1715)*($I$2:I1715="Duplicate"))-1),"")&amp;".jpeg")</f>
        <v/>
      </c>
      <c r="L1715" s="6"/>
      <c r="M1715" s="5" t="str">
        <f>IFERROR(VLOOKUP(E1715,Specifications!$A$2:$D$9,2,FALSE),"")</f>
        <v/>
      </c>
      <c r="N1715" s="5" t="str">
        <f>IFERROR(VLOOKUP(E1715,Specifications!$A$2:$D$9,3,FALSE),"")</f>
        <v/>
      </c>
      <c r="O1715" s="5" t="str">
        <f>IFERROR(VLOOKUP(E1715,Specifications!$A$2:$D$9,4,FALSE),"")</f>
        <v/>
      </c>
      <c r="P1715" s="8" t="str">
        <f t="shared" si="81"/>
        <v/>
      </c>
      <c r="Q1715" s="9"/>
    </row>
    <row r="1716" spans="1:17" ht="15">
      <c r="A1716" s="5" t="str">
        <f t="shared" si="79"/>
        <v/>
      </c>
      <c r="B1716" s="6"/>
      <c r="C1716" s="5" t="str">
        <f>IFERROR(VLOOKUP(B1716,Lists!$A$2:$B$25,2,FALSE),"")</f>
        <v/>
      </c>
      <c r="D1716" s="7"/>
      <c r="E1716" s="6"/>
      <c r="F1716" s="6" t="str">
        <f t="shared" si="80"/>
        <v/>
      </c>
      <c r="G1716" s="6"/>
      <c r="H1716" s="6"/>
      <c r="I1716" s="6"/>
      <c r="J1716" s="7"/>
      <c r="K1716" s="5" t="str" cm="1">
        <f t="array" ref="K1716">IF(OR(A1716="",B1716="",D1716="",E1716=""),"",A1716&amp;"_"&amp;SUBSTITUTE(B1716," ","-")&amp;"_"&amp;D1716&amp;"_"&amp;SUBSTITUTE(SUBSTITUTE(E1716," ",""),"€","Euro")&amp;"_"&amp;IF(F1716="","Unknown",F1716)&amp;IF(F1716="Commemorative",IF(G1716="","","_"&amp;SUBSTITUTE(SUBSTITUTE(SUBSTITUTE(G1716," ","-"),"/","-"),CHAR(39),"")),"")&amp;IF(I1716="Duplicate","_Dub"&amp;IF(SUMPRODUCT(($B$2:B1716=B1716)*($D$2:D1716=D1716)*($E$2:E1716=E1716)*($F$2:F1716=F1716)*($G$2:G1716=G1716)*($I$2:I1716="Duplicate"))&lt;=1,"",SUMPRODUCT(($B$2:B1716=B1716)*($D$2:D1716=D1716)*($E$2:E1716=E1716)*($F$2:F1716=F1716)*($G$2:G1716=G1716)*($I$2:I1716="Duplicate"))-1),"")&amp;".jpeg")</f>
        <v/>
      </c>
      <c r="L1716" s="6"/>
      <c r="M1716" s="5" t="str">
        <f>IFERROR(VLOOKUP(E1716,Specifications!$A$2:$D$9,2,FALSE),"")</f>
        <v/>
      </c>
      <c r="N1716" s="5" t="str">
        <f>IFERROR(VLOOKUP(E1716,Specifications!$A$2:$D$9,3,FALSE),"")</f>
        <v/>
      </c>
      <c r="O1716" s="5" t="str">
        <f>IFERROR(VLOOKUP(E1716,Specifications!$A$2:$D$9,4,FALSE),"")</f>
        <v/>
      </c>
      <c r="P1716" s="8" t="str">
        <f t="shared" si="81"/>
        <v/>
      </c>
      <c r="Q1716" s="9"/>
    </row>
    <row r="1717" spans="1:17" ht="15">
      <c r="A1717" s="5" t="str">
        <f t="shared" si="79"/>
        <v/>
      </c>
      <c r="B1717" s="6"/>
      <c r="C1717" s="5" t="str">
        <f>IFERROR(VLOOKUP(B1717,Lists!$A$2:$B$25,2,FALSE),"")</f>
        <v/>
      </c>
      <c r="D1717" s="7"/>
      <c r="E1717" s="6"/>
      <c r="F1717" s="6" t="str">
        <f t="shared" si="80"/>
        <v/>
      </c>
      <c r="G1717" s="6"/>
      <c r="H1717" s="6"/>
      <c r="I1717" s="6"/>
      <c r="J1717" s="7"/>
      <c r="K1717" s="5" t="str" cm="1">
        <f t="array" ref="K1717">IF(OR(A1717="",B1717="",D1717="",E1717=""),"",A1717&amp;"_"&amp;SUBSTITUTE(B1717," ","-")&amp;"_"&amp;D1717&amp;"_"&amp;SUBSTITUTE(SUBSTITUTE(E1717," ",""),"€","Euro")&amp;"_"&amp;IF(F1717="","Unknown",F1717)&amp;IF(F1717="Commemorative",IF(G1717="","","_"&amp;SUBSTITUTE(SUBSTITUTE(SUBSTITUTE(G1717," ","-"),"/","-"),CHAR(39),"")),"")&amp;IF(I1717="Duplicate","_Dub"&amp;IF(SUMPRODUCT(($B$2:B1717=B1717)*($D$2:D1717=D1717)*($E$2:E1717=E1717)*($F$2:F1717=F1717)*($G$2:G1717=G1717)*($I$2:I1717="Duplicate"))&lt;=1,"",SUMPRODUCT(($B$2:B1717=B1717)*($D$2:D1717=D1717)*($E$2:E1717=E1717)*($F$2:F1717=F1717)*($G$2:G1717=G1717)*($I$2:I1717="Duplicate"))-1),"")&amp;".jpeg")</f>
        <v/>
      </c>
      <c r="L1717" s="6"/>
      <c r="M1717" s="5" t="str">
        <f>IFERROR(VLOOKUP(E1717,Specifications!$A$2:$D$9,2,FALSE),"")</f>
        <v/>
      </c>
      <c r="N1717" s="5" t="str">
        <f>IFERROR(VLOOKUP(E1717,Specifications!$A$2:$D$9,3,FALSE),"")</f>
        <v/>
      </c>
      <c r="O1717" s="5" t="str">
        <f>IFERROR(VLOOKUP(E1717,Specifications!$A$2:$D$9,4,FALSE),"")</f>
        <v/>
      </c>
      <c r="P1717" s="8" t="str">
        <f t="shared" si="81"/>
        <v/>
      </c>
      <c r="Q1717" s="9"/>
    </row>
    <row r="1718" spans="1:17" ht="15">
      <c r="A1718" s="5" t="str">
        <f t="shared" si="79"/>
        <v/>
      </c>
      <c r="B1718" s="6"/>
      <c r="C1718" s="5" t="str">
        <f>IFERROR(VLOOKUP(B1718,Lists!$A$2:$B$25,2,FALSE),"")</f>
        <v/>
      </c>
      <c r="D1718" s="7"/>
      <c r="E1718" s="6"/>
      <c r="F1718" s="6" t="str">
        <f t="shared" si="80"/>
        <v/>
      </c>
      <c r="G1718" s="6"/>
      <c r="H1718" s="6"/>
      <c r="I1718" s="6"/>
      <c r="J1718" s="7"/>
      <c r="K1718" s="5" t="str" cm="1">
        <f t="array" ref="K1718">IF(OR(A1718="",B1718="",D1718="",E1718=""),"",A1718&amp;"_"&amp;SUBSTITUTE(B1718," ","-")&amp;"_"&amp;D1718&amp;"_"&amp;SUBSTITUTE(SUBSTITUTE(E1718," ",""),"€","Euro")&amp;"_"&amp;IF(F1718="","Unknown",F1718)&amp;IF(F1718="Commemorative",IF(G1718="","","_"&amp;SUBSTITUTE(SUBSTITUTE(SUBSTITUTE(G1718," ","-"),"/","-"),CHAR(39),"")),"")&amp;IF(I1718="Duplicate","_Dub"&amp;IF(SUMPRODUCT(($B$2:B1718=B1718)*($D$2:D1718=D1718)*($E$2:E1718=E1718)*($F$2:F1718=F1718)*($G$2:G1718=G1718)*($I$2:I1718="Duplicate"))&lt;=1,"",SUMPRODUCT(($B$2:B1718=B1718)*($D$2:D1718=D1718)*($E$2:E1718=E1718)*($F$2:F1718=F1718)*($G$2:G1718=G1718)*($I$2:I1718="Duplicate"))-1),"")&amp;".jpeg")</f>
        <v/>
      </c>
      <c r="L1718" s="6"/>
      <c r="M1718" s="5" t="str">
        <f>IFERROR(VLOOKUP(E1718,Specifications!$A$2:$D$9,2,FALSE),"")</f>
        <v/>
      </c>
      <c r="N1718" s="5" t="str">
        <f>IFERROR(VLOOKUP(E1718,Specifications!$A$2:$D$9,3,FALSE),"")</f>
        <v/>
      </c>
      <c r="O1718" s="5" t="str">
        <f>IFERROR(VLOOKUP(E1718,Specifications!$A$2:$D$9,4,FALSE),"")</f>
        <v/>
      </c>
      <c r="P1718" s="8" t="str">
        <f t="shared" si="81"/>
        <v/>
      </c>
      <c r="Q1718" s="9"/>
    </row>
    <row r="1719" spans="1:17" ht="15">
      <c r="A1719" s="5" t="str">
        <f t="shared" si="79"/>
        <v/>
      </c>
      <c r="B1719" s="6"/>
      <c r="C1719" s="5" t="str">
        <f>IFERROR(VLOOKUP(B1719,Lists!$A$2:$B$25,2,FALSE),"")</f>
        <v/>
      </c>
      <c r="D1719" s="7"/>
      <c r="E1719" s="6"/>
      <c r="F1719" s="6" t="str">
        <f t="shared" si="80"/>
        <v/>
      </c>
      <c r="G1719" s="6"/>
      <c r="H1719" s="6"/>
      <c r="I1719" s="6"/>
      <c r="J1719" s="7"/>
      <c r="K1719" s="5" t="str" cm="1">
        <f t="array" ref="K1719">IF(OR(A1719="",B1719="",D1719="",E1719=""),"",A1719&amp;"_"&amp;SUBSTITUTE(B1719," ","-")&amp;"_"&amp;D1719&amp;"_"&amp;SUBSTITUTE(SUBSTITUTE(E1719," ",""),"€","Euro")&amp;"_"&amp;IF(F1719="","Unknown",F1719)&amp;IF(F1719="Commemorative",IF(G1719="","","_"&amp;SUBSTITUTE(SUBSTITUTE(SUBSTITUTE(G1719," ","-"),"/","-"),CHAR(39),"")),"")&amp;IF(I1719="Duplicate","_Dub"&amp;IF(SUMPRODUCT(($B$2:B1719=B1719)*($D$2:D1719=D1719)*($E$2:E1719=E1719)*($F$2:F1719=F1719)*($G$2:G1719=G1719)*($I$2:I1719="Duplicate"))&lt;=1,"",SUMPRODUCT(($B$2:B1719=B1719)*($D$2:D1719=D1719)*($E$2:E1719=E1719)*($F$2:F1719=F1719)*($G$2:G1719=G1719)*($I$2:I1719="Duplicate"))-1),"")&amp;".jpeg")</f>
        <v/>
      </c>
      <c r="L1719" s="6"/>
      <c r="M1719" s="5" t="str">
        <f>IFERROR(VLOOKUP(E1719,Specifications!$A$2:$D$9,2,FALSE),"")</f>
        <v/>
      </c>
      <c r="N1719" s="5" t="str">
        <f>IFERROR(VLOOKUP(E1719,Specifications!$A$2:$D$9,3,FALSE),"")</f>
        <v/>
      </c>
      <c r="O1719" s="5" t="str">
        <f>IFERROR(VLOOKUP(E1719,Specifications!$A$2:$D$9,4,FALSE),"")</f>
        <v/>
      </c>
      <c r="P1719" s="8" t="str">
        <f t="shared" si="81"/>
        <v/>
      </c>
      <c r="Q1719" s="9"/>
    </row>
    <row r="1720" spans="1:17" ht="15">
      <c r="A1720" s="5" t="str">
        <f t="shared" si="79"/>
        <v/>
      </c>
      <c r="B1720" s="6"/>
      <c r="C1720" s="5" t="str">
        <f>IFERROR(VLOOKUP(B1720,Lists!$A$2:$B$25,2,FALSE),"")</f>
        <v/>
      </c>
      <c r="D1720" s="7"/>
      <c r="E1720" s="6"/>
      <c r="F1720" s="6" t="str">
        <f t="shared" si="80"/>
        <v/>
      </c>
      <c r="G1720" s="6"/>
      <c r="H1720" s="6"/>
      <c r="I1720" s="6"/>
      <c r="J1720" s="7"/>
      <c r="K1720" s="5" t="str" cm="1">
        <f t="array" ref="K1720">IF(OR(A1720="",B1720="",D1720="",E1720=""),"",A1720&amp;"_"&amp;SUBSTITUTE(B1720," ","-")&amp;"_"&amp;D1720&amp;"_"&amp;SUBSTITUTE(SUBSTITUTE(E1720," ",""),"€","Euro")&amp;"_"&amp;IF(F1720="","Unknown",F1720)&amp;IF(F1720="Commemorative",IF(G1720="","","_"&amp;SUBSTITUTE(SUBSTITUTE(SUBSTITUTE(G1720," ","-"),"/","-"),CHAR(39),"")),"")&amp;IF(I1720="Duplicate","_Dub"&amp;IF(SUMPRODUCT(($B$2:B1720=B1720)*($D$2:D1720=D1720)*($E$2:E1720=E1720)*($F$2:F1720=F1720)*($G$2:G1720=G1720)*($I$2:I1720="Duplicate"))&lt;=1,"",SUMPRODUCT(($B$2:B1720=B1720)*($D$2:D1720=D1720)*($E$2:E1720=E1720)*($F$2:F1720=F1720)*($G$2:G1720=G1720)*($I$2:I1720="Duplicate"))-1),"")&amp;".jpeg")</f>
        <v/>
      </c>
      <c r="L1720" s="6"/>
      <c r="M1720" s="5" t="str">
        <f>IFERROR(VLOOKUP(E1720,Specifications!$A$2:$D$9,2,FALSE),"")</f>
        <v/>
      </c>
      <c r="N1720" s="5" t="str">
        <f>IFERROR(VLOOKUP(E1720,Specifications!$A$2:$D$9,3,FALSE),"")</f>
        <v/>
      </c>
      <c r="O1720" s="5" t="str">
        <f>IFERROR(VLOOKUP(E1720,Specifications!$A$2:$D$9,4,FALSE),"")</f>
        <v/>
      </c>
      <c r="P1720" s="8" t="str">
        <f t="shared" si="81"/>
        <v/>
      </c>
      <c r="Q1720" s="9"/>
    </row>
    <row r="1721" spans="1:17" ht="15">
      <c r="A1721" s="5" t="str">
        <f t="shared" si="79"/>
        <v/>
      </c>
      <c r="B1721" s="6"/>
      <c r="C1721" s="5" t="str">
        <f>IFERROR(VLOOKUP(B1721,Lists!$A$2:$B$25,2,FALSE),"")</f>
        <v/>
      </c>
      <c r="D1721" s="7"/>
      <c r="E1721" s="6"/>
      <c r="F1721" s="6" t="str">
        <f t="shared" si="80"/>
        <v/>
      </c>
      <c r="G1721" s="6"/>
      <c r="H1721" s="6"/>
      <c r="I1721" s="6"/>
      <c r="J1721" s="7"/>
      <c r="K1721" s="5" t="str" cm="1">
        <f t="array" ref="K1721">IF(OR(A1721="",B1721="",D1721="",E1721=""),"",A1721&amp;"_"&amp;SUBSTITUTE(B1721," ","-")&amp;"_"&amp;D1721&amp;"_"&amp;SUBSTITUTE(SUBSTITUTE(E1721," ",""),"€","Euro")&amp;"_"&amp;IF(F1721="","Unknown",F1721)&amp;IF(F1721="Commemorative",IF(G1721="","","_"&amp;SUBSTITUTE(SUBSTITUTE(SUBSTITUTE(G1721," ","-"),"/","-"),CHAR(39),"")),"")&amp;IF(I1721="Duplicate","_Dub"&amp;IF(SUMPRODUCT(($B$2:B1721=B1721)*($D$2:D1721=D1721)*($E$2:E1721=E1721)*($F$2:F1721=F1721)*($G$2:G1721=G1721)*($I$2:I1721="Duplicate"))&lt;=1,"",SUMPRODUCT(($B$2:B1721=B1721)*($D$2:D1721=D1721)*($E$2:E1721=E1721)*($F$2:F1721=F1721)*($G$2:G1721=G1721)*($I$2:I1721="Duplicate"))-1),"")&amp;".jpeg")</f>
        <v/>
      </c>
      <c r="L1721" s="6"/>
      <c r="M1721" s="5" t="str">
        <f>IFERROR(VLOOKUP(E1721,Specifications!$A$2:$D$9,2,FALSE),"")</f>
        <v/>
      </c>
      <c r="N1721" s="5" t="str">
        <f>IFERROR(VLOOKUP(E1721,Specifications!$A$2:$D$9,3,FALSE),"")</f>
        <v/>
      </c>
      <c r="O1721" s="5" t="str">
        <f>IFERROR(VLOOKUP(E1721,Specifications!$A$2:$D$9,4,FALSE),"")</f>
        <v/>
      </c>
      <c r="P1721" s="8" t="str">
        <f t="shared" si="81"/>
        <v/>
      </c>
      <c r="Q1721" s="9"/>
    </row>
    <row r="1722" spans="1:17" ht="15">
      <c r="A1722" s="5" t="str">
        <f t="shared" si="79"/>
        <v/>
      </c>
      <c r="B1722" s="6"/>
      <c r="C1722" s="5" t="str">
        <f>IFERROR(VLOOKUP(B1722,Lists!$A$2:$B$25,2,FALSE),"")</f>
        <v/>
      </c>
      <c r="D1722" s="7"/>
      <c r="E1722" s="6"/>
      <c r="F1722" s="6" t="str">
        <f t="shared" si="80"/>
        <v/>
      </c>
      <c r="G1722" s="6"/>
      <c r="H1722" s="6"/>
      <c r="I1722" s="6"/>
      <c r="J1722" s="7"/>
      <c r="K1722" s="5" t="str" cm="1">
        <f t="array" ref="K1722">IF(OR(A1722="",B1722="",D1722="",E1722=""),"",A1722&amp;"_"&amp;SUBSTITUTE(B1722," ","-")&amp;"_"&amp;D1722&amp;"_"&amp;SUBSTITUTE(SUBSTITUTE(E1722," ",""),"€","Euro")&amp;"_"&amp;IF(F1722="","Unknown",F1722)&amp;IF(F1722="Commemorative",IF(G1722="","","_"&amp;SUBSTITUTE(SUBSTITUTE(SUBSTITUTE(G1722," ","-"),"/","-"),CHAR(39),"")),"")&amp;IF(I1722="Duplicate","_Dub"&amp;IF(SUMPRODUCT(($B$2:B1722=B1722)*($D$2:D1722=D1722)*($E$2:E1722=E1722)*($F$2:F1722=F1722)*($G$2:G1722=G1722)*($I$2:I1722="Duplicate"))&lt;=1,"",SUMPRODUCT(($B$2:B1722=B1722)*($D$2:D1722=D1722)*($E$2:E1722=E1722)*($F$2:F1722=F1722)*($G$2:G1722=G1722)*($I$2:I1722="Duplicate"))-1),"")&amp;".jpeg")</f>
        <v/>
      </c>
      <c r="L1722" s="6"/>
      <c r="M1722" s="5" t="str">
        <f>IFERROR(VLOOKUP(E1722,Specifications!$A$2:$D$9,2,FALSE),"")</f>
        <v/>
      </c>
      <c r="N1722" s="5" t="str">
        <f>IFERROR(VLOOKUP(E1722,Specifications!$A$2:$D$9,3,FALSE),"")</f>
        <v/>
      </c>
      <c r="O1722" s="5" t="str">
        <f>IFERROR(VLOOKUP(E1722,Specifications!$A$2:$D$9,4,FALSE),"")</f>
        <v/>
      </c>
      <c r="P1722" s="8" t="str">
        <f t="shared" si="81"/>
        <v/>
      </c>
      <c r="Q1722" s="9"/>
    </row>
    <row r="1723" spans="1:17" ht="15">
      <c r="A1723" s="5" t="str">
        <f t="shared" si="79"/>
        <v/>
      </c>
      <c r="B1723" s="6"/>
      <c r="C1723" s="5" t="str">
        <f>IFERROR(VLOOKUP(B1723,Lists!$A$2:$B$25,2,FALSE),"")</f>
        <v/>
      </c>
      <c r="D1723" s="7"/>
      <c r="E1723" s="6"/>
      <c r="F1723" s="6" t="str">
        <f t="shared" si="80"/>
        <v/>
      </c>
      <c r="G1723" s="6"/>
      <c r="H1723" s="6"/>
      <c r="I1723" s="6"/>
      <c r="J1723" s="7"/>
      <c r="K1723" s="5" t="str" cm="1">
        <f t="array" ref="K1723">IF(OR(A1723="",B1723="",D1723="",E1723=""),"",A1723&amp;"_"&amp;SUBSTITUTE(B1723," ","-")&amp;"_"&amp;D1723&amp;"_"&amp;SUBSTITUTE(SUBSTITUTE(E1723," ",""),"€","Euro")&amp;"_"&amp;IF(F1723="","Unknown",F1723)&amp;IF(F1723="Commemorative",IF(G1723="","","_"&amp;SUBSTITUTE(SUBSTITUTE(SUBSTITUTE(G1723," ","-"),"/","-"),CHAR(39),"")),"")&amp;IF(I1723="Duplicate","_Dub"&amp;IF(SUMPRODUCT(($B$2:B1723=B1723)*($D$2:D1723=D1723)*($E$2:E1723=E1723)*($F$2:F1723=F1723)*($G$2:G1723=G1723)*($I$2:I1723="Duplicate"))&lt;=1,"",SUMPRODUCT(($B$2:B1723=B1723)*($D$2:D1723=D1723)*($E$2:E1723=E1723)*($F$2:F1723=F1723)*($G$2:G1723=G1723)*($I$2:I1723="Duplicate"))-1),"")&amp;".jpeg")</f>
        <v/>
      </c>
      <c r="L1723" s="6"/>
      <c r="M1723" s="5" t="str">
        <f>IFERROR(VLOOKUP(E1723,Specifications!$A$2:$D$9,2,FALSE),"")</f>
        <v/>
      </c>
      <c r="N1723" s="5" t="str">
        <f>IFERROR(VLOOKUP(E1723,Specifications!$A$2:$D$9,3,FALSE),"")</f>
        <v/>
      </c>
      <c r="O1723" s="5" t="str">
        <f>IFERROR(VLOOKUP(E1723,Specifications!$A$2:$D$9,4,FALSE),"")</f>
        <v/>
      </c>
      <c r="P1723" s="8" t="str">
        <f t="shared" si="81"/>
        <v/>
      </c>
      <c r="Q1723" s="9"/>
    </row>
    <row r="1724" spans="1:17" ht="15">
      <c r="A1724" s="5" t="str">
        <f t="shared" si="79"/>
        <v/>
      </c>
      <c r="B1724" s="6"/>
      <c r="C1724" s="5" t="str">
        <f>IFERROR(VLOOKUP(B1724,Lists!$A$2:$B$25,2,FALSE),"")</f>
        <v/>
      </c>
      <c r="D1724" s="7"/>
      <c r="E1724" s="6"/>
      <c r="F1724" s="6" t="str">
        <f t="shared" si="80"/>
        <v/>
      </c>
      <c r="G1724" s="6"/>
      <c r="H1724" s="6"/>
      <c r="I1724" s="6"/>
      <c r="J1724" s="7"/>
      <c r="K1724" s="5" t="str" cm="1">
        <f t="array" ref="K1724">IF(OR(A1724="",B1724="",D1724="",E1724=""),"",A1724&amp;"_"&amp;SUBSTITUTE(B1724," ","-")&amp;"_"&amp;D1724&amp;"_"&amp;SUBSTITUTE(SUBSTITUTE(E1724," ",""),"€","Euro")&amp;"_"&amp;IF(F1724="","Unknown",F1724)&amp;IF(F1724="Commemorative",IF(G1724="","","_"&amp;SUBSTITUTE(SUBSTITUTE(SUBSTITUTE(G1724," ","-"),"/","-"),CHAR(39),"")),"")&amp;IF(I1724="Duplicate","_Dub"&amp;IF(SUMPRODUCT(($B$2:B1724=B1724)*($D$2:D1724=D1724)*($E$2:E1724=E1724)*($F$2:F1724=F1724)*($G$2:G1724=G1724)*($I$2:I1724="Duplicate"))&lt;=1,"",SUMPRODUCT(($B$2:B1724=B1724)*($D$2:D1724=D1724)*($E$2:E1724=E1724)*($F$2:F1724=F1724)*($G$2:G1724=G1724)*($I$2:I1724="Duplicate"))-1),"")&amp;".jpeg")</f>
        <v/>
      </c>
      <c r="L1724" s="6"/>
      <c r="M1724" s="5" t="str">
        <f>IFERROR(VLOOKUP(E1724,Specifications!$A$2:$D$9,2,FALSE),"")</f>
        <v/>
      </c>
      <c r="N1724" s="5" t="str">
        <f>IFERROR(VLOOKUP(E1724,Specifications!$A$2:$D$9,3,FALSE),"")</f>
        <v/>
      </c>
      <c r="O1724" s="5" t="str">
        <f>IFERROR(VLOOKUP(E1724,Specifications!$A$2:$D$9,4,FALSE),"")</f>
        <v/>
      </c>
      <c r="P1724" s="8" t="str">
        <f t="shared" si="81"/>
        <v/>
      </c>
      <c r="Q1724" s="9"/>
    </row>
    <row r="1725" spans="1:17" ht="15">
      <c r="A1725" s="5" t="str">
        <f t="shared" si="79"/>
        <v/>
      </c>
      <c r="B1725" s="6"/>
      <c r="C1725" s="5" t="str">
        <f>IFERROR(VLOOKUP(B1725,Lists!$A$2:$B$25,2,FALSE),"")</f>
        <v/>
      </c>
      <c r="D1725" s="7"/>
      <c r="E1725" s="6"/>
      <c r="F1725" s="6" t="str">
        <f t="shared" si="80"/>
        <v/>
      </c>
      <c r="G1725" s="6"/>
      <c r="H1725" s="6"/>
      <c r="I1725" s="6"/>
      <c r="J1725" s="7"/>
      <c r="K1725" s="5" t="str" cm="1">
        <f t="array" ref="K1725">IF(OR(A1725="",B1725="",D1725="",E1725=""),"",A1725&amp;"_"&amp;SUBSTITUTE(B1725," ","-")&amp;"_"&amp;D1725&amp;"_"&amp;SUBSTITUTE(SUBSTITUTE(E1725," ",""),"€","Euro")&amp;"_"&amp;IF(F1725="","Unknown",F1725)&amp;IF(F1725="Commemorative",IF(G1725="","","_"&amp;SUBSTITUTE(SUBSTITUTE(SUBSTITUTE(G1725," ","-"),"/","-"),CHAR(39),"")),"")&amp;IF(I1725="Duplicate","_Dub"&amp;IF(SUMPRODUCT(($B$2:B1725=B1725)*($D$2:D1725=D1725)*($E$2:E1725=E1725)*($F$2:F1725=F1725)*($G$2:G1725=G1725)*($I$2:I1725="Duplicate"))&lt;=1,"",SUMPRODUCT(($B$2:B1725=B1725)*($D$2:D1725=D1725)*($E$2:E1725=E1725)*($F$2:F1725=F1725)*($G$2:G1725=G1725)*($I$2:I1725="Duplicate"))-1),"")&amp;".jpeg")</f>
        <v/>
      </c>
      <c r="L1725" s="6"/>
      <c r="M1725" s="5" t="str">
        <f>IFERROR(VLOOKUP(E1725,Specifications!$A$2:$D$9,2,FALSE),"")</f>
        <v/>
      </c>
      <c r="N1725" s="5" t="str">
        <f>IFERROR(VLOOKUP(E1725,Specifications!$A$2:$D$9,3,FALSE),"")</f>
        <v/>
      </c>
      <c r="O1725" s="5" t="str">
        <f>IFERROR(VLOOKUP(E1725,Specifications!$A$2:$D$9,4,FALSE),"")</f>
        <v/>
      </c>
      <c r="P1725" s="8" t="str">
        <f t="shared" si="81"/>
        <v/>
      </c>
      <c r="Q1725" s="9"/>
    </row>
    <row r="1726" spans="1:17" ht="15">
      <c r="A1726" s="5" t="str">
        <f t="shared" si="79"/>
        <v/>
      </c>
      <c r="B1726" s="6"/>
      <c r="C1726" s="5" t="str">
        <f>IFERROR(VLOOKUP(B1726,Lists!$A$2:$B$25,2,FALSE),"")</f>
        <v/>
      </c>
      <c r="D1726" s="7"/>
      <c r="E1726" s="6"/>
      <c r="F1726" s="6" t="str">
        <f t="shared" si="80"/>
        <v/>
      </c>
      <c r="G1726" s="6"/>
      <c r="H1726" s="6"/>
      <c r="I1726" s="6"/>
      <c r="J1726" s="7"/>
      <c r="K1726" s="5" t="str" cm="1">
        <f t="array" ref="K1726">IF(OR(A1726="",B1726="",D1726="",E1726=""),"",A1726&amp;"_"&amp;SUBSTITUTE(B1726," ","-")&amp;"_"&amp;D1726&amp;"_"&amp;SUBSTITUTE(SUBSTITUTE(E1726," ",""),"€","Euro")&amp;"_"&amp;IF(F1726="","Unknown",F1726)&amp;IF(F1726="Commemorative",IF(G1726="","","_"&amp;SUBSTITUTE(SUBSTITUTE(SUBSTITUTE(G1726," ","-"),"/","-"),CHAR(39),"")),"")&amp;IF(I1726="Duplicate","_Dub"&amp;IF(SUMPRODUCT(($B$2:B1726=B1726)*($D$2:D1726=D1726)*($E$2:E1726=E1726)*($F$2:F1726=F1726)*($G$2:G1726=G1726)*($I$2:I1726="Duplicate"))&lt;=1,"",SUMPRODUCT(($B$2:B1726=B1726)*($D$2:D1726=D1726)*($E$2:E1726=E1726)*($F$2:F1726=F1726)*($G$2:G1726=G1726)*($I$2:I1726="Duplicate"))-1),"")&amp;".jpeg")</f>
        <v/>
      </c>
      <c r="L1726" s="6"/>
      <c r="M1726" s="5" t="str">
        <f>IFERROR(VLOOKUP(E1726,Specifications!$A$2:$D$9,2,FALSE),"")</f>
        <v/>
      </c>
      <c r="N1726" s="5" t="str">
        <f>IFERROR(VLOOKUP(E1726,Specifications!$A$2:$D$9,3,FALSE),"")</f>
        <v/>
      </c>
      <c r="O1726" s="5" t="str">
        <f>IFERROR(VLOOKUP(E1726,Specifications!$A$2:$D$9,4,FALSE),"")</f>
        <v/>
      </c>
      <c r="P1726" s="8" t="str">
        <f t="shared" si="81"/>
        <v/>
      </c>
      <c r="Q1726" s="9"/>
    </row>
    <row r="1727" spans="1:17" ht="15">
      <c r="A1727" s="5" t="str">
        <f t="shared" si="79"/>
        <v/>
      </c>
      <c r="B1727" s="6"/>
      <c r="C1727" s="5" t="str">
        <f>IFERROR(VLOOKUP(B1727,Lists!$A$2:$B$25,2,FALSE),"")</f>
        <v/>
      </c>
      <c r="D1727" s="7"/>
      <c r="E1727" s="6"/>
      <c r="F1727" s="6" t="str">
        <f t="shared" si="80"/>
        <v/>
      </c>
      <c r="G1727" s="6"/>
      <c r="H1727" s="6"/>
      <c r="I1727" s="6"/>
      <c r="J1727" s="7"/>
      <c r="K1727" s="5" t="str" cm="1">
        <f t="array" ref="K1727">IF(OR(A1727="",B1727="",D1727="",E1727=""),"",A1727&amp;"_"&amp;SUBSTITUTE(B1727," ","-")&amp;"_"&amp;D1727&amp;"_"&amp;SUBSTITUTE(SUBSTITUTE(E1727," ",""),"€","Euro")&amp;"_"&amp;IF(F1727="","Unknown",F1727)&amp;IF(F1727="Commemorative",IF(G1727="","","_"&amp;SUBSTITUTE(SUBSTITUTE(SUBSTITUTE(G1727," ","-"),"/","-"),CHAR(39),"")),"")&amp;IF(I1727="Duplicate","_Dub"&amp;IF(SUMPRODUCT(($B$2:B1727=B1727)*($D$2:D1727=D1727)*($E$2:E1727=E1727)*($F$2:F1727=F1727)*($G$2:G1727=G1727)*($I$2:I1727="Duplicate"))&lt;=1,"",SUMPRODUCT(($B$2:B1727=B1727)*($D$2:D1727=D1727)*($E$2:E1727=E1727)*($F$2:F1727=F1727)*($G$2:G1727=G1727)*($I$2:I1727="Duplicate"))-1),"")&amp;".jpeg")</f>
        <v/>
      </c>
      <c r="L1727" s="6"/>
      <c r="M1727" s="5" t="str">
        <f>IFERROR(VLOOKUP(E1727,Specifications!$A$2:$D$9,2,FALSE),"")</f>
        <v/>
      </c>
      <c r="N1727" s="5" t="str">
        <f>IFERROR(VLOOKUP(E1727,Specifications!$A$2:$D$9,3,FALSE),"")</f>
        <v/>
      </c>
      <c r="O1727" s="5" t="str">
        <f>IFERROR(VLOOKUP(E1727,Specifications!$A$2:$D$9,4,FALSE),"")</f>
        <v/>
      </c>
      <c r="P1727" s="8" t="str">
        <f t="shared" si="81"/>
        <v/>
      </c>
      <c r="Q1727" s="9"/>
    </row>
    <row r="1728" spans="1:17" ht="15">
      <c r="A1728" s="5" t="str">
        <f t="shared" si="79"/>
        <v/>
      </c>
      <c r="B1728" s="6"/>
      <c r="C1728" s="5" t="str">
        <f>IFERROR(VLOOKUP(B1728,Lists!$A$2:$B$25,2,FALSE),"")</f>
        <v/>
      </c>
      <c r="D1728" s="7"/>
      <c r="E1728" s="6"/>
      <c r="F1728" s="6" t="str">
        <f t="shared" si="80"/>
        <v/>
      </c>
      <c r="G1728" s="6"/>
      <c r="H1728" s="6"/>
      <c r="I1728" s="6"/>
      <c r="J1728" s="7"/>
      <c r="K1728" s="5" t="str" cm="1">
        <f t="array" ref="K1728">IF(OR(A1728="",B1728="",D1728="",E1728=""),"",A1728&amp;"_"&amp;SUBSTITUTE(B1728," ","-")&amp;"_"&amp;D1728&amp;"_"&amp;SUBSTITUTE(SUBSTITUTE(E1728," ",""),"€","Euro")&amp;"_"&amp;IF(F1728="","Unknown",F1728)&amp;IF(F1728="Commemorative",IF(G1728="","","_"&amp;SUBSTITUTE(SUBSTITUTE(SUBSTITUTE(G1728," ","-"),"/","-"),CHAR(39),"")),"")&amp;IF(I1728="Duplicate","_Dub"&amp;IF(SUMPRODUCT(($B$2:B1728=B1728)*($D$2:D1728=D1728)*($E$2:E1728=E1728)*($F$2:F1728=F1728)*($G$2:G1728=G1728)*($I$2:I1728="Duplicate"))&lt;=1,"",SUMPRODUCT(($B$2:B1728=B1728)*($D$2:D1728=D1728)*($E$2:E1728=E1728)*($F$2:F1728=F1728)*($G$2:G1728=G1728)*($I$2:I1728="Duplicate"))-1),"")&amp;".jpeg")</f>
        <v/>
      </c>
      <c r="L1728" s="6"/>
      <c r="M1728" s="5" t="str">
        <f>IFERROR(VLOOKUP(E1728,Specifications!$A$2:$D$9,2,FALSE),"")</f>
        <v/>
      </c>
      <c r="N1728" s="5" t="str">
        <f>IFERROR(VLOOKUP(E1728,Specifications!$A$2:$D$9,3,FALSE),"")</f>
        <v/>
      </c>
      <c r="O1728" s="5" t="str">
        <f>IFERROR(VLOOKUP(E1728,Specifications!$A$2:$D$9,4,FALSE),"")</f>
        <v/>
      </c>
      <c r="P1728" s="8" t="str">
        <f t="shared" si="81"/>
        <v/>
      </c>
      <c r="Q1728" s="9"/>
    </row>
    <row r="1729" spans="1:17" ht="15">
      <c r="A1729" s="5" t="str">
        <f t="shared" si="79"/>
        <v/>
      </c>
      <c r="B1729" s="6"/>
      <c r="C1729" s="5" t="str">
        <f>IFERROR(VLOOKUP(B1729,Lists!$A$2:$B$25,2,FALSE),"")</f>
        <v/>
      </c>
      <c r="D1729" s="7"/>
      <c r="E1729" s="6"/>
      <c r="F1729" s="6" t="str">
        <f t="shared" si="80"/>
        <v/>
      </c>
      <c r="G1729" s="6"/>
      <c r="H1729" s="6"/>
      <c r="I1729" s="6"/>
      <c r="J1729" s="7"/>
      <c r="K1729" s="5" t="str" cm="1">
        <f t="array" ref="K1729">IF(OR(A1729="",B1729="",D1729="",E1729=""),"",A1729&amp;"_"&amp;SUBSTITUTE(B1729," ","-")&amp;"_"&amp;D1729&amp;"_"&amp;SUBSTITUTE(SUBSTITUTE(E1729," ",""),"€","Euro")&amp;"_"&amp;IF(F1729="","Unknown",F1729)&amp;IF(F1729="Commemorative",IF(G1729="","","_"&amp;SUBSTITUTE(SUBSTITUTE(SUBSTITUTE(G1729," ","-"),"/","-"),CHAR(39),"")),"")&amp;IF(I1729="Duplicate","_Dub"&amp;IF(SUMPRODUCT(($B$2:B1729=B1729)*($D$2:D1729=D1729)*($E$2:E1729=E1729)*($F$2:F1729=F1729)*($G$2:G1729=G1729)*($I$2:I1729="Duplicate"))&lt;=1,"",SUMPRODUCT(($B$2:B1729=B1729)*($D$2:D1729=D1729)*($E$2:E1729=E1729)*($F$2:F1729=F1729)*($G$2:G1729=G1729)*($I$2:I1729="Duplicate"))-1),"")&amp;".jpeg")</f>
        <v/>
      </c>
      <c r="L1729" s="6"/>
      <c r="M1729" s="5" t="str">
        <f>IFERROR(VLOOKUP(E1729,Specifications!$A$2:$D$9,2,FALSE),"")</f>
        <v/>
      </c>
      <c r="N1729" s="5" t="str">
        <f>IFERROR(VLOOKUP(E1729,Specifications!$A$2:$D$9,3,FALSE),"")</f>
        <v/>
      </c>
      <c r="O1729" s="5" t="str">
        <f>IFERROR(VLOOKUP(E1729,Specifications!$A$2:$D$9,4,FALSE),"")</f>
        <v/>
      </c>
      <c r="P1729" s="8" t="str">
        <f t="shared" si="81"/>
        <v/>
      </c>
      <c r="Q1729" s="9"/>
    </row>
    <row r="1730" spans="1:17" ht="15">
      <c r="A1730" s="5" t="str">
        <f t="shared" ref="A1730:A1793" si="82">IF(B1730="","",TEXT(ROW()-1,"000"))</f>
        <v/>
      </c>
      <c r="B1730" s="6"/>
      <c r="C1730" s="5" t="str">
        <f>IFERROR(VLOOKUP(B1730,Lists!$A$2:$B$25,2,FALSE),"")</f>
        <v/>
      </c>
      <c r="D1730" s="7"/>
      <c r="E1730" s="6"/>
      <c r="F1730" s="6" t="str">
        <f t="shared" ref="F1730:F1793" si="83">IF(E1730="","",IF(E1730="2 €","", "Regular"))</f>
        <v/>
      </c>
      <c r="G1730" s="6"/>
      <c r="H1730" s="6"/>
      <c r="I1730" s="6"/>
      <c r="J1730" s="7"/>
      <c r="K1730" s="5" t="str" cm="1">
        <f t="array" ref="K1730">IF(OR(A1730="",B1730="",D1730="",E1730=""),"",A1730&amp;"_"&amp;SUBSTITUTE(B1730," ","-")&amp;"_"&amp;D1730&amp;"_"&amp;SUBSTITUTE(SUBSTITUTE(E1730," ",""),"€","Euro")&amp;"_"&amp;IF(F1730="","Unknown",F1730)&amp;IF(F1730="Commemorative",IF(G1730="","","_"&amp;SUBSTITUTE(SUBSTITUTE(SUBSTITUTE(G1730," ","-"),"/","-"),CHAR(39),"")),"")&amp;IF(I1730="Duplicate","_Dub"&amp;IF(SUMPRODUCT(($B$2:B1730=B1730)*($D$2:D1730=D1730)*($E$2:E1730=E1730)*($F$2:F1730=F1730)*($G$2:G1730=G1730)*($I$2:I1730="Duplicate"))&lt;=1,"",SUMPRODUCT(($B$2:B1730=B1730)*($D$2:D1730=D1730)*($E$2:E1730=E1730)*($F$2:F1730=F1730)*($G$2:G1730=G1730)*($I$2:I1730="Duplicate"))-1),"")&amp;".jpeg")</f>
        <v/>
      </c>
      <c r="L1730" s="6"/>
      <c r="M1730" s="5" t="str">
        <f>IFERROR(VLOOKUP(E1730,Specifications!$A$2:$D$9,2,FALSE),"")</f>
        <v/>
      </c>
      <c r="N1730" s="5" t="str">
        <f>IFERROR(VLOOKUP(E1730,Specifications!$A$2:$D$9,3,FALSE),"")</f>
        <v/>
      </c>
      <c r="O1730" s="5" t="str">
        <f>IFERROR(VLOOKUP(E1730,Specifications!$A$2:$D$9,4,FALSE),"")</f>
        <v/>
      </c>
      <c r="P1730" s="8" t="str">
        <f t="shared" ref="P1730:P1793" si="84">IF(OR(B1730="",E1730="",F1730=""),"",IF(F1730="Regular","Regular "&amp;E1730&amp;" circulation coin of "&amp;B1730&amp;".",IF(F1730="Commemorative",IF(G1730="","",E1730&amp;" commemorative coin of "&amp;B1730&amp;" – "&amp;G1730&amp;"."),"")))</f>
        <v/>
      </c>
      <c r="Q1730" s="9"/>
    </row>
    <row r="1731" spans="1:17" ht="15">
      <c r="A1731" s="5" t="str">
        <f t="shared" si="82"/>
        <v/>
      </c>
      <c r="B1731" s="6"/>
      <c r="C1731" s="5" t="str">
        <f>IFERROR(VLOOKUP(B1731,Lists!$A$2:$B$25,2,FALSE),"")</f>
        <v/>
      </c>
      <c r="D1731" s="7"/>
      <c r="E1731" s="6"/>
      <c r="F1731" s="6" t="str">
        <f t="shared" si="83"/>
        <v/>
      </c>
      <c r="G1731" s="6"/>
      <c r="H1731" s="6"/>
      <c r="I1731" s="6"/>
      <c r="J1731" s="7"/>
      <c r="K1731" s="5" t="str" cm="1">
        <f t="array" ref="K1731">IF(OR(A1731="",B1731="",D1731="",E1731=""),"",A1731&amp;"_"&amp;SUBSTITUTE(B1731," ","-")&amp;"_"&amp;D1731&amp;"_"&amp;SUBSTITUTE(SUBSTITUTE(E1731," ",""),"€","Euro")&amp;"_"&amp;IF(F1731="","Unknown",F1731)&amp;IF(F1731="Commemorative",IF(G1731="","","_"&amp;SUBSTITUTE(SUBSTITUTE(SUBSTITUTE(G1731," ","-"),"/","-"),CHAR(39),"")),"")&amp;IF(I1731="Duplicate","_Dub"&amp;IF(SUMPRODUCT(($B$2:B1731=B1731)*($D$2:D1731=D1731)*($E$2:E1731=E1731)*($F$2:F1731=F1731)*($G$2:G1731=G1731)*($I$2:I1731="Duplicate"))&lt;=1,"",SUMPRODUCT(($B$2:B1731=B1731)*($D$2:D1731=D1731)*($E$2:E1731=E1731)*($F$2:F1731=F1731)*($G$2:G1731=G1731)*($I$2:I1731="Duplicate"))-1),"")&amp;".jpeg")</f>
        <v/>
      </c>
      <c r="L1731" s="6"/>
      <c r="M1731" s="5" t="str">
        <f>IFERROR(VLOOKUP(E1731,Specifications!$A$2:$D$9,2,FALSE),"")</f>
        <v/>
      </c>
      <c r="N1731" s="5" t="str">
        <f>IFERROR(VLOOKUP(E1731,Specifications!$A$2:$D$9,3,FALSE),"")</f>
        <v/>
      </c>
      <c r="O1731" s="5" t="str">
        <f>IFERROR(VLOOKUP(E1731,Specifications!$A$2:$D$9,4,FALSE),"")</f>
        <v/>
      </c>
      <c r="P1731" s="8" t="str">
        <f t="shared" si="84"/>
        <v/>
      </c>
      <c r="Q1731" s="9"/>
    </row>
    <row r="1732" spans="1:17" ht="15">
      <c r="A1732" s="5" t="str">
        <f t="shared" si="82"/>
        <v/>
      </c>
      <c r="B1732" s="6"/>
      <c r="C1732" s="5" t="str">
        <f>IFERROR(VLOOKUP(B1732,Lists!$A$2:$B$25,2,FALSE),"")</f>
        <v/>
      </c>
      <c r="D1732" s="7"/>
      <c r="E1732" s="6"/>
      <c r="F1732" s="6" t="str">
        <f t="shared" si="83"/>
        <v/>
      </c>
      <c r="G1732" s="6"/>
      <c r="H1732" s="6"/>
      <c r="I1732" s="6"/>
      <c r="J1732" s="7"/>
      <c r="K1732" s="5" t="str" cm="1">
        <f t="array" ref="K1732">IF(OR(A1732="",B1732="",D1732="",E1732=""),"",A1732&amp;"_"&amp;SUBSTITUTE(B1732," ","-")&amp;"_"&amp;D1732&amp;"_"&amp;SUBSTITUTE(SUBSTITUTE(E1732," ",""),"€","Euro")&amp;"_"&amp;IF(F1732="","Unknown",F1732)&amp;IF(F1732="Commemorative",IF(G1732="","","_"&amp;SUBSTITUTE(SUBSTITUTE(SUBSTITUTE(G1732," ","-"),"/","-"),CHAR(39),"")),"")&amp;IF(I1732="Duplicate","_Dub"&amp;IF(SUMPRODUCT(($B$2:B1732=B1732)*($D$2:D1732=D1732)*($E$2:E1732=E1732)*($F$2:F1732=F1732)*($G$2:G1732=G1732)*($I$2:I1732="Duplicate"))&lt;=1,"",SUMPRODUCT(($B$2:B1732=B1732)*($D$2:D1732=D1732)*($E$2:E1732=E1732)*($F$2:F1732=F1732)*($G$2:G1732=G1732)*($I$2:I1732="Duplicate"))-1),"")&amp;".jpeg")</f>
        <v/>
      </c>
      <c r="L1732" s="6"/>
      <c r="M1732" s="5" t="str">
        <f>IFERROR(VLOOKUP(E1732,Specifications!$A$2:$D$9,2,FALSE),"")</f>
        <v/>
      </c>
      <c r="N1732" s="5" t="str">
        <f>IFERROR(VLOOKUP(E1732,Specifications!$A$2:$D$9,3,FALSE),"")</f>
        <v/>
      </c>
      <c r="O1732" s="5" t="str">
        <f>IFERROR(VLOOKUP(E1732,Specifications!$A$2:$D$9,4,FALSE),"")</f>
        <v/>
      </c>
      <c r="P1732" s="8" t="str">
        <f t="shared" si="84"/>
        <v/>
      </c>
      <c r="Q1732" s="9"/>
    </row>
    <row r="1733" spans="1:17" ht="15">
      <c r="A1733" s="5" t="str">
        <f t="shared" si="82"/>
        <v/>
      </c>
      <c r="B1733" s="6"/>
      <c r="C1733" s="5" t="str">
        <f>IFERROR(VLOOKUP(B1733,Lists!$A$2:$B$25,2,FALSE),"")</f>
        <v/>
      </c>
      <c r="D1733" s="7"/>
      <c r="E1733" s="6"/>
      <c r="F1733" s="6" t="str">
        <f t="shared" si="83"/>
        <v/>
      </c>
      <c r="G1733" s="6"/>
      <c r="H1733" s="6"/>
      <c r="I1733" s="6"/>
      <c r="J1733" s="7"/>
      <c r="K1733" s="5" t="str" cm="1">
        <f t="array" ref="K1733">IF(OR(A1733="",B1733="",D1733="",E1733=""),"",A1733&amp;"_"&amp;SUBSTITUTE(B1733," ","-")&amp;"_"&amp;D1733&amp;"_"&amp;SUBSTITUTE(SUBSTITUTE(E1733," ",""),"€","Euro")&amp;"_"&amp;IF(F1733="","Unknown",F1733)&amp;IF(F1733="Commemorative",IF(G1733="","","_"&amp;SUBSTITUTE(SUBSTITUTE(SUBSTITUTE(G1733," ","-"),"/","-"),CHAR(39),"")),"")&amp;IF(I1733="Duplicate","_Dub"&amp;IF(SUMPRODUCT(($B$2:B1733=B1733)*($D$2:D1733=D1733)*($E$2:E1733=E1733)*($F$2:F1733=F1733)*($G$2:G1733=G1733)*($I$2:I1733="Duplicate"))&lt;=1,"",SUMPRODUCT(($B$2:B1733=B1733)*($D$2:D1733=D1733)*($E$2:E1733=E1733)*($F$2:F1733=F1733)*($G$2:G1733=G1733)*($I$2:I1733="Duplicate"))-1),"")&amp;".jpeg")</f>
        <v/>
      </c>
      <c r="L1733" s="6"/>
      <c r="M1733" s="5" t="str">
        <f>IFERROR(VLOOKUP(E1733,Specifications!$A$2:$D$9,2,FALSE),"")</f>
        <v/>
      </c>
      <c r="N1733" s="5" t="str">
        <f>IFERROR(VLOOKUP(E1733,Specifications!$A$2:$D$9,3,FALSE),"")</f>
        <v/>
      </c>
      <c r="O1733" s="5" t="str">
        <f>IFERROR(VLOOKUP(E1733,Specifications!$A$2:$D$9,4,FALSE),"")</f>
        <v/>
      </c>
      <c r="P1733" s="8" t="str">
        <f t="shared" si="84"/>
        <v/>
      </c>
      <c r="Q1733" s="9"/>
    </row>
    <row r="1734" spans="1:17" ht="15">
      <c r="A1734" s="5" t="str">
        <f t="shared" si="82"/>
        <v/>
      </c>
      <c r="B1734" s="6"/>
      <c r="C1734" s="5" t="str">
        <f>IFERROR(VLOOKUP(B1734,Lists!$A$2:$B$25,2,FALSE),"")</f>
        <v/>
      </c>
      <c r="D1734" s="7"/>
      <c r="E1734" s="6"/>
      <c r="F1734" s="6" t="str">
        <f t="shared" si="83"/>
        <v/>
      </c>
      <c r="G1734" s="6"/>
      <c r="H1734" s="6"/>
      <c r="I1734" s="6"/>
      <c r="J1734" s="7"/>
      <c r="K1734" s="5" t="str" cm="1">
        <f t="array" ref="K1734">IF(OR(A1734="",B1734="",D1734="",E1734=""),"",A1734&amp;"_"&amp;SUBSTITUTE(B1734," ","-")&amp;"_"&amp;D1734&amp;"_"&amp;SUBSTITUTE(SUBSTITUTE(E1734," ",""),"€","Euro")&amp;"_"&amp;IF(F1734="","Unknown",F1734)&amp;IF(F1734="Commemorative",IF(G1734="","","_"&amp;SUBSTITUTE(SUBSTITUTE(SUBSTITUTE(G1734," ","-"),"/","-"),CHAR(39),"")),"")&amp;IF(I1734="Duplicate","_Dub"&amp;IF(SUMPRODUCT(($B$2:B1734=B1734)*($D$2:D1734=D1734)*($E$2:E1734=E1734)*($F$2:F1734=F1734)*($G$2:G1734=G1734)*($I$2:I1734="Duplicate"))&lt;=1,"",SUMPRODUCT(($B$2:B1734=B1734)*($D$2:D1734=D1734)*($E$2:E1734=E1734)*($F$2:F1734=F1734)*($G$2:G1734=G1734)*($I$2:I1734="Duplicate"))-1),"")&amp;".jpeg")</f>
        <v/>
      </c>
      <c r="L1734" s="6"/>
      <c r="M1734" s="5" t="str">
        <f>IFERROR(VLOOKUP(E1734,Specifications!$A$2:$D$9,2,FALSE),"")</f>
        <v/>
      </c>
      <c r="N1734" s="5" t="str">
        <f>IFERROR(VLOOKUP(E1734,Specifications!$A$2:$D$9,3,FALSE),"")</f>
        <v/>
      </c>
      <c r="O1734" s="5" t="str">
        <f>IFERROR(VLOOKUP(E1734,Specifications!$A$2:$D$9,4,FALSE),"")</f>
        <v/>
      </c>
      <c r="P1734" s="8" t="str">
        <f t="shared" si="84"/>
        <v/>
      </c>
      <c r="Q1734" s="9"/>
    </row>
    <row r="1735" spans="1:17" ht="15">
      <c r="A1735" s="5" t="str">
        <f t="shared" si="82"/>
        <v/>
      </c>
      <c r="B1735" s="6"/>
      <c r="C1735" s="5" t="str">
        <f>IFERROR(VLOOKUP(B1735,Lists!$A$2:$B$25,2,FALSE),"")</f>
        <v/>
      </c>
      <c r="D1735" s="7"/>
      <c r="E1735" s="6"/>
      <c r="F1735" s="6" t="str">
        <f t="shared" si="83"/>
        <v/>
      </c>
      <c r="G1735" s="6"/>
      <c r="H1735" s="6"/>
      <c r="I1735" s="6"/>
      <c r="J1735" s="7"/>
      <c r="K1735" s="5" t="str" cm="1">
        <f t="array" ref="K1735">IF(OR(A1735="",B1735="",D1735="",E1735=""),"",A1735&amp;"_"&amp;SUBSTITUTE(B1735," ","-")&amp;"_"&amp;D1735&amp;"_"&amp;SUBSTITUTE(SUBSTITUTE(E1735," ",""),"€","Euro")&amp;"_"&amp;IF(F1735="","Unknown",F1735)&amp;IF(F1735="Commemorative",IF(G1735="","","_"&amp;SUBSTITUTE(SUBSTITUTE(SUBSTITUTE(G1735," ","-"),"/","-"),CHAR(39),"")),"")&amp;IF(I1735="Duplicate","_Dub"&amp;IF(SUMPRODUCT(($B$2:B1735=B1735)*($D$2:D1735=D1735)*($E$2:E1735=E1735)*($F$2:F1735=F1735)*($G$2:G1735=G1735)*($I$2:I1735="Duplicate"))&lt;=1,"",SUMPRODUCT(($B$2:B1735=B1735)*($D$2:D1735=D1735)*($E$2:E1735=E1735)*($F$2:F1735=F1735)*($G$2:G1735=G1735)*($I$2:I1735="Duplicate"))-1),"")&amp;".jpeg")</f>
        <v/>
      </c>
      <c r="L1735" s="6"/>
      <c r="M1735" s="5" t="str">
        <f>IFERROR(VLOOKUP(E1735,Specifications!$A$2:$D$9,2,FALSE),"")</f>
        <v/>
      </c>
      <c r="N1735" s="5" t="str">
        <f>IFERROR(VLOOKUP(E1735,Specifications!$A$2:$D$9,3,FALSE),"")</f>
        <v/>
      </c>
      <c r="O1735" s="5" t="str">
        <f>IFERROR(VLOOKUP(E1735,Specifications!$A$2:$D$9,4,FALSE),"")</f>
        <v/>
      </c>
      <c r="P1735" s="8" t="str">
        <f t="shared" si="84"/>
        <v/>
      </c>
      <c r="Q1735" s="9"/>
    </row>
    <row r="1736" spans="1:17" ht="15">
      <c r="A1736" s="5" t="str">
        <f t="shared" si="82"/>
        <v/>
      </c>
      <c r="B1736" s="6"/>
      <c r="C1736" s="5" t="str">
        <f>IFERROR(VLOOKUP(B1736,Lists!$A$2:$B$25,2,FALSE),"")</f>
        <v/>
      </c>
      <c r="D1736" s="7"/>
      <c r="E1736" s="6"/>
      <c r="F1736" s="6" t="str">
        <f t="shared" si="83"/>
        <v/>
      </c>
      <c r="G1736" s="6"/>
      <c r="H1736" s="6"/>
      <c r="I1736" s="6"/>
      <c r="J1736" s="7"/>
      <c r="K1736" s="5" t="str" cm="1">
        <f t="array" ref="K1736">IF(OR(A1736="",B1736="",D1736="",E1736=""),"",A1736&amp;"_"&amp;SUBSTITUTE(B1736," ","-")&amp;"_"&amp;D1736&amp;"_"&amp;SUBSTITUTE(SUBSTITUTE(E1736," ",""),"€","Euro")&amp;"_"&amp;IF(F1736="","Unknown",F1736)&amp;IF(F1736="Commemorative",IF(G1736="","","_"&amp;SUBSTITUTE(SUBSTITUTE(SUBSTITUTE(G1736," ","-"),"/","-"),CHAR(39),"")),"")&amp;IF(I1736="Duplicate","_Dub"&amp;IF(SUMPRODUCT(($B$2:B1736=B1736)*($D$2:D1736=D1736)*($E$2:E1736=E1736)*($F$2:F1736=F1736)*($G$2:G1736=G1736)*($I$2:I1736="Duplicate"))&lt;=1,"",SUMPRODUCT(($B$2:B1736=B1736)*($D$2:D1736=D1736)*($E$2:E1736=E1736)*($F$2:F1736=F1736)*($G$2:G1736=G1736)*($I$2:I1736="Duplicate"))-1),"")&amp;".jpeg")</f>
        <v/>
      </c>
      <c r="L1736" s="6"/>
      <c r="M1736" s="5" t="str">
        <f>IFERROR(VLOOKUP(E1736,Specifications!$A$2:$D$9,2,FALSE),"")</f>
        <v/>
      </c>
      <c r="N1736" s="5" t="str">
        <f>IFERROR(VLOOKUP(E1736,Specifications!$A$2:$D$9,3,FALSE),"")</f>
        <v/>
      </c>
      <c r="O1736" s="5" t="str">
        <f>IFERROR(VLOOKUP(E1736,Specifications!$A$2:$D$9,4,FALSE),"")</f>
        <v/>
      </c>
      <c r="P1736" s="8" t="str">
        <f t="shared" si="84"/>
        <v/>
      </c>
      <c r="Q1736" s="9"/>
    </row>
    <row r="1737" spans="1:17" ht="15">
      <c r="A1737" s="5" t="str">
        <f t="shared" si="82"/>
        <v/>
      </c>
      <c r="B1737" s="6"/>
      <c r="C1737" s="5" t="str">
        <f>IFERROR(VLOOKUP(B1737,Lists!$A$2:$B$25,2,FALSE),"")</f>
        <v/>
      </c>
      <c r="D1737" s="7"/>
      <c r="E1737" s="6"/>
      <c r="F1737" s="6" t="str">
        <f t="shared" si="83"/>
        <v/>
      </c>
      <c r="G1737" s="6"/>
      <c r="H1737" s="6"/>
      <c r="I1737" s="6"/>
      <c r="J1737" s="7"/>
      <c r="K1737" s="5" t="str" cm="1">
        <f t="array" ref="K1737">IF(OR(A1737="",B1737="",D1737="",E1737=""),"",A1737&amp;"_"&amp;SUBSTITUTE(B1737," ","-")&amp;"_"&amp;D1737&amp;"_"&amp;SUBSTITUTE(SUBSTITUTE(E1737," ",""),"€","Euro")&amp;"_"&amp;IF(F1737="","Unknown",F1737)&amp;IF(F1737="Commemorative",IF(G1737="","","_"&amp;SUBSTITUTE(SUBSTITUTE(SUBSTITUTE(G1737," ","-"),"/","-"),CHAR(39),"")),"")&amp;IF(I1737="Duplicate","_Dub"&amp;IF(SUMPRODUCT(($B$2:B1737=B1737)*($D$2:D1737=D1737)*($E$2:E1737=E1737)*($F$2:F1737=F1737)*($G$2:G1737=G1737)*($I$2:I1737="Duplicate"))&lt;=1,"",SUMPRODUCT(($B$2:B1737=B1737)*($D$2:D1737=D1737)*($E$2:E1737=E1737)*($F$2:F1737=F1737)*($G$2:G1737=G1737)*($I$2:I1737="Duplicate"))-1),"")&amp;".jpeg")</f>
        <v/>
      </c>
      <c r="L1737" s="6"/>
      <c r="M1737" s="5" t="str">
        <f>IFERROR(VLOOKUP(E1737,Specifications!$A$2:$D$9,2,FALSE),"")</f>
        <v/>
      </c>
      <c r="N1737" s="5" t="str">
        <f>IFERROR(VLOOKUP(E1737,Specifications!$A$2:$D$9,3,FALSE),"")</f>
        <v/>
      </c>
      <c r="O1737" s="5" t="str">
        <f>IFERROR(VLOOKUP(E1737,Specifications!$A$2:$D$9,4,FALSE),"")</f>
        <v/>
      </c>
      <c r="P1737" s="8" t="str">
        <f t="shared" si="84"/>
        <v/>
      </c>
      <c r="Q1737" s="9"/>
    </row>
    <row r="1738" spans="1:17" ht="15">
      <c r="A1738" s="5" t="str">
        <f t="shared" si="82"/>
        <v/>
      </c>
      <c r="B1738" s="6"/>
      <c r="C1738" s="5" t="str">
        <f>IFERROR(VLOOKUP(B1738,Lists!$A$2:$B$25,2,FALSE),"")</f>
        <v/>
      </c>
      <c r="D1738" s="7"/>
      <c r="E1738" s="6"/>
      <c r="F1738" s="6" t="str">
        <f t="shared" si="83"/>
        <v/>
      </c>
      <c r="G1738" s="6"/>
      <c r="H1738" s="6"/>
      <c r="I1738" s="6"/>
      <c r="J1738" s="7"/>
      <c r="K1738" s="5" t="str" cm="1">
        <f t="array" ref="K1738">IF(OR(A1738="",B1738="",D1738="",E1738=""),"",A1738&amp;"_"&amp;SUBSTITUTE(B1738," ","-")&amp;"_"&amp;D1738&amp;"_"&amp;SUBSTITUTE(SUBSTITUTE(E1738," ",""),"€","Euro")&amp;"_"&amp;IF(F1738="","Unknown",F1738)&amp;IF(F1738="Commemorative",IF(G1738="","","_"&amp;SUBSTITUTE(SUBSTITUTE(SUBSTITUTE(G1738," ","-"),"/","-"),CHAR(39),"")),"")&amp;IF(I1738="Duplicate","_Dub"&amp;IF(SUMPRODUCT(($B$2:B1738=B1738)*($D$2:D1738=D1738)*($E$2:E1738=E1738)*($F$2:F1738=F1738)*($G$2:G1738=G1738)*($I$2:I1738="Duplicate"))&lt;=1,"",SUMPRODUCT(($B$2:B1738=B1738)*($D$2:D1738=D1738)*($E$2:E1738=E1738)*($F$2:F1738=F1738)*($G$2:G1738=G1738)*($I$2:I1738="Duplicate"))-1),"")&amp;".jpeg")</f>
        <v/>
      </c>
      <c r="L1738" s="6"/>
      <c r="M1738" s="5" t="str">
        <f>IFERROR(VLOOKUP(E1738,Specifications!$A$2:$D$9,2,FALSE),"")</f>
        <v/>
      </c>
      <c r="N1738" s="5" t="str">
        <f>IFERROR(VLOOKUP(E1738,Specifications!$A$2:$D$9,3,FALSE),"")</f>
        <v/>
      </c>
      <c r="O1738" s="5" t="str">
        <f>IFERROR(VLOOKUP(E1738,Specifications!$A$2:$D$9,4,FALSE),"")</f>
        <v/>
      </c>
      <c r="P1738" s="8" t="str">
        <f t="shared" si="84"/>
        <v/>
      </c>
      <c r="Q1738" s="9"/>
    </row>
    <row r="1739" spans="1:17" ht="15">
      <c r="A1739" s="5" t="str">
        <f t="shared" si="82"/>
        <v/>
      </c>
      <c r="B1739" s="6"/>
      <c r="C1739" s="5" t="str">
        <f>IFERROR(VLOOKUP(B1739,Lists!$A$2:$B$25,2,FALSE),"")</f>
        <v/>
      </c>
      <c r="D1739" s="7"/>
      <c r="E1739" s="6"/>
      <c r="F1739" s="6" t="str">
        <f t="shared" si="83"/>
        <v/>
      </c>
      <c r="G1739" s="6"/>
      <c r="H1739" s="6"/>
      <c r="I1739" s="6"/>
      <c r="J1739" s="7"/>
      <c r="K1739" s="5" t="str" cm="1">
        <f t="array" ref="K1739">IF(OR(A1739="",B1739="",D1739="",E1739=""),"",A1739&amp;"_"&amp;SUBSTITUTE(B1739," ","-")&amp;"_"&amp;D1739&amp;"_"&amp;SUBSTITUTE(SUBSTITUTE(E1739," ",""),"€","Euro")&amp;"_"&amp;IF(F1739="","Unknown",F1739)&amp;IF(F1739="Commemorative",IF(G1739="","","_"&amp;SUBSTITUTE(SUBSTITUTE(SUBSTITUTE(G1739," ","-"),"/","-"),CHAR(39),"")),"")&amp;IF(I1739="Duplicate","_Dub"&amp;IF(SUMPRODUCT(($B$2:B1739=B1739)*($D$2:D1739=D1739)*($E$2:E1739=E1739)*($F$2:F1739=F1739)*($G$2:G1739=G1739)*($I$2:I1739="Duplicate"))&lt;=1,"",SUMPRODUCT(($B$2:B1739=B1739)*($D$2:D1739=D1739)*($E$2:E1739=E1739)*($F$2:F1739=F1739)*($G$2:G1739=G1739)*($I$2:I1739="Duplicate"))-1),"")&amp;".jpeg")</f>
        <v/>
      </c>
      <c r="L1739" s="6"/>
      <c r="M1739" s="5" t="str">
        <f>IFERROR(VLOOKUP(E1739,Specifications!$A$2:$D$9,2,FALSE),"")</f>
        <v/>
      </c>
      <c r="N1739" s="5" t="str">
        <f>IFERROR(VLOOKUP(E1739,Specifications!$A$2:$D$9,3,FALSE),"")</f>
        <v/>
      </c>
      <c r="O1739" s="5" t="str">
        <f>IFERROR(VLOOKUP(E1739,Specifications!$A$2:$D$9,4,FALSE),"")</f>
        <v/>
      </c>
      <c r="P1739" s="8" t="str">
        <f t="shared" si="84"/>
        <v/>
      </c>
      <c r="Q1739" s="9"/>
    </row>
    <row r="1740" spans="1:17" ht="15">
      <c r="A1740" s="5" t="str">
        <f t="shared" si="82"/>
        <v/>
      </c>
      <c r="B1740" s="6"/>
      <c r="C1740" s="5" t="str">
        <f>IFERROR(VLOOKUP(B1740,Lists!$A$2:$B$25,2,FALSE),"")</f>
        <v/>
      </c>
      <c r="D1740" s="7"/>
      <c r="E1740" s="6"/>
      <c r="F1740" s="6" t="str">
        <f t="shared" si="83"/>
        <v/>
      </c>
      <c r="G1740" s="6"/>
      <c r="H1740" s="6"/>
      <c r="I1740" s="6"/>
      <c r="J1740" s="7"/>
      <c r="K1740" s="5" t="str" cm="1">
        <f t="array" ref="K1740">IF(OR(A1740="",B1740="",D1740="",E1740=""),"",A1740&amp;"_"&amp;SUBSTITUTE(B1740," ","-")&amp;"_"&amp;D1740&amp;"_"&amp;SUBSTITUTE(SUBSTITUTE(E1740," ",""),"€","Euro")&amp;"_"&amp;IF(F1740="","Unknown",F1740)&amp;IF(F1740="Commemorative",IF(G1740="","","_"&amp;SUBSTITUTE(SUBSTITUTE(SUBSTITUTE(G1740," ","-"),"/","-"),CHAR(39),"")),"")&amp;IF(I1740="Duplicate","_Dub"&amp;IF(SUMPRODUCT(($B$2:B1740=B1740)*($D$2:D1740=D1740)*($E$2:E1740=E1740)*($F$2:F1740=F1740)*($G$2:G1740=G1740)*($I$2:I1740="Duplicate"))&lt;=1,"",SUMPRODUCT(($B$2:B1740=B1740)*($D$2:D1740=D1740)*($E$2:E1740=E1740)*($F$2:F1740=F1740)*($G$2:G1740=G1740)*($I$2:I1740="Duplicate"))-1),"")&amp;".jpeg")</f>
        <v/>
      </c>
      <c r="L1740" s="6"/>
      <c r="M1740" s="5" t="str">
        <f>IFERROR(VLOOKUP(E1740,Specifications!$A$2:$D$9,2,FALSE),"")</f>
        <v/>
      </c>
      <c r="N1740" s="5" t="str">
        <f>IFERROR(VLOOKUP(E1740,Specifications!$A$2:$D$9,3,FALSE),"")</f>
        <v/>
      </c>
      <c r="O1740" s="5" t="str">
        <f>IFERROR(VLOOKUP(E1740,Specifications!$A$2:$D$9,4,FALSE),"")</f>
        <v/>
      </c>
      <c r="P1740" s="8" t="str">
        <f t="shared" si="84"/>
        <v/>
      </c>
      <c r="Q1740" s="9"/>
    </row>
    <row r="1741" spans="1:17" ht="15">
      <c r="A1741" s="5" t="str">
        <f t="shared" si="82"/>
        <v/>
      </c>
      <c r="B1741" s="6"/>
      <c r="C1741" s="5" t="str">
        <f>IFERROR(VLOOKUP(B1741,Lists!$A$2:$B$25,2,FALSE),"")</f>
        <v/>
      </c>
      <c r="D1741" s="7"/>
      <c r="E1741" s="6"/>
      <c r="F1741" s="6" t="str">
        <f t="shared" si="83"/>
        <v/>
      </c>
      <c r="G1741" s="6"/>
      <c r="H1741" s="6"/>
      <c r="I1741" s="6"/>
      <c r="J1741" s="7"/>
      <c r="K1741" s="5" t="str" cm="1">
        <f t="array" ref="K1741">IF(OR(A1741="",B1741="",D1741="",E1741=""),"",A1741&amp;"_"&amp;SUBSTITUTE(B1741," ","-")&amp;"_"&amp;D1741&amp;"_"&amp;SUBSTITUTE(SUBSTITUTE(E1741," ",""),"€","Euro")&amp;"_"&amp;IF(F1741="","Unknown",F1741)&amp;IF(F1741="Commemorative",IF(G1741="","","_"&amp;SUBSTITUTE(SUBSTITUTE(SUBSTITUTE(G1741," ","-"),"/","-"),CHAR(39),"")),"")&amp;IF(I1741="Duplicate","_Dub"&amp;IF(SUMPRODUCT(($B$2:B1741=B1741)*($D$2:D1741=D1741)*($E$2:E1741=E1741)*($F$2:F1741=F1741)*($G$2:G1741=G1741)*($I$2:I1741="Duplicate"))&lt;=1,"",SUMPRODUCT(($B$2:B1741=B1741)*($D$2:D1741=D1741)*($E$2:E1741=E1741)*($F$2:F1741=F1741)*($G$2:G1741=G1741)*($I$2:I1741="Duplicate"))-1),"")&amp;".jpeg")</f>
        <v/>
      </c>
      <c r="L1741" s="6"/>
      <c r="M1741" s="5" t="str">
        <f>IFERROR(VLOOKUP(E1741,Specifications!$A$2:$D$9,2,FALSE),"")</f>
        <v/>
      </c>
      <c r="N1741" s="5" t="str">
        <f>IFERROR(VLOOKUP(E1741,Specifications!$A$2:$D$9,3,FALSE),"")</f>
        <v/>
      </c>
      <c r="O1741" s="5" t="str">
        <f>IFERROR(VLOOKUP(E1741,Specifications!$A$2:$D$9,4,FALSE),"")</f>
        <v/>
      </c>
      <c r="P1741" s="8" t="str">
        <f t="shared" si="84"/>
        <v/>
      </c>
      <c r="Q1741" s="9"/>
    </row>
    <row r="1742" spans="1:17" ht="15">
      <c r="A1742" s="5" t="str">
        <f t="shared" si="82"/>
        <v/>
      </c>
      <c r="B1742" s="6"/>
      <c r="C1742" s="5" t="str">
        <f>IFERROR(VLOOKUP(B1742,Lists!$A$2:$B$25,2,FALSE),"")</f>
        <v/>
      </c>
      <c r="D1742" s="7"/>
      <c r="E1742" s="6"/>
      <c r="F1742" s="6" t="str">
        <f t="shared" si="83"/>
        <v/>
      </c>
      <c r="G1742" s="6"/>
      <c r="H1742" s="6"/>
      <c r="I1742" s="6"/>
      <c r="J1742" s="7"/>
      <c r="K1742" s="5" t="str" cm="1">
        <f t="array" ref="K1742">IF(OR(A1742="",B1742="",D1742="",E1742=""),"",A1742&amp;"_"&amp;SUBSTITUTE(B1742," ","-")&amp;"_"&amp;D1742&amp;"_"&amp;SUBSTITUTE(SUBSTITUTE(E1742," ",""),"€","Euro")&amp;"_"&amp;IF(F1742="","Unknown",F1742)&amp;IF(F1742="Commemorative",IF(G1742="","","_"&amp;SUBSTITUTE(SUBSTITUTE(SUBSTITUTE(G1742," ","-"),"/","-"),CHAR(39),"")),"")&amp;IF(I1742="Duplicate","_Dub"&amp;IF(SUMPRODUCT(($B$2:B1742=B1742)*($D$2:D1742=D1742)*($E$2:E1742=E1742)*($F$2:F1742=F1742)*($G$2:G1742=G1742)*($I$2:I1742="Duplicate"))&lt;=1,"",SUMPRODUCT(($B$2:B1742=B1742)*($D$2:D1742=D1742)*($E$2:E1742=E1742)*($F$2:F1742=F1742)*($G$2:G1742=G1742)*($I$2:I1742="Duplicate"))-1),"")&amp;".jpeg")</f>
        <v/>
      </c>
      <c r="L1742" s="6"/>
      <c r="M1742" s="5" t="str">
        <f>IFERROR(VLOOKUP(E1742,Specifications!$A$2:$D$9,2,FALSE),"")</f>
        <v/>
      </c>
      <c r="N1742" s="5" t="str">
        <f>IFERROR(VLOOKUP(E1742,Specifications!$A$2:$D$9,3,FALSE),"")</f>
        <v/>
      </c>
      <c r="O1742" s="5" t="str">
        <f>IFERROR(VLOOKUP(E1742,Specifications!$A$2:$D$9,4,FALSE),"")</f>
        <v/>
      </c>
      <c r="P1742" s="8" t="str">
        <f t="shared" si="84"/>
        <v/>
      </c>
      <c r="Q1742" s="9"/>
    </row>
    <row r="1743" spans="1:17" ht="15">
      <c r="A1743" s="5" t="str">
        <f t="shared" si="82"/>
        <v/>
      </c>
      <c r="B1743" s="6"/>
      <c r="C1743" s="5" t="str">
        <f>IFERROR(VLOOKUP(B1743,Lists!$A$2:$B$25,2,FALSE),"")</f>
        <v/>
      </c>
      <c r="D1743" s="7"/>
      <c r="E1743" s="6"/>
      <c r="F1743" s="6" t="str">
        <f t="shared" si="83"/>
        <v/>
      </c>
      <c r="G1743" s="6"/>
      <c r="H1743" s="6"/>
      <c r="I1743" s="6"/>
      <c r="J1743" s="7"/>
      <c r="K1743" s="5" t="str" cm="1">
        <f t="array" ref="K1743">IF(OR(A1743="",B1743="",D1743="",E1743=""),"",A1743&amp;"_"&amp;SUBSTITUTE(B1743," ","-")&amp;"_"&amp;D1743&amp;"_"&amp;SUBSTITUTE(SUBSTITUTE(E1743," ",""),"€","Euro")&amp;"_"&amp;IF(F1743="","Unknown",F1743)&amp;IF(F1743="Commemorative",IF(G1743="","","_"&amp;SUBSTITUTE(SUBSTITUTE(SUBSTITUTE(G1743," ","-"),"/","-"),CHAR(39),"")),"")&amp;IF(I1743="Duplicate","_Dub"&amp;IF(SUMPRODUCT(($B$2:B1743=B1743)*($D$2:D1743=D1743)*($E$2:E1743=E1743)*($F$2:F1743=F1743)*($G$2:G1743=G1743)*($I$2:I1743="Duplicate"))&lt;=1,"",SUMPRODUCT(($B$2:B1743=B1743)*($D$2:D1743=D1743)*($E$2:E1743=E1743)*($F$2:F1743=F1743)*($G$2:G1743=G1743)*($I$2:I1743="Duplicate"))-1),"")&amp;".jpeg")</f>
        <v/>
      </c>
      <c r="L1743" s="6"/>
      <c r="M1743" s="5" t="str">
        <f>IFERROR(VLOOKUP(E1743,Specifications!$A$2:$D$9,2,FALSE),"")</f>
        <v/>
      </c>
      <c r="N1743" s="5" t="str">
        <f>IFERROR(VLOOKUP(E1743,Specifications!$A$2:$D$9,3,FALSE),"")</f>
        <v/>
      </c>
      <c r="O1743" s="5" t="str">
        <f>IFERROR(VLOOKUP(E1743,Specifications!$A$2:$D$9,4,FALSE),"")</f>
        <v/>
      </c>
      <c r="P1743" s="8" t="str">
        <f t="shared" si="84"/>
        <v/>
      </c>
      <c r="Q1743" s="9"/>
    </row>
    <row r="1744" spans="1:17" ht="15">
      <c r="A1744" s="5" t="str">
        <f t="shared" si="82"/>
        <v/>
      </c>
      <c r="B1744" s="6"/>
      <c r="C1744" s="5" t="str">
        <f>IFERROR(VLOOKUP(B1744,Lists!$A$2:$B$25,2,FALSE),"")</f>
        <v/>
      </c>
      <c r="D1744" s="7"/>
      <c r="E1744" s="6"/>
      <c r="F1744" s="6" t="str">
        <f t="shared" si="83"/>
        <v/>
      </c>
      <c r="G1744" s="6"/>
      <c r="H1744" s="6"/>
      <c r="I1744" s="6"/>
      <c r="J1744" s="7"/>
      <c r="K1744" s="5" t="str" cm="1">
        <f t="array" ref="K1744">IF(OR(A1744="",B1744="",D1744="",E1744=""),"",A1744&amp;"_"&amp;SUBSTITUTE(B1744," ","-")&amp;"_"&amp;D1744&amp;"_"&amp;SUBSTITUTE(SUBSTITUTE(E1744," ",""),"€","Euro")&amp;"_"&amp;IF(F1744="","Unknown",F1744)&amp;IF(F1744="Commemorative",IF(G1744="","","_"&amp;SUBSTITUTE(SUBSTITUTE(SUBSTITUTE(G1744," ","-"),"/","-"),CHAR(39),"")),"")&amp;IF(I1744="Duplicate","_Dub"&amp;IF(SUMPRODUCT(($B$2:B1744=B1744)*($D$2:D1744=D1744)*($E$2:E1744=E1744)*($F$2:F1744=F1744)*($G$2:G1744=G1744)*($I$2:I1744="Duplicate"))&lt;=1,"",SUMPRODUCT(($B$2:B1744=B1744)*($D$2:D1744=D1744)*($E$2:E1744=E1744)*($F$2:F1744=F1744)*($G$2:G1744=G1744)*($I$2:I1744="Duplicate"))-1),"")&amp;".jpeg")</f>
        <v/>
      </c>
      <c r="L1744" s="6"/>
      <c r="M1744" s="5" t="str">
        <f>IFERROR(VLOOKUP(E1744,Specifications!$A$2:$D$9,2,FALSE),"")</f>
        <v/>
      </c>
      <c r="N1744" s="5" t="str">
        <f>IFERROR(VLOOKUP(E1744,Specifications!$A$2:$D$9,3,FALSE),"")</f>
        <v/>
      </c>
      <c r="O1744" s="5" t="str">
        <f>IFERROR(VLOOKUP(E1744,Specifications!$A$2:$D$9,4,FALSE),"")</f>
        <v/>
      </c>
      <c r="P1744" s="8" t="str">
        <f t="shared" si="84"/>
        <v/>
      </c>
      <c r="Q1744" s="9"/>
    </row>
    <row r="1745" spans="1:17" ht="15">
      <c r="A1745" s="5" t="str">
        <f t="shared" si="82"/>
        <v/>
      </c>
      <c r="B1745" s="6"/>
      <c r="C1745" s="5" t="str">
        <f>IFERROR(VLOOKUP(B1745,Lists!$A$2:$B$25,2,FALSE),"")</f>
        <v/>
      </c>
      <c r="D1745" s="7"/>
      <c r="E1745" s="6"/>
      <c r="F1745" s="6" t="str">
        <f t="shared" si="83"/>
        <v/>
      </c>
      <c r="G1745" s="6"/>
      <c r="H1745" s="6"/>
      <c r="I1745" s="6"/>
      <c r="J1745" s="7"/>
      <c r="K1745" s="5" t="str" cm="1">
        <f t="array" ref="K1745">IF(OR(A1745="",B1745="",D1745="",E1745=""),"",A1745&amp;"_"&amp;SUBSTITUTE(B1745," ","-")&amp;"_"&amp;D1745&amp;"_"&amp;SUBSTITUTE(SUBSTITUTE(E1745," ",""),"€","Euro")&amp;"_"&amp;IF(F1745="","Unknown",F1745)&amp;IF(F1745="Commemorative",IF(G1745="","","_"&amp;SUBSTITUTE(SUBSTITUTE(SUBSTITUTE(G1745," ","-"),"/","-"),CHAR(39),"")),"")&amp;IF(I1745="Duplicate","_Dub"&amp;IF(SUMPRODUCT(($B$2:B1745=B1745)*($D$2:D1745=D1745)*($E$2:E1745=E1745)*($F$2:F1745=F1745)*($G$2:G1745=G1745)*($I$2:I1745="Duplicate"))&lt;=1,"",SUMPRODUCT(($B$2:B1745=B1745)*($D$2:D1745=D1745)*($E$2:E1745=E1745)*($F$2:F1745=F1745)*($G$2:G1745=G1745)*($I$2:I1745="Duplicate"))-1),"")&amp;".jpeg")</f>
        <v/>
      </c>
      <c r="L1745" s="6"/>
      <c r="M1745" s="5" t="str">
        <f>IFERROR(VLOOKUP(E1745,Specifications!$A$2:$D$9,2,FALSE),"")</f>
        <v/>
      </c>
      <c r="N1745" s="5" t="str">
        <f>IFERROR(VLOOKUP(E1745,Specifications!$A$2:$D$9,3,FALSE),"")</f>
        <v/>
      </c>
      <c r="O1745" s="5" t="str">
        <f>IFERROR(VLOOKUP(E1745,Specifications!$A$2:$D$9,4,FALSE),"")</f>
        <v/>
      </c>
      <c r="P1745" s="8" t="str">
        <f t="shared" si="84"/>
        <v/>
      </c>
      <c r="Q1745" s="9"/>
    </row>
    <row r="1746" spans="1:17" ht="15">
      <c r="A1746" s="5" t="str">
        <f t="shared" si="82"/>
        <v/>
      </c>
      <c r="B1746" s="6"/>
      <c r="C1746" s="5" t="str">
        <f>IFERROR(VLOOKUP(B1746,Lists!$A$2:$B$25,2,FALSE),"")</f>
        <v/>
      </c>
      <c r="D1746" s="7"/>
      <c r="E1746" s="6"/>
      <c r="F1746" s="6" t="str">
        <f t="shared" si="83"/>
        <v/>
      </c>
      <c r="G1746" s="6"/>
      <c r="H1746" s="6"/>
      <c r="I1746" s="6"/>
      <c r="J1746" s="7"/>
      <c r="K1746" s="5" t="str" cm="1">
        <f t="array" ref="K1746">IF(OR(A1746="",B1746="",D1746="",E1746=""),"",A1746&amp;"_"&amp;SUBSTITUTE(B1746," ","-")&amp;"_"&amp;D1746&amp;"_"&amp;SUBSTITUTE(SUBSTITUTE(E1746," ",""),"€","Euro")&amp;"_"&amp;IF(F1746="","Unknown",F1746)&amp;IF(F1746="Commemorative",IF(G1746="","","_"&amp;SUBSTITUTE(SUBSTITUTE(SUBSTITUTE(G1746," ","-"),"/","-"),CHAR(39),"")),"")&amp;IF(I1746="Duplicate","_Dub"&amp;IF(SUMPRODUCT(($B$2:B1746=B1746)*($D$2:D1746=D1746)*($E$2:E1746=E1746)*($F$2:F1746=F1746)*($G$2:G1746=G1746)*($I$2:I1746="Duplicate"))&lt;=1,"",SUMPRODUCT(($B$2:B1746=B1746)*($D$2:D1746=D1746)*($E$2:E1746=E1746)*($F$2:F1746=F1746)*($G$2:G1746=G1746)*($I$2:I1746="Duplicate"))-1),"")&amp;".jpeg")</f>
        <v/>
      </c>
      <c r="L1746" s="6"/>
      <c r="M1746" s="5" t="str">
        <f>IFERROR(VLOOKUP(E1746,Specifications!$A$2:$D$9,2,FALSE),"")</f>
        <v/>
      </c>
      <c r="N1746" s="5" t="str">
        <f>IFERROR(VLOOKUP(E1746,Specifications!$A$2:$D$9,3,FALSE),"")</f>
        <v/>
      </c>
      <c r="O1746" s="5" t="str">
        <f>IFERROR(VLOOKUP(E1746,Specifications!$A$2:$D$9,4,FALSE),"")</f>
        <v/>
      </c>
      <c r="P1746" s="8" t="str">
        <f t="shared" si="84"/>
        <v/>
      </c>
      <c r="Q1746" s="9"/>
    </row>
    <row r="1747" spans="1:17" ht="15">
      <c r="A1747" s="5" t="str">
        <f t="shared" si="82"/>
        <v/>
      </c>
      <c r="B1747" s="6"/>
      <c r="C1747" s="5" t="str">
        <f>IFERROR(VLOOKUP(B1747,Lists!$A$2:$B$25,2,FALSE),"")</f>
        <v/>
      </c>
      <c r="D1747" s="7"/>
      <c r="E1747" s="6"/>
      <c r="F1747" s="6" t="str">
        <f t="shared" si="83"/>
        <v/>
      </c>
      <c r="G1747" s="6"/>
      <c r="H1747" s="6"/>
      <c r="I1747" s="6"/>
      <c r="J1747" s="7"/>
      <c r="K1747" s="5" t="str" cm="1">
        <f t="array" ref="K1747">IF(OR(A1747="",B1747="",D1747="",E1747=""),"",A1747&amp;"_"&amp;SUBSTITUTE(B1747," ","-")&amp;"_"&amp;D1747&amp;"_"&amp;SUBSTITUTE(SUBSTITUTE(E1747," ",""),"€","Euro")&amp;"_"&amp;IF(F1747="","Unknown",F1747)&amp;IF(F1747="Commemorative",IF(G1747="","","_"&amp;SUBSTITUTE(SUBSTITUTE(SUBSTITUTE(G1747," ","-"),"/","-"),CHAR(39),"")),"")&amp;IF(I1747="Duplicate","_Dub"&amp;IF(SUMPRODUCT(($B$2:B1747=B1747)*($D$2:D1747=D1747)*($E$2:E1747=E1747)*($F$2:F1747=F1747)*($G$2:G1747=G1747)*($I$2:I1747="Duplicate"))&lt;=1,"",SUMPRODUCT(($B$2:B1747=B1747)*($D$2:D1747=D1747)*($E$2:E1747=E1747)*($F$2:F1747=F1747)*($G$2:G1747=G1747)*($I$2:I1747="Duplicate"))-1),"")&amp;".jpeg")</f>
        <v/>
      </c>
      <c r="L1747" s="6"/>
      <c r="M1747" s="5" t="str">
        <f>IFERROR(VLOOKUP(E1747,Specifications!$A$2:$D$9,2,FALSE),"")</f>
        <v/>
      </c>
      <c r="N1747" s="5" t="str">
        <f>IFERROR(VLOOKUP(E1747,Specifications!$A$2:$D$9,3,FALSE),"")</f>
        <v/>
      </c>
      <c r="O1747" s="5" t="str">
        <f>IFERROR(VLOOKUP(E1747,Specifications!$A$2:$D$9,4,FALSE),"")</f>
        <v/>
      </c>
      <c r="P1747" s="8" t="str">
        <f t="shared" si="84"/>
        <v/>
      </c>
      <c r="Q1747" s="9"/>
    </row>
    <row r="1748" spans="1:17" ht="15">
      <c r="A1748" s="5" t="str">
        <f t="shared" si="82"/>
        <v/>
      </c>
      <c r="B1748" s="6"/>
      <c r="C1748" s="5" t="str">
        <f>IFERROR(VLOOKUP(B1748,Lists!$A$2:$B$25,2,FALSE),"")</f>
        <v/>
      </c>
      <c r="D1748" s="7"/>
      <c r="E1748" s="6"/>
      <c r="F1748" s="6" t="str">
        <f t="shared" si="83"/>
        <v/>
      </c>
      <c r="G1748" s="6"/>
      <c r="H1748" s="6"/>
      <c r="I1748" s="6"/>
      <c r="J1748" s="7"/>
      <c r="K1748" s="5" t="str" cm="1">
        <f t="array" ref="K1748">IF(OR(A1748="",B1748="",D1748="",E1748=""),"",A1748&amp;"_"&amp;SUBSTITUTE(B1748," ","-")&amp;"_"&amp;D1748&amp;"_"&amp;SUBSTITUTE(SUBSTITUTE(E1748," ",""),"€","Euro")&amp;"_"&amp;IF(F1748="","Unknown",F1748)&amp;IF(F1748="Commemorative",IF(G1748="","","_"&amp;SUBSTITUTE(SUBSTITUTE(SUBSTITUTE(G1748," ","-"),"/","-"),CHAR(39),"")),"")&amp;IF(I1748="Duplicate","_Dub"&amp;IF(SUMPRODUCT(($B$2:B1748=B1748)*($D$2:D1748=D1748)*($E$2:E1748=E1748)*($F$2:F1748=F1748)*($G$2:G1748=G1748)*($I$2:I1748="Duplicate"))&lt;=1,"",SUMPRODUCT(($B$2:B1748=B1748)*($D$2:D1748=D1748)*($E$2:E1748=E1748)*($F$2:F1748=F1748)*($G$2:G1748=G1748)*($I$2:I1748="Duplicate"))-1),"")&amp;".jpeg")</f>
        <v/>
      </c>
      <c r="L1748" s="6"/>
      <c r="M1748" s="5" t="str">
        <f>IFERROR(VLOOKUP(E1748,Specifications!$A$2:$D$9,2,FALSE),"")</f>
        <v/>
      </c>
      <c r="N1748" s="5" t="str">
        <f>IFERROR(VLOOKUP(E1748,Specifications!$A$2:$D$9,3,FALSE),"")</f>
        <v/>
      </c>
      <c r="O1748" s="5" t="str">
        <f>IFERROR(VLOOKUP(E1748,Specifications!$A$2:$D$9,4,FALSE),"")</f>
        <v/>
      </c>
      <c r="P1748" s="8" t="str">
        <f t="shared" si="84"/>
        <v/>
      </c>
      <c r="Q1748" s="9"/>
    </row>
    <row r="1749" spans="1:17" ht="15">
      <c r="A1749" s="5" t="str">
        <f t="shared" si="82"/>
        <v/>
      </c>
      <c r="B1749" s="6"/>
      <c r="C1749" s="5" t="str">
        <f>IFERROR(VLOOKUP(B1749,Lists!$A$2:$B$25,2,FALSE),"")</f>
        <v/>
      </c>
      <c r="D1749" s="7"/>
      <c r="E1749" s="6"/>
      <c r="F1749" s="6" t="str">
        <f t="shared" si="83"/>
        <v/>
      </c>
      <c r="G1749" s="6"/>
      <c r="H1749" s="6"/>
      <c r="I1749" s="6"/>
      <c r="J1749" s="7"/>
      <c r="K1749" s="5" t="str" cm="1">
        <f t="array" ref="K1749">IF(OR(A1749="",B1749="",D1749="",E1749=""),"",A1749&amp;"_"&amp;SUBSTITUTE(B1749," ","-")&amp;"_"&amp;D1749&amp;"_"&amp;SUBSTITUTE(SUBSTITUTE(E1749," ",""),"€","Euro")&amp;"_"&amp;IF(F1749="","Unknown",F1749)&amp;IF(F1749="Commemorative",IF(G1749="","","_"&amp;SUBSTITUTE(SUBSTITUTE(SUBSTITUTE(G1749," ","-"),"/","-"),CHAR(39),"")),"")&amp;IF(I1749="Duplicate","_Dub"&amp;IF(SUMPRODUCT(($B$2:B1749=B1749)*($D$2:D1749=D1749)*($E$2:E1749=E1749)*($F$2:F1749=F1749)*($G$2:G1749=G1749)*($I$2:I1749="Duplicate"))&lt;=1,"",SUMPRODUCT(($B$2:B1749=B1749)*($D$2:D1749=D1749)*($E$2:E1749=E1749)*($F$2:F1749=F1749)*($G$2:G1749=G1749)*($I$2:I1749="Duplicate"))-1),"")&amp;".jpeg")</f>
        <v/>
      </c>
      <c r="L1749" s="6"/>
      <c r="M1749" s="5" t="str">
        <f>IFERROR(VLOOKUP(E1749,Specifications!$A$2:$D$9,2,FALSE),"")</f>
        <v/>
      </c>
      <c r="N1749" s="5" t="str">
        <f>IFERROR(VLOOKUP(E1749,Specifications!$A$2:$D$9,3,FALSE),"")</f>
        <v/>
      </c>
      <c r="O1749" s="5" t="str">
        <f>IFERROR(VLOOKUP(E1749,Specifications!$A$2:$D$9,4,FALSE),"")</f>
        <v/>
      </c>
      <c r="P1749" s="8" t="str">
        <f t="shared" si="84"/>
        <v/>
      </c>
      <c r="Q1749" s="9"/>
    </row>
    <row r="1750" spans="1:17" ht="15">
      <c r="A1750" s="5" t="str">
        <f t="shared" si="82"/>
        <v/>
      </c>
      <c r="B1750" s="6"/>
      <c r="C1750" s="5" t="str">
        <f>IFERROR(VLOOKUP(B1750,Lists!$A$2:$B$25,2,FALSE),"")</f>
        <v/>
      </c>
      <c r="D1750" s="7"/>
      <c r="E1750" s="6"/>
      <c r="F1750" s="6" t="str">
        <f t="shared" si="83"/>
        <v/>
      </c>
      <c r="G1750" s="6"/>
      <c r="H1750" s="6"/>
      <c r="I1750" s="6"/>
      <c r="J1750" s="7"/>
      <c r="K1750" s="5" t="str" cm="1">
        <f t="array" ref="K1750">IF(OR(A1750="",B1750="",D1750="",E1750=""),"",A1750&amp;"_"&amp;SUBSTITUTE(B1750," ","-")&amp;"_"&amp;D1750&amp;"_"&amp;SUBSTITUTE(SUBSTITUTE(E1750," ",""),"€","Euro")&amp;"_"&amp;IF(F1750="","Unknown",F1750)&amp;IF(F1750="Commemorative",IF(G1750="","","_"&amp;SUBSTITUTE(SUBSTITUTE(SUBSTITUTE(G1750," ","-"),"/","-"),CHAR(39),"")),"")&amp;IF(I1750="Duplicate","_Dub"&amp;IF(SUMPRODUCT(($B$2:B1750=B1750)*($D$2:D1750=D1750)*($E$2:E1750=E1750)*($F$2:F1750=F1750)*($G$2:G1750=G1750)*($I$2:I1750="Duplicate"))&lt;=1,"",SUMPRODUCT(($B$2:B1750=B1750)*($D$2:D1750=D1750)*($E$2:E1750=E1750)*($F$2:F1750=F1750)*($G$2:G1750=G1750)*($I$2:I1750="Duplicate"))-1),"")&amp;".jpeg")</f>
        <v/>
      </c>
      <c r="L1750" s="6"/>
      <c r="M1750" s="5" t="str">
        <f>IFERROR(VLOOKUP(E1750,Specifications!$A$2:$D$9,2,FALSE),"")</f>
        <v/>
      </c>
      <c r="N1750" s="5" t="str">
        <f>IFERROR(VLOOKUP(E1750,Specifications!$A$2:$D$9,3,FALSE),"")</f>
        <v/>
      </c>
      <c r="O1750" s="5" t="str">
        <f>IFERROR(VLOOKUP(E1750,Specifications!$A$2:$D$9,4,FALSE),"")</f>
        <v/>
      </c>
      <c r="P1750" s="8" t="str">
        <f t="shared" si="84"/>
        <v/>
      </c>
      <c r="Q1750" s="9"/>
    </row>
    <row r="1751" spans="1:17" ht="15">
      <c r="A1751" s="5" t="str">
        <f t="shared" si="82"/>
        <v/>
      </c>
      <c r="B1751" s="6"/>
      <c r="C1751" s="5" t="str">
        <f>IFERROR(VLOOKUP(B1751,Lists!$A$2:$B$25,2,FALSE),"")</f>
        <v/>
      </c>
      <c r="D1751" s="7"/>
      <c r="E1751" s="6"/>
      <c r="F1751" s="6" t="str">
        <f t="shared" si="83"/>
        <v/>
      </c>
      <c r="G1751" s="6"/>
      <c r="H1751" s="6"/>
      <c r="I1751" s="6"/>
      <c r="J1751" s="7"/>
      <c r="K1751" s="5" t="str" cm="1">
        <f t="array" ref="K1751">IF(OR(A1751="",B1751="",D1751="",E1751=""),"",A1751&amp;"_"&amp;SUBSTITUTE(B1751," ","-")&amp;"_"&amp;D1751&amp;"_"&amp;SUBSTITUTE(SUBSTITUTE(E1751," ",""),"€","Euro")&amp;"_"&amp;IF(F1751="","Unknown",F1751)&amp;IF(F1751="Commemorative",IF(G1751="","","_"&amp;SUBSTITUTE(SUBSTITUTE(SUBSTITUTE(G1751," ","-"),"/","-"),CHAR(39),"")),"")&amp;IF(I1751="Duplicate","_Dub"&amp;IF(SUMPRODUCT(($B$2:B1751=B1751)*($D$2:D1751=D1751)*($E$2:E1751=E1751)*($F$2:F1751=F1751)*($G$2:G1751=G1751)*($I$2:I1751="Duplicate"))&lt;=1,"",SUMPRODUCT(($B$2:B1751=B1751)*($D$2:D1751=D1751)*($E$2:E1751=E1751)*($F$2:F1751=F1751)*($G$2:G1751=G1751)*($I$2:I1751="Duplicate"))-1),"")&amp;".jpeg")</f>
        <v/>
      </c>
      <c r="L1751" s="6"/>
      <c r="M1751" s="5" t="str">
        <f>IFERROR(VLOOKUP(E1751,Specifications!$A$2:$D$9,2,FALSE),"")</f>
        <v/>
      </c>
      <c r="N1751" s="5" t="str">
        <f>IFERROR(VLOOKUP(E1751,Specifications!$A$2:$D$9,3,FALSE),"")</f>
        <v/>
      </c>
      <c r="O1751" s="5" t="str">
        <f>IFERROR(VLOOKUP(E1751,Specifications!$A$2:$D$9,4,FALSE),"")</f>
        <v/>
      </c>
      <c r="P1751" s="8" t="str">
        <f t="shared" si="84"/>
        <v/>
      </c>
      <c r="Q1751" s="9"/>
    </row>
    <row r="1752" spans="1:17" ht="15">
      <c r="A1752" s="5" t="str">
        <f t="shared" si="82"/>
        <v/>
      </c>
      <c r="B1752" s="6"/>
      <c r="C1752" s="5" t="str">
        <f>IFERROR(VLOOKUP(B1752,Lists!$A$2:$B$25,2,FALSE),"")</f>
        <v/>
      </c>
      <c r="D1752" s="7"/>
      <c r="E1752" s="6"/>
      <c r="F1752" s="6" t="str">
        <f t="shared" si="83"/>
        <v/>
      </c>
      <c r="G1752" s="6"/>
      <c r="H1752" s="6"/>
      <c r="I1752" s="6"/>
      <c r="J1752" s="7"/>
      <c r="K1752" s="5" t="str" cm="1">
        <f t="array" ref="K1752">IF(OR(A1752="",B1752="",D1752="",E1752=""),"",A1752&amp;"_"&amp;SUBSTITUTE(B1752," ","-")&amp;"_"&amp;D1752&amp;"_"&amp;SUBSTITUTE(SUBSTITUTE(E1752," ",""),"€","Euro")&amp;"_"&amp;IF(F1752="","Unknown",F1752)&amp;IF(F1752="Commemorative",IF(G1752="","","_"&amp;SUBSTITUTE(SUBSTITUTE(SUBSTITUTE(G1752," ","-"),"/","-"),CHAR(39),"")),"")&amp;IF(I1752="Duplicate","_Dub"&amp;IF(SUMPRODUCT(($B$2:B1752=B1752)*($D$2:D1752=D1752)*($E$2:E1752=E1752)*($F$2:F1752=F1752)*($G$2:G1752=G1752)*($I$2:I1752="Duplicate"))&lt;=1,"",SUMPRODUCT(($B$2:B1752=B1752)*($D$2:D1752=D1752)*($E$2:E1752=E1752)*($F$2:F1752=F1752)*($G$2:G1752=G1752)*($I$2:I1752="Duplicate"))-1),"")&amp;".jpeg")</f>
        <v/>
      </c>
      <c r="L1752" s="6"/>
      <c r="M1752" s="5" t="str">
        <f>IFERROR(VLOOKUP(E1752,Specifications!$A$2:$D$9,2,FALSE),"")</f>
        <v/>
      </c>
      <c r="N1752" s="5" t="str">
        <f>IFERROR(VLOOKUP(E1752,Specifications!$A$2:$D$9,3,FALSE),"")</f>
        <v/>
      </c>
      <c r="O1752" s="5" t="str">
        <f>IFERROR(VLOOKUP(E1752,Specifications!$A$2:$D$9,4,FALSE),"")</f>
        <v/>
      </c>
      <c r="P1752" s="8" t="str">
        <f t="shared" si="84"/>
        <v/>
      </c>
      <c r="Q1752" s="9"/>
    </row>
    <row r="1753" spans="1:17" ht="15">
      <c r="A1753" s="5" t="str">
        <f t="shared" si="82"/>
        <v/>
      </c>
      <c r="B1753" s="6"/>
      <c r="C1753" s="5" t="str">
        <f>IFERROR(VLOOKUP(B1753,Lists!$A$2:$B$25,2,FALSE),"")</f>
        <v/>
      </c>
      <c r="D1753" s="7"/>
      <c r="E1753" s="6"/>
      <c r="F1753" s="6" t="str">
        <f t="shared" si="83"/>
        <v/>
      </c>
      <c r="G1753" s="6"/>
      <c r="H1753" s="6"/>
      <c r="I1753" s="6"/>
      <c r="J1753" s="7"/>
      <c r="K1753" s="5" t="str" cm="1">
        <f t="array" ref="K1753">IF(OR(A1753="",B1753="",D1753="",E1753=""),"",A1753&amp;"_"&amp;SUBSTITUTE(B1753," ","-")&amp;"_"&amp;D1753&amp;"_"&amp;SUBSTITUTE(SUBSTITUTE(E1753," ",""),"€","Euro")&amp;"_"&amp;IF(F1753="","Unknown",F1753)&amp;IF(F1753="Commemorative",IF(G1753="","","_"&amp;SUBSTITUTE(SUBSTITUTE(SUBSTITUTE(G1753," ","-"),"/","-"),CHAR(39),"")),"")&amp;IF(I1753="Duplicate","_Dub"&amp;IF(SUMPRODUCT(($B$2:B1753=B1753)*($D$2:D1753=D1753)*($E$2:E1753=E1753)*($F$2:F1753=F1753)*($G$2:G1753=G1753)*($I$2:I1753="Duplicate"))&lt;=1,"",SUMPRODUCT(($B$2:B1753=B1753)*($D$2:D1753=D1753)*($E$2:E1753=E1753)*($F$2:F1753=F1753)*($G$2:G1753=G1753)*($I$2:I1753="Duplicate"))-1),"")&amp;".jpeg")</f>
        <v/>
      </c>
      <c r="L1753" s="6"/>
      <c r="M1753" s="5" t="str">
        <f>IFERROR(VLOOKUP(E1753,Specifications!$A$2:$D$9,2,FALSE),"")</f>
        <v/>
      </c>
      <c r="N1753" s="5" t="str">
        <f>IFERROR(VLOOKUP(E1753,Specifications!$A$2:$D$9,3,FALSE),"")</f>
        <v/>
      </c>
      <c r="O1753" s="5" t="str">
        <f>IFERROR(VLOOKUP(E1753,Specifications!$A$2:$D$9,4,FALSE),"")</f>
        <v/>
      </c>
      <c r="P1753" s="8" t="str">
        <f t="shared" si="84"/>
        <v/>
      </c>
      <c r="Q1753" s="9"/>
    </row>
    <row r="1754" spans="1:17" ht="15">
      <c r="A1754" s="5" t="str">
        <f t="shared" si="82"/>
        <v/>
      </c>
      <c r="B1754" s="6"/>
      <c r="C1754" s="5" t="str">
        <f>IFERROR(VLOOKUP(B1754,Lists!$A$2:$B$25,2,FALSE),"")</f>
        <v/>
      </c>
      <c r="D1754" s="7"/>
      <c r="E1754" s="6"/>
      <c r="F1754" s="6" t="str">
        <f t="shared" si="83"/>
        <v/>
      </c>
      <c r="G1754" s="6"/>
      <c r="H1754" s="6"/>
      <c r="I1754" s="6"/>
      <c r="J1754" s="7"/>
      <c r="K1754" s="5" t="str" cm="1">
        <f t="array" ref="K1754">IF(OR(A1754="",B1754="",D1754="",E1754=""),"",A1754&amp;"_"&amp;SUBSTITUTE(B1754," ","-")&amp;"_"&amp;D1754&amp;"_"&amp;SUBSTITUTE(SUBSTITUTE(E1754," ",""),"€","Euro")&amp;"_"&amp;IF(F1754="","Unknown",F1754)&amp;IF(F1754="Commemorative",IF(G1754="","","_"&amp;SUBSTITUTE(SUBSTITUTE(SUBSTITUTE(G1754," ","-"),"/","-"),CHAR(39),"")),"")&amp;IF(I1754="Duplicate","_Dub"&amp;IF(SUMPRODUCT(($B$2:B1754=B1754)*($D$2:D1754=D1754)*($E$2:E1754=E1754)*($F$2:F1754=F1754)*($G$2:G1754=G1754)*($I$2:I1754="Duplicate"))&lt;=1,"",SUMPRODUCT(($B$2:B1754=B1754)*($D$2:D1754=D1754)*($E$2:E1754=E1754)*($F$2:F1754=F1754)*($G$2:G1754=G1754)*($I$2:I1754="Duplicate"))-1),"")&amp;".jpeg")</f>
        <v/>
      </c>
      <c r="L1754" s="6"/>
      <c r="M1754" s="5" t="str">
        <f>IFERROR(VLOOKUP(E1754,Specifications!$A$2:$D$9,2,FALSE),"")</f>
        <v/>
      </c>
      <c r="N1754" s="5" t="str">
        <f>IFERROR(VLOOKUP(E1754,Specifications!$A$2:$D$9,3,FALSE),"")</f>
        <v/>
      </c>
      <c r="O1754" s="5" t="str">
        <f>IFERROR(VLOOKUP(E1754,Specifications!$A$2:$D$9,4,FALSE),"")</f>
        <v/>
      </c>
      <c r="P1754" s="8" t="str">
        <f t="shared" si="84"/>
        <v/>
      </c>
      <c r="Q1754" s="9"/>
    </row>
    <row r="1755" spans="1:17" ht="15">
      <c r="A1755" s="5" t="str">
        <f t="shared" si="82"/>
        <v/>
      </c>
      <c r="B1755" s="6"/>
      <c r="C1755" s="5" t="str">
        <f>IFERROR(VLOOKUP(B1755,Lists!$A$2:$B$25,2,FALSE),"")</f>
        <v/>
      </c>
      <c r="D1755" s="7"/>
      <c r="E1755" s="6"/>
      <c r="F1755" s="6" t="str">
        <f t="shared" si="83"/>
        <v/>
      </c>
      <c r="G1755" s="6"/>
      <c r="H1755" s="6"/>
      <c r="I1755" s="6"/>
      <c r="J1755" s="7"/>
      <c r="K1755" s="5" t="str" cm="1">
        <f t="array" ref="K1755">IF(OR(A1755="",B1755="",D1755="",E1755=""),"",A1755&amp;"_"&amp;SUBSTITUTE(B1755," ","-")&amp;"_"&amp;D1755&amp;"_"&amp;SUBSTITUTE(SUBSTITUTE(E1755," ",""),"€","Euro")&amp;"_"&amp;IF(F1755="","Unknown",F1755)&amp;IF(F1755="Commemorative",IF(G1755="","","_"&amp;SUBSTITUTE(SUBSTITUTE(SUBSTITUTE(G1755," ","-"),"/","-"),CHAR(39),"")),"")&amp;IF(I1755="Duplicate","_Dub"&amp;IF(SUMPRODUCT(($B$2:B1755=B1755)*($D$2:D1755=D1755)*($E$2:E1755=E1755)*($F$2:F1755=F1755)*($G$2:G1755=G1755)*($I$2:I1755="Duplicate"))&lt;=1,"",SUMPRODUCT(($B$2:B1755=B1755)*($D$2:D1755=D1755)*($E$2:E1755=E1755)*($F$2:F1755=F1755)*($G$2:G1755=G1755)*($I$2:I1755="Duplicate"))-1),"")&amp;".jpeg")</f>
        <v/>
      </c>
      <c r="L1755" s="6"/>
      <c r="M1755" s="5" t="str">
        <f>IFERROR(VLOOKUP(E1755,Specifications!$A$2:$D$9,2,FALSE),"")</f>
        <v/>
      </c>
      <c r="N1755" s="5" t="str">
        <f>IFERROR(VLOOKUP(E1755,Specifications!$A$2:$D$9,3,FALSE),"")</f>
        <v/>
      </c>
      <c r="O1755" s="5" t="str">
        <f>IFERROR(VLOOKUP(E1755,Specifications!$A$2:$D$9,4,FALSE),"")</f>
        <v/>
      </c>
      <c r="P1755" s="8" t="str">
        <f t="shared" si="84"/>
        <v/>
      </c>
      <c r="Q1755" s="9"/>
    </row>
    <row r="1756" spans="1:17" ht="15">
      <c r="A1756" s="5" t="str">
        <f t="shared" si="82"/>
        <v/>
      </c>
      <c r="B1756" s="6"/>
      <c r="C1756" s="5" t="str">
        <f>IFERROR(VLOOKUP(B1756,Lists!$A$2:$B$25,2,FALSE),"")</f>
        <v/>
      </c>
      <c r="D1756" s="7"/>
      <c r="E1756" s="6"/>
      <c r="F1756" s="6" t="str">
        <f t="shared" si="83"/>
        <v/>
      </c>
      <c r="G1756" s="6"/>
      <c r="H1756" s="6"/>
      <c r="I1756" s="6"/>
      <c r="J1756" s="7"/>
      <c r="K1756" s="5" t="str" cm="1">
        <f t="array" ref="K1756">IF(OR(A1756="",B1756="",D1756="",E1756=""),"",A1756&amp;"_"&amp;SUBSTITUTE(B1756," ","-")&amp;"_"&amp;D1756&amp;"_"&amp;SUBSTITUTE(SUBSTITUTE(E1756," ",""),"€","Euro")&amp;"_"&amp;IF(F1756="","Unknown",F1756)&amp;IF(F1756="Commemorative",IF(G1756="","","_"&amp;SUBSTITUTE(SUBSTITUTE(SUBSTITUTE(G1756," ","-"),"/","-"),CHAR(39),"")),"")&amp;IF(I1756="Duplicate","_Dub"&amp;IF(SUMPRODUCT(($B$2:B1756=B1756)*($D$2:D1756=D1756)*($E$2:E1756=E1756)*($F$2:F1756=F1756)*($G$2:G1756=G1756)*($I$2:I1756="Duplicate"))&lt;=1,"",SUMPRODUCT(($B$2:B1756=B1756)*($D$2:D1756=D1756)*($E$2:E1756=E1756)*($F$2:F1756=F1756)*($G$2:G1756=G1756)*($I$2:I1756="Duplicate"))-1),"")&amp;".jpeg")</f>
        <v/>
      </c>
      <c r="L1756" s="6"/>
      <c r="M1756" s="5" t="str">
        <f>IFERROR(VLOOKUP(E1756,Specifications!$A$2:$D$9,2,FALSE),"")</f>
        <v/>
      </c>
      <c r="N1756" s="5" t="str">
        <f>IFERROR(VLOOKUP(E1756,Specifications!$A$2:$D$9,3,FALSE),"")</f>
        <v/>
      </c>
      <c r="O1756" s="5" t="str">
        <f>IFERROR(VLOOKUP(E1756,Specifications!$A$2:$D$9,4,FALSE),"")</f>
        <v/>
      </c>
      <c r="P1756" s="8" t="str">
        <f t="shared" si="84"/>
        <v/>
      </c>
      <c r="Q1756" s="9"/>
    </row>
    <row r="1757" spans="1:17" ht="15">
      <c r="A1757" s="5" t="str">
        <f t="shared" si="82"/>
        <v/>
      </c>
      <c r="B1757" s="6"/>
      <c r="C1757" s="5" t="str">
        <f>IFERROR(VLOOKUP(B1757,Lists!$A$2:$B$25,2,FALSE),"")</f>
        <v/>
      </c>
      <c r="D1757" s="7"/>
      <c r="E1757" s="6"/>
      <c r="F1757" s="6" t="str">
        <f t="shared" si="83"/>
        <v/>
      </c>
      <c r="G1757" s="6"/>
      <c r="H1757" s="6"/>
      <c r="I1757" s="6"/>
      <c r="J1757" s="7"/>
      <c r="K1757" s="5" t="str" cm="1">
        <f t="array" ref="K1757">IF(OR(A1757="",B1757="",D1757="",E1757=""),"",A1757&amp;"_"&amp;SUBSTITUTE(B1757," ","-")&amp;"_"&amp;D1757&amp;"_"&amp;SUBSTITUTE(SUBSTITUTE(E1757," ",""),"€","Euro")&amp;"_"&amp;IF(F1757="","Unknown",F1757)&amp;IF(F1757="Commemorative",IF(G1757="","","_"&amp;SUBSTITUTE(SUBSTITUTE(SUBSTITUTE(G1757," ","-"),"/","-"),CHAR(39),"")),"")&amp;IF(I1757="Duplicate","_Dub"&amp;IF(SUMPRODUCT(($B$2:B1757=B1757)*($D$2:D1757=D1757)*($E$2:E1757=E1757)*($F$2:F1757=F1757)*($G$2:G1757=G1757)*($I$2:I1757="Duplicate"))&lt;=1,"",SUMPRODUCT(($B$2:B1757=B1757)*($D$2:D1757=D1757)*($E$2:E1757=E1757)*($F$2:F1757=F1757)*($G$2:G1757=G1757)*($I$2:I1757="Duplicate"))-1),"")&amp;".jpeg")</f>
        <v/>
      </c>
      <c r="L1757" s="6"/>
      <c r="M1757" s="5" t="str">
        <f>IFERROR(VLOOKUP(E1757,Specifications!$A$2:$D$9,2,FALSE),"")</f>
        <v/>
      </c>
      <c r="N1757" s="5" t="str">
        <f>IFERROR(VLOOKUP(E1757,Specifications!$A$2:$D$9,3,FALSE),"")</f>
        <v/>
      </c>
      <c r="O1757" s="5" t="str">
        <f>IFERROR(VLOOKUP(E1757,Specifications!$A$2:$D$9,4,FALSE),"")</f>
        <v/>
      </c>
      <c r="P1757" s="8" t="str">
        <f t="shared" si="84"/>
        <v/>
      </c>
      <c r="Q1757" s="9"/>
    </row>
    <row r="1758" spans="1:17" ht="15">
      <c r="A1758" s="5" t="str">
        <f t="shared" si="82"/>
        <v/>
      </c>
      <c r="B1758" s="6"/>
      <c r="C1758" s="5" t="str">
        <f>IFERROR(VLOOKUP(B1758,Lists!$A$2:$B$25,2,FALSE),"")</f>
        <v/>
      </c>
      <c r="D1758" s="7"/>
      <c r="E1758" s="6"/>
      <c r="F1758" s="6" t="str">
        <f t="shared" si="83"/>
        <v/>
      </c>
      <c r="G1758" s="6"/>
      <c r="H1758" s="6"/>
      <c r="I1758" s="6"/>
      <c r="J1758" s="7"/>
      <c r="K1758" s="5" t="str" cm="1">
        <f t="array" ref="K1758">IF(OR(A1758="",B1758="",D1758="",E1758=""),"",A1758&amp;"_"&amp;SUBSTITUTE(B1758," ","-")&amp;"_"&amp;D1758&amp;"_"&amp;SUBSTITUTE(SUBSTITUTE(E1758," ",""),"€","Euro")&amp;"_"&amp;IF(F1758="","Unknown",F1758)&amp;IF(F1758="Commemorative",IF(G1758="","","_"&amp;SUBSTITUTE(SUBSTITUTE(SUBSTITUTE(G1758," ","-"),"/","-"),CHAR(39),"")),"")&amp;IF(I1758="Duplicate","_Dub"&amp;IF(SUMPRODUCT(($B$2:B1758=B1758)*($D$2:D1758=D1758)*($E$2:E1758=E1758)*($F$2:F1758=F1758)*($G$2:G1758=G1758)*($I$2:I1758="Duplicate"))&lt;=1,"",SUMPRODUCT(($B$2:B1758=B1758)*($D$2:D1758=D1758)*($E$2:E1758=E1758)*($F$2:F1758=F1758)*($G$2:G1758=G1758)*($I$2:I1758="Duplicate"))-1),"")&amp;".jpeg")</f>
        <v/>
      </c>
      <c r="L1758" s="6"/>
      <c r="M1758" s="5" t="str">
        <f>IFERROR(VLOOKUP(E1758,Specifications!$A$2:$D$9,2,FALSE),"")</f>
        <v/>
      </c>
      <c r="N1758" s="5" t="str">
        <f>IFERROR(VLOOKUP(E1758,Specifications!$A$2:$D$9,3,FALSE),"")</f>
        <v/>
      </c>
      <c r="O1758" s="5" t="str">
        <f>IFERROR(VLOOKUP(E1758,Specifications!$A$2:$D$9,4,FALSE),"")</f>
        <v/>
      </c>
      <c r="P1758" s="8" t="str">
        <f t="shared" si="84"/>
        <v/>
      </c>
      <c r="Q1758" s="9"/>
    </row>
    <row r="1759" spans="1:17" ht="15">
      <c r="A1759" s="5" t="str">
        <f t="shared" si="82"/>
        <v/>
      </c>
      <c r="B1759" s="6"/>
      <c r="C1759" s="5" t="str">
        <f>IFERROR(VLOOKUP(B1759,Lists!$A$2:$B$25,2,FALSE),"")</f>
        <v/>
      </c>
      <c r="D1759" s="7"/>
      <c r="E1759" s="6"/>
      <c r="F1759" s="6" t="str">
        <f t="shared" si="83"/>
        <v/>
      </c>
      <c r="G1759" s="6"/>
      <c r="H1759" s="6"/>
      <c r="I1759" s="6"/>
      <c r="J1759" s="7"/>
      <c r="K1759" s="5" t="str" cm="1">
        <f t="array" ref="K1759">IF(OR(A1759="",B1759="",D1759="",E1759=""),"",A1759&amp;"_"&amp;SUBSTITUTE(B1759," ","-")&amp;"_"&amp;D1759&amp;"_"&amp;SUBSTITUTE(SUBSTITUTE(E1759," ",""),"€","Euro")&amp;"_"&amp;IF(F1759="","Unknown",F1759)&amp;IF(F1759="Commemorative",IF(G1759="","","_"&amp;SUBSTITUTE(SUBSTITUTE(SUBSTITUTE(G1759," ","-"),"/","-"),CHAR(39),"")),"")&amp;IF(I1759="Duplicate","_Dub"&amp;IF(SUMPRODUCT(($B$2:B1759=B1759)*($D$2:D1759=D1759)*($E$2:E1759=E1759)*($F$2:F1759=F1759)*($G$2:G1759=G1759)*($I$2:I1759="Duplicate"))&lt;=1,"",SUMPRODUCT(($B$2:B1759=B1759)*($D$2:D1759=D1759)*($E$2:E1759=E1759)*($F$2:F1759=F1759)*($G$2:G1759=G1759)*($I$2:I1759="Duplicate"))-1),"")&amp;".jpeg")</f>
        <v/>
      </c>
      <c r="L1759" s="6"/>
      <c r="M1759" s="5" t="str">
        <f>IFERROR(VLOOKUP(E1759,Specifications!$A$2:$D$9,2,FALSE),"")</f>
        <v/>
      </c>
      <c r="N1759" s="5" t="str">
        <f>IFERROR(VLOOKUP(E1759,Specifications!$A$2:$D$9,3,FALSE),"")</f>
        <v/>
      </c>
      <c r="O1759" s="5" t="str">
        <f>IFERROR(VLOOKUP(E1759,Specifications!$A$2:$D$9,4,FALSE),"")</f>
        <v/>
      </c>
      <c r="P1759" s="8" t="str">
        <f t="shared" si="84"/>
        <v/>
      </c>
      <c r="Q1759" s="9"/>
    </row>
    <row r="1760" spans="1:17" ht="15">
      <c r="A1760" s="5" t="str">
        <f t="shared" si="82"/>
        <v/>
      </c>
      <c r="B1760" s="6"/>
      <c r="C1760" s="5" t="str">
        <f>IFERROR(VLOOKUP(B1760,Lists!$A$2:$B$25,2,FALSE),"")</f>
        <v/>
      </c>
      <c r="D1760" s="7"/>
      <c r="E1760" s="6"/>
      <c r="F1760" s="6" t="str">
        <f t="shared" si="83"/>
        <v/>
      </c>
      <c r="G1760" s="6"/>
      <c r="H1760" s="6"/>
      <c r="I1760" s="6"/>
      <c r="J1760" s="7"/>
      <c r="K1760" s="5" t="str" cm="1">
        <f t="array" ref="K1760">IF(OR(A1760="",B1760="",D1760="",E1760=""),"",A1760&amp;"_"&amp;SUBSTITUTE(B1760," ","-")&amp;"_"&amp;D1760&amp;"_"&amp;SUBSTITUTE(SUBSTITUTE(E1760," ",""),"€","Euro")&amp;"_"&amp;IF(F1760="","Unknown",F1760)&amp;IF(F1760="Commemorative",IF(G1760="","","_"&amp;SUBSTITUTE(SUBSTITUTE(SUBSTITUTE(G1760," ","-"),"/","-"),CHAR(39),"")),"")&amp;IF(I1760="Duplicate","_Dub"&amp;IF(SUMPRODUCT(($B$2:B1760=B1760)*($D$2:D1760=D1760)*($E$2:E1760=E1760)*($F$2:F1760=F1760)*($G$2:G1760=G1760)*($I$2:I1760="Duplicate"))&lt;=1,"",SUMPRODUCT(($B$2:B1760=B1760)*($D$2:D1760=D1760)*($E$2:E1760=E1760)*($F$2:F1760=F1760)*($G$2:G1760=G1760)*($I$2:I1760="Duplicate"))-1),"")&amp;".jpeg")</f>
        <v/>
      </c>
      <c r="L1760" s="6"/>
      <c r="M1760" s="5" t="str">
        <f>IFERROR(VLOOKUP(E1760,Specifications!$A$2:$D$9,2,FALSE),"")</f>
        <v/>
      </c>
      <c r="N1760" s="5" t="str">
        <f>IFERROR(VLOOKUP(E1760,Specifications!$A$2:$D$9,3,FALSE),"")</f>
        <v/>
      </c>
      <c r="O1760" s="5" t="str">
        <f>IFERROR(VLOOKUP(E1760,Specifications!$A$2:$D$9,4,FALSE),"")</f>
        <v/>
      </c>
      <c r="P1760" s="8" t="str">
        <f t="shared" si="84"/>
        <v/>
      </c>
      <c r="Q1760" s="9"/>
    </row>
    <row r="1761" spans="1:17" ht="15">
      <c r="A1761" s="5" t="str">
        <f t="shared" si="82"/>
        <v/>
      </c>
      <c r="B1761" s="6"/>
      <c r="C1761" s="5" t="str">
        <f>IFERROR(VLOOKUP(B1761,Lists!$A$2:$B$25,2,FALSE),"")</f>
        <v/>
      </c>
      <c r="D1761" s="7"/>
      <c r="E1761" s="6"/>
      <c r="F1761" s="6" t="str">
        <f t="shared" si="83"/>
        <v/>
      </c>
      <c r="G1761" s="6"/>
      <c r="H1761" s="6"/>
      <c r="I1761" s="6"/>
      <c r="J1761" s="7"/>
      <c r="K1761" s="5" t="str" cm="1">
        <f t="array" ref="K1761">IF(OR(A1761="",B1761="",D1761="",E1761=""),"",A1761&amp;"_"&amp;SUBSTITUTE(B1761," ","-")&amp;"_"&amp;D1761&amp;"_"&amp;SUBSTITUTE(SUBSTITUTE(E1761," ",""),"€","Euro")&amp;"_"&amp;IF(F1761="","Unknown",F1761)&amp;IF(F1761="Commemorative",IF(G1761="","","_"&amp;SUBSTITUTE(SUBSTITUTE(SUBSTITUTE(G1761," ","-"),"/","-"),CHAR(39),"")),"")&amp;IF(I1761="Duplicate","_Dub"&amp;IF(SUMPRODUCT(($B$2:B1761=B1761)*($D$2:D1761=D1761)*($E$2:E1761=E1761)*($F$2:F1761=F1761)*($G$2:G1761=G1761)*($I$2:I1761="Duplicate"))&lt;=1,"",SUMPRODUCT(($B$2:B1761=B1761)*($D$2:D1761=D1761)*($E$2:E1761=E1761)*($F$2:F1761=F1761)*($G$2:G1761=G1761)*($I$2:I1761="Duplicate"))-1),"")&amp;".jpeg")</f>
        <v/>
      </c>
      <c r="L1761" s="6"/>
      <c r="M1761" s="5" t="str">
        <f>IFERROR(VLOOKUP(E1761,Specifications!$A$2:$D$9,2,FALSE),"")</f>
        <v/>
      </c>
      <c r="N1761" s="5" t="str">
        <f>IFERROR(VLOOKUP(E1761,Specifications!$A$2:$D$9,3,FALSE),"")</f>
        <v/>
      </c>
      <c r="O1761" s="5" t="str">
        <f>IFERROR(VLOOKUP(E1761,Specifications!$A$2:$D$9,4,FALSE),"")</f>
        <v/>
      </c>
      <c r="P1761" s="8" t="str">
        <f t="shared" si="84"/>
        <v/>
      </c>
      <c r="Q1761" s="9"/>
    </row>
    <row r="1762" spans="1:17" ht="15">
      <c r="A1762" s="5" t="str">
        <f t="shared" si="82"/>
        <v/>
      </c>
      <c r="B1762" s="6"/>
      <c r="C1762" s="5" t="str">
        <f>IFERROR(VLOOKUP(B1762,Lists!$A$2:$B$25,2,FALSE),"")</f>
        <v/>
      </c>
      <c r="D1762" s="7"/>
      <c r="E1762" s="6"/>
      <c r="F1762" s="6" t="str">
        <f t="shared" si="83"/>
        <v/>
      </c>
      <c r="G1762" s="6"/>
      <c r="H1762" s="6"/>
      <c r="I1762" s="6"/>
      <c r="J1762" s="7"/>
      <c r="K1762" s="5" t="str" cm="1">
        <f t="array" ref="K1762">IF(OR(A1762="",B1762="",D1762="",E1762=""),"",A1762&amp;"_"&amp;SUBSTITUTE(B1762," ","-")&amp;"_"&amp;D1762&amp;"_"&amp;SUBSTITUTE(SUBSTITUTE(E1762," ",""),"€","Euro")&amp;"_"&amp;IF(F1762="","Unknown",F1762)&amp;IF(F1762="Commemorative",IF(G1762="","","_"&amp;SUBSTITUTE(SUBSTITUTE(SUBSTITUTE(G1762," ","-"),"/","-"),CHAR(39),"")),"")&amp;IF(I1762="Duplicate","_Dub"&amp;IF(SUMPRODUCT(($B$2:B1762=B1762)*($D$2:D1762=D1762)*($E$2:E1762=E1762)*($F$2:F1762=F1762)*($G$2:G1762=G1762)*($I$2:I1762="Duplicate"))&lt;=1,"",SUMPRODUCT(($B$2:B1762=B1762)*($D$2:D1762=D1762)*($E$2:E1762=E1762)*($F$2:F1762=F1762)*($G$2:G1762=G1762)*($I$2:I1762="Duplicate"))-1),"")&amp;".jpeg")</f>
        <v/>
      </c>
      <c r="L1762" s="6"/>
      <c r="M1762" s="5" t="str">
        <f>IFERROR(VLOOKUP(E1762,Specifications!$A$2:$D$9,2,FALSE),"")</f>
        <v/>
      </c>
      <c r="N1762" s="5" t="str">
        <f>IFERROR(VLOOKUP(E1762,Specifications!$A$2:$D$9,3,FALSE),"")</f>
        <v/>
      </c>
      <c r="O1762" s="5" t="str">
        <f>IFERROR(VLOOKUP(E1762,Specifications!$A$2:$D$9,4,FALSE),"")</f>
        <v/>
      </c>
      <c r="P1762" s="8" t="str">
        <f t="shared" si="84"/>
        <v/>
      </c>
      <c r="Q1762" s="9"/>
    </row>
    <row r="1763" spans="1:17" ht="15">
      <c r="A1763" s="5" t="str">
        <f t="shared" si="82"/>
        <v/>
      </c>
      <c r="B1763" s="6"/>
      <c r="C1763" s="5" t="str">
        <f>IFERROR(VLOOKUP(B1763,Lists!$A$2:$B$25,2,FALSE),"")</f>
        <v/>
      </c>
      <c r="D1763" s="7"/>
      <c r="E1763" s="6"/>
      <c r="F1763" s="6" t="str">
        <f t="shared" si="83"/>
        <v/>
      </c>
      <c r="G1763" s="6"/>
      <c r="H1763" s="6"/>
      <c r="I1763" s="6"/>
      <c r="J1763" s="7"/>
      <c r="K1763" s="5" t="str" cm="1">
        <f t="array" ref="K1763">IF(OR(A1763="",B1763="",D1763="",E1763=""),"",A1763&amp;"_"&amp;SUBSTITUTE(B1763," ","-")&amp;"_"&amp;D1763&amp;"_"&amp;SUBSTITUTE(SUBSTITUTE(E1763," ",""),"€","Euro")&amp;"_"&amp;IF(F1763="","Unknown",F1763)&amp;IF(F1763="Commemorative",IF(G1763="","","_"&amp;SUBSTITUTE(SUBSTITUTE(SUBSTITUTE(G1763," ","-"),"/","-"),CHAR(39),"")),"")&amp;IF(I1763="Duplicate","_Dub"&amp;IF(SUMPRODUCT(($B$2:B1763=B1763)*($D$2:D1763=D1763)*($E$2:E1763=E1763)*($F$2:F1763=F1763)*($G$2:G1763=G1763)*($I$2:I1763="Duplicate"))&lt;=1,"",SUMPRODUCT(($B$2:B1763=B1763)*($D$2:D1763=D1763)*($E$2:E1763=E1763)*($F$2:F1763=F1763)*($G$2:G1763=G1763)*($I$2:I1763="Duplicate"))-1),"")&amp;".jpeg")</f>
        <v/>
      </c>
      <c r="L1763" s="6"/>
      <c r="M1763" s="5" t="str">
        <f>IFERROR(VLOOKUP(E1763,Specifications!$A$2:$D$9,2,FALSE),"")</f>
        <v/>
      </c>
      <c r="N1763" s="5" t="str">
        <f>IFERROR(VLOOKUP(E1763,Specifications!$A$2:$D$9,3,FALSE),"")</f>
        <v/>
      </c>
      <c r="O1763" s="5" t="str">
        <f>IFERROR(VLOOKUP(E1763,Specifications!$A$2:$D$9,4,FALSE),"")</f>
        <v/>
      </c>
      <c r="P1763" s="8" t="str">
        <f t="shared" si="84"/>
        <v/>
      </c>
      <c r="Q1763" s="9"/>
    </row>
    <row r="1764" spans="1:17" ht="15">
      <c r="A1764" s="5" t="str">
        <f t="shared" si="82"/>
        <v/>
      </c>
      <c r="B1764" s="6"/>
      <c r="C1764" s="5" t="str">
        <f>IFERROR(VLOOKUP(B1764,Lists!$A$2:$B$25,2,FALSE),"")</f>
        <v/>
      </c>
      <c r="D1764" s="7"/>
      <c r="E1764" s="6"/>
      <c r="F1764" s="6" t="str">
        <f t="shared" si="83"/>
        <v/>
      </c>
      <c r="G1764" s="6"/>
      <c r="H1764" s="6"/>
      <c r="I1764" s="6"/>
      <c r="J1764" s="7"/>
      <c r="K1764" s="5" t="str" cm="1">
        <f t="array" ref="K1764">IF(OR(A1764="",B1764="",D1764="",E1764=""),"",A1764&amp;"_"&amp;SUBSTITUTE(B1764," ","-")&amp;"_"&amp;D1764&amp;"_"&amp;SUBSTITUTE(SUBSTITUTE(E1764," ",""),"€","Euro")&amp;"_"&amp;IF(F1764="","Unknown",F1764)&amp;IF(F1764="Commemorative",IF(G1764="","","_"&amp;SUBSTITUTE(SUBSTITUTE(SUBSTITUTE(G1764," ","-"),"/","-"),CHAR(39),"")),"")&amp;IF(I1764="Duplicate","_Dub"&amp;IF(SUMPRODUCT(($B$2:B1764=B1764)*($D$2:D1764=D1764)*($E$2:E1764=E1764)*($F$2:F1764=F1764)*($G$2:G1764=G1764)*($I$2:I1764="Duplicate"))&lt;=1,"",SUMPRODUCT(($B$2:B1764=B1764)*($D$2:D1764=D1764)*($E$2:E1764=E1764)*($F$2:F1764=F1764)*($G$2:G1764=G1764)*($I$2:I1764="Duplicate"))-1),"")&amp;".jpeg")</f>
        <v/>
      </c>
      <c r="L1764" s="6"/>
      <c r="M1764" s="5" t="str">
        <f>IFERROR(VLOOKUP(E1764,Specifications!$A$2:$D$9,2,FALSE),"")</f>
        <v/>
      </c>
      <c r="N1764" s="5" t="str">
        <f>IFERROR(VLOOKUP(E1764,Specifications!$A$2:$D$9,3,FALSE),"")</f>
        <v/>
      </c>
      <c r="O1764" s="5" t="str">
        <f>IFERROR(VLOOKUP(E1764,Specifications!$A$2:$D$9,4,FALSE),"")</f>
        <v/>
      </c>
      <c r="P1764" s="8" t="str">
        <f t="shared" si="84"/>
        <v/>
      </c>
      <c r="Q1764" s="9"/>
    </row>
    <row r="1765" spans="1:17" ht="15">
      <c r="A1765" s="5" t="str">
        <f t="shared" si="82"/>
        <v/>
      </c>
      <c r="B1765" s="6"/>
      <c r="C1765" s="5" t="str">
        <f>IFERROR(VLOOKUP(B1765,Lists!$A$2:$B$25,2,FALSE),"")</f>
        <v/>
      </c>
      <c r="D1765" s="7"/>
      <c r="E1765" s="6"/>
      <c r="F1765" s="6" t="str">
        <f t="shared" si="83"/>
        <v/>
      </c>
      <c r="G1765" s="6"/>
      <c r="H1765" s="6"/>
      <c r="I1765" s="6"/>
      <c r="J1765" s="7"/>
      <c r="K1765" s="5" t="str" cm="1">
        <f t="array" ref="K1765">IF(OR(A1765="",B1765="",D1765="",E1765=""),"",A1765&amp;"_"&amp;SUBSTITUTE(B1765," ","-")&amp;"_"&amp;D1765&amp;"_"&amp;SUBSTITUTE(SUBSTITUTE(E1765," ",""),"€","Euro")&amp;"_"&amp;IF(F1765="","Unknown",F1765)&amp;IF(F1765="Commemorative",IF(G1765="","","_"&amp;SUBSTITUTE(SUBSTITUTE(SUBSTITUTE(G1765," ","-"),"/","-"),CHAR(39),"")),"")&amp;IF(I1765="Duplicate","_Dub"&amp;IF(SUMPRODUCT(($B$2:B1765=B1765)*($D$2:D1765=D1765)*($E$2:E1765=E1765)*($F$2:F1765=F1765)*($G$2:G1765=G1765)*($I$2:I1765="Duplicate"))&lt;=1,"",SUMPRODUCT(($B$2:B1765=B1765)*($D$2:D1765=D1765)*($E$2:E1765=E1765)*($F$2:F1765=F1765)*($G$2:G1765=G1765)*($I$2:I1765="Duplicate"))-1),"")&amp;".jpeg")</f>
        <v/>
      </c>
      <c r="L1765" s="6"/>
      <c r="M1765" s="5" t="str">
        <f>IFERROR(VLOOKUP(E1765,Specifications!$A$2:$D$9,2,FALSE),"")</f>
        <v/>
      </c>
      <c r="N1765" s="5" t="str">
        <f>IFERROR(VLOOKUP(E1765,Specifications!$A$2:$D$9,3,FALSE),"")</f>
        <v/>
      </c>
      <c r="O1765" s="5" t="str">
        <f>IFERROR(VLOOKUP(E1765,Specifications!$A$2:$D$9,4,FALSE),"")</f>
        <v/>
      </c>
      <c r="P1765" s="8" t="str">
        <f t="shared" si="84"/>
        <v/>
      </c>
      <c r="Q1765" s="9"/>
    </row>
    <row r="1766" spans="1:17" ht="15">
      <c r="A1766" s="5" t="str">
        <f t="shared" si="82"/>
        <v/>
      </c>
      <c r="B1766" s="6"/>
      <c r="C1766" s="5" t="str">
        <f>IFERROR(VLOOKUP(B1766,Lists!$A$2:$B$25,2,FALSE),"")</f>
        <v/>
      </c>
      <c r="D1766" s="7"/>
      <c r="E1766" s="6"/>
      <c r="F1766" s="6" t="str">
        <f t="shared" si="83"/>
        <v/>
      </c>
      <c r="G1766" s="6"/>
      <c r="H1766" s="6"/>
      <c r="I1766" s="6"/>
      <c r="J1766" s="7"/>
      <c r="K1766" s="5" t="str" cm="1">
        <f t="array" ref="K1766">IF(OR(A1766="",B1766="",D1766="",E1766=""),"",A1766&amp;"_"&amp;SUBSTITUTE(B1766," ","-")&amp;"_"&amp;D1766&amp;"_"&amp;SUBSTITUTE(SUBSTITUTE(E1766," ",""),"€","Euro")&amp;"_"&amp;IF(F1766="","Unknown",F1766)&amp;IF(F1766="Commemorative",IF(G1766="","","_"&amp;SUBSTITUTE(SUBSTITUTE(SUBSTITUTE(G1766," ","-"),"/","-"),CHAR(39),"")),"")&amp;IF(I1766="Duplicate","_Dub"&amp;IF(SUMPRODUCT(($B$2:B1766=B1766)*($D$2:D1766=D1766)*($E$2:E1766=E1766)*($F$2:F1766=F1766)*($G$2:G1766=G1766)*($I$2:I1766="Duplicate"))&lt;=1,"",SUMPRODUCT(($B$2:B1766=B1766)*($D$2:D1766=D1766)*($E$2:E1766=E1766)*($F$2:F1766=F1766)*($G$2:G1766=G1766)*($I$2:I1766="Duplicate"))-1),"")&amp;".jpeg")</f>
        <v/>
      </c>
      <c r="L1766" s="6"/>
      <c r="M1766" s="5" t="str">
        <f>IFERROR(VLOOKUP(E1766,Specifications!$A$2:$D$9,2,FALSE),"")</f>
        <v/>
      </c>
      <c r="N1766" s="5" t="str">
        <f>IFERROR(VLOOKUP(E1766,Specifications!$A$2:$D$9,3,FALSE),"")</f>
        <v/>
      </c>
      <c r="O1766" s="5" t="str">
        <f>IFERROR(VLOOKUP(E1766,Specifications!$A$2:$D$9,4,FALSE),"")</f>
        <v/>
      </c>
      <c r="P1766" s="8" t="str">
        <f t="shared" si="84"/>
        <v/>
      </c>
      <c r="Q1766" s="9"/>
    </row>
    <row r="1767" spans="1:17" ht="15">
      <c r="A1767" s="5" t="str">
        <f t="shared" si="82"/>
        <v/>
      </c>
      <c r="B1767" s="6"/>
      <c r="C1767" s="5" t="str">
        <f>IFERROR(VLOOKUP(B1767,Lists!$A$2:$B$25,2,FALSE),"")</f>
        <v/>
      </c>
      <c r="D1767" s="7"/>
      <c r="E1767" s="6"/>
      <c r="F1767" s="6" t="str">
        <f t="shared" si="83"/>
        <v/>
      </c>
      <c r="G1767" s="6"/>
      <c r="H1767" s="6"/>
      <c r="I1767" s="6"/>
      <c r="J1767" s="7"/>
      <c r="K1767" s="5" t="str" cm="1">
        <f t="array" ref="K1767">IF(OR(A1767="",B1767="",D1767="",E1767=""),"",A1767&amp;"_"&amp;SUBSTITUTE(B1767," ","-")&amp;"_"&amp;D1767&amp;"_"&amp;SUBSTITUTE(SUBSTITUTE(E1767," ",""),"€","Euro")&amp;"_"&amp;IF(F1767="","Unknown",F1767)&amp;IF(F1767="Commemorative",IF(G1767="","","_"&amp;SUBSTITUTE(SUBSTITUTE(SUBSTITUTE(G1767," ","-"),"/","-"),CHAR(39),"")),"")&amp;IF(I1767="Duplicate","_Dub"&amp;IF(SUMPRODUCT(($B$2:B1767=B1767)*($D$2:D1767=D1767)*($E$2:E1767=E1767)*($F$2:F1767=F1767)*($G$2:G1767=G1767)*($I$2:I1767="Duplicate"))&lt;=1,"",SUMPRODUCT(($B$2:B1767=B1767)*($D$2:D1767=D1767)*($E$2:E1767=E1767)*($F$2:F1767=F1767)*($G$2:G1767=G1767)*($I$2:I1767="Duplicate"))-1),"")&amp;".jpeg")</f>
        <v/>
      </c>
      <c r="L1767" s="6"/>
      <c r="M1767" s="5" t="str">
        <f>IFERROR(VLOOKUP(E1767,Specifications!$A$2:$D$9,2,FALSE),"")</f>
        <v/>
      </c>
      <c r="N1767" s="5" t="str">
        <f>IFERROR(VLOOKUP(E1767,Specifications!$A$2:$D$9,3,FALSE),"")</f>
        <v/>
      </c>
      <c r="O1767" s="5" t="str">
        <f>IFERROR(VLOOKUP(E1767,Specifications!$A$2:$D$9,4,FALSE),"")</f>
        <v/>
      </c>
      <c r="P1767" s="8" t="str">
        <f t="shared" si="84"/>
        <v/>
      </c>
      <c r="Q1767" s="9"/>
    </row>
    <row r="1768" spans="1:17" ht="15">
      <c r="A1768" s="5" t="str">
        <f t="shared" si="82"/>
        <v/>
      </c>
      <c r="B1768" s="6"/>
      <c r="C1768" s="5" t="str">
        <f>IFERROR(VLOOKUP(B1768,Lists!$A$2:$B$25,2,FALSE),"")</f>
        <v/>
      </c>
      <c r="D1768" s="7"/>
      <c r="E1768" s="6"/>
      <c r="F1768" s="6" t="str">
        <f t="shared" si="83"/>
        <v/>
      </c>
      <c r="G1768" s="6"/>
      <c r="H1768" s="6"/>
      <c r="I1768" s="6"/>
      <c r="J1768" s="7"/>
      <c r="K1768" s="5" t="str" cm="1">
        <f t="array" ref="K1768">IF(OR(A1768="",B1768="",D1768="",E1768=""),"",A1768&amp;"_"&amp;SUBSTITUTE(B1768," ","-")&amp;"_"&amp;D1768&amp;"_"&amp;SUBSTITUTE(SUBSTITUTE(E1768," ",""),"€","Euro")&amp;"_"&amp;IF(F1768="","Unknown",F1768)&amp;IF(F1768="Commemorative",IF(G1768="","","_"&amp;SUBSTITUTE(SUBSTITUTE(SUBSTITUTE(G1768," ","-"),"/","-"),CHAR(39),"")),"")&amp;IF(I1768="Duplicate","_Dub"&amp;IF(SUMPRODUCT(($B$2:B1768=B1768)*($D$2:D1768=D1768)*($E$2:E1768=E1768)*($F$2:F1768=F1768)*($G$2:G1768=G1768)*($I$2:I1768="Duplicate"))&lt;=1,"",SUMPRODUCT(($B$2:B1768=B1768)*($D$2:D1768=D1768)*($E$2:E1768=E1768)*($F$2:F1768=F1768)*($G$2:G1768=G1768)*($I$2:I1768="Duplicate"))-1),"")&amp;".jpeg")</f>
        <v/>
      </c>
      <c r="L1768" s="6"/>
      <c r="M1768" s="5" t="str">
        <f>IFERROR(VLOOKUP(E1768,Specifications!$A$2:$D$9,2,FALSE),"")</f>
        <v/>
      </c>
      <c r="N1768" s="5" t="str">
        <f>IFERROR(VLOOKUP(E1768,Specifications!$A$2:$D$9,3,FALSE),"")</f>
        <v/>
      </c>
      <c r="O1768" s="5" t="str">
        <f>IFERROR(VLOOKUP(E1768,Specifications!$A$2:$D$9,4,FALSE),"")</f>
        <v/>
      </c>
      <c r="P1768" s="8" t="str">
        <f t="shared" si="84"/>
        <v/>
      </c>
      <c r="Q1768" s="9"/>
    </row>
    <row r="1769" spans="1:17" ht="15">
      <c r="A1769" s="5" t="str">
        <f t="shared" si="82"/>
        <v/>
      </c>
      <c r="B1769" s="6"/>
      <c r="C1769" s="5" t="str">
        <f>IFERROR(VLOOKUP(B1769,Lists!$A$2:$B$25,2,FALSE),"")</f>
        <v/>
      </c>
      <c r="D1769" s="7"/>
      <c r="E1769" s="6"/>
      <c r="F1769" s="6" t="str">
        <f t="shared" si="83"/>
        <v/>
      </c>
      <c r="G1769" s="6"/>
      <c r="H1769" s="6"/>
      <c r="I1769" s="6"/>
      <c r="J1769" s="7"/>
      <c r="K1769" s="5" t="str" cm="1">
        <f t="array" ref="K1769">IF(OR(A1769="",B1769="",D1769="",E1769=""),"",A1769&amp;"_"&amp;SUBSTITUTE(B1769," ","-")&amp;"_"&amp;D1769&amp;"_"&amp;SUBSTITUTE(SUBSTITUTE(E1769," ",""),"€","Euro")&amp;"_"&amp;IF(F1769="","Unknown",F1769)&amp;IF(F1769="Commemorative",IF(G1769="","","_"&amp;SUBSTITUTE(SUBSTITUTE(SUBSTITUTE(G1769," ","-"),"/","-"),CHAR(39),"")),"")&amp;IF(I1769="Duplicate","_Dub"&amp;IF(SUMPRODUCT(($B$2:B1769=B1769)*($D$2:D1769=D1769)*($E$2:E1769=E1769)*($F$2:F1769=F1769)*($G$2:G1769=G1769)*($I$2:I1769="Duplicate"))&lt;=1,"",SUMPRODUCT(($B$2:B1769=B1769)*($D$2:D1769=D1769)*($E$2:E1769=E1769)*($F$2:F1769=F1769)*($G$2:G1769=G1769)*($I$2:I1769="Duplicate"))-1),"")&amp;".jpeg")</f>
        <v/>
      </c>
      <c r="L1769" s="6"/>
      <c r="M1769" s="5" t="str">
        <f>IFERROR(VLOOKUP(E1769,Specifications!$A$2:$D$9,2,FALSE),"")</f>
        <v/>
      </c>
      <c r="N1769" s="5" t="str">
        <f>IFERROR(VLOOKUP(E1769,Specifications!$A$2:$D$9,3,FALSE),"")</f>
        <v/>
      </c>
      <c r="O1769" s="5" t="str">
        <f>IFERROR(VLOOKUP(E1769,Specifications!$A$2:$D$9,4,FALSE),"")</f>
        <v/>
      </c>
      <c r="P1769" s="8" t="str">
        <f t="shared" si="84"/>
        <v/>
      </c>
      <c r="Q1769" s="9"/>
    </row>
    <row r="1770" spans="1:17" ht="15">
      <c r="A1770" s="5" t="str">
        <f t="shared" si="82"/>
        <v/>
      </c>
      <c r="B1770" s="6"/>
      <c r="C1770" s="5" t="str">
        <f>IFERROR(VLOOKUP(B1770,Lists!$A$2:$B$25,2,FALSE),"")</f>
        <v/>
      </c>
      <c r="D1770" s="7"/>
      <c r="E1770" s="6"/>
      <c r="F1770" s="6" t="str">
        <f t="shared" si="83"/>
        <v/>
      </c>
      <c r="G1770" s="6"/>
      <c r="H1770" s="6"/>
      <c r="I1770" s="6"/>
      <c r="J1770" s="7"/>
      <c r="K1770" s="5" t="str" cm="1">
        <f t="array" ref="K1770">IF(OR(A1770="",B1770="",D1770="",E1770=""),"",A1770&amp;"_"&amp;SUBSTITUTE(B1770," ","-")&amp;"_"&amp;D1770&amp;"_"&amp;SUBSTITUTE(SUBSTITUTE(E1770," ",""),"€","Euro")&amp;"_"&amp;IF(F1770="","Unknown",F1770)&amp;IF(F1770="Commemorative",IF(G1770="","","_"&amp;SUBSTITUTE(SUBSTITUTE(SUBSTITUTE(G1770," ","-"),"/","-"),CHAR(39),"")),"")&amp;IF(I1770="Duplicate","_Dub"&amp;IF(SUMPRODUCT(($B$2:B1770=B1770)*($D$2:D1770=D1770)*($E$2:E1770=E1770)*($F$2:F1770=F1770)*($G$2:G1770=G1770)*($I$2:I1770="Duplicate"))&lt;=1,"",SUMPRODUCT(($B$2:B1770=B1770)*($D$2:D1770=D1770)*($E$2:E1770=E1770)*($F$2:F1770=F1770)*($G$2:G1770=G1770)*($I$2:I1770="Duplicate"))-1),"")&amp;".jpeg")</f>
        <v/>
      </c>
      <c r="L1770" s="6"/>
      <c r="M1770" s="5" t="str">
        <f>IFERROR(VLOOKUP(E1770,Specifications!$A$2:$D$9,2,FALSE),"")</f>
        <v/>
      </c>
      <c r="N1770" s="5" t="str">
        <f>IFERROR(VLOOKUP(E1770,Specifications!$A$2:$D$9,3,FALSE),"")</f>
        <v/>
      </c>
      <c r="O1770" s="5" t="str">
        <f>IFERROR(VLOOKUP(E1770,Specifications!$A$2:$D$9,4,FALSE),"")</f>
        <v/>
      </c>
      <c r="P1770" s="8" t="str">
        <f t="shared" si="84"/>
        <v/>
      </c>
      <c r="Q1770" s="9"/>
    </row>
    <row r="1771" spans="1:17" ht="15">
      <c r="A1771" s="5" t="str">
        <f t="shared" si="82"/>
        <v/>
      </c>
      <c r="B1771" s="6"/>
      <c r="C1771" s="5" t="str">
        <f>IFERROR(VLOOKUP(B1771,Lists!$A$2:$B$25,2,FALSE),"")</f>
        <v/>
      </c>
      <c r="D1771" s="7"/>
      <c r="E1771" s="6"/>
      <c r="F1771" s="6" t="str">
        <f t="shared" si="83"/>
        <v/>
      </c>
      <c r="G1771" s="6"/>
      <c r="H1771" s="6"/>
      <c r="I1771" s="6"/>
      <c r="J1771" s="7"/>
      <c r="K1771" s="5" t="str" cm="1">
        <f t="array" ref="K1771">IF(OR(A1771="",B1771="",D1771="",E1771=""),"",A1771&amp;"_"&amp;SUBSTITUTE(B1771," ","-")&amp;"_"&amp;D1771&amp;"_"&amp;SUBSTITUTE(SUBSTITUTE(E1771," ",""),"€","Euro")&amp;"_"&amp;IF(F1771="","Unknown",F1771)&amp;IF(F1771="Commemorative",IF(G1771="","","_"&amp;SUBSTITUTE(SUBSTITUTE(SUBSTITUTE(G1771," ","-"),"/","-"),CHAR(39),"")),"")&amp;IF(I1771="Duplicate","_Dub"&amp;IF(SUMPRODUCT(($B$2:B1771=B1771)*($D$2:D1771=D1771)*($E$2:E1771=E1771)*($F$2:F1771=F1771)*($G$2:G1771=G1771)*($I$2:I1771="Duplicate"))&lt;=1,"",SUMPRODUCT(($B$2:B1771=B1771)*($D$2:D1771=D1771)*($E$2:E1771=E1771)*($F$2:F1771=F1771)*($G$2:G1771=G1771)*($I$2:I1771="Duplicate"))-1),"")&amp;".jpeg")</f>
        <v/>
      </c>
      <c r="L1771" s="6"/>
      <c r="M1771" s="5" t="str">
        <f>IFERROR(VLOOKUP(E1771,Specifications!$A$2:$D$9,2,FALSE),"")</f>
        <v/>
      </c>
      <c r="N1771" s="5" t="str">
        <f>IFERROR(VLOOKUP(E1771,Specifications!$A$2:$D$9,3,FALSE),"")</f>
        <v/>
      </c>
      <c r="O1771" s="5" t="str">
        <f>IFERROR(VLOOKUP(E1771,Specifications!$A$2:$D$9,4,FALSE),"")</f>
        <v/>
      </c>
      <c r="P1771" s="8" t="str">
        <f t="shared" si="84"/>
        <v/>
      </c>
      <c r="Q1771" s="9"/>
    </row>
    <row r="1772" spans="1:17" ht="15">
      <c r="A1772" s="5" t="str">
        <f t="shared" si="82"/>
        <v/>
      </c>
      <c r="B1772" s="6"/>
      <c r="C1772" s="5" t="str">
        <f>IFERROR(VLOOKUP(B1772,Lists!$A$2:$B$25,2,FALSE),"")</f>
        <v/>
      </c>
      <c r="D1772" s="7"/>
      <c r="E1772" s="6"/>
      <c r="F1772" s="6" t="str">
        <f t="shared" si="83"/>
        <v/>
      </c>
      <c r="G1772" s="6"/>
      <c r="H1772" s="6"/>
      <c r="I1772" s="6"/>
      <c r="J1772" s="7"/>
      <c r="K1772" s="5" t="str" cm="1">
        <f t="array" ref="K1772">IF(OR(A1772="",B1772="",D1772="",E1772=""),"",A1772&amp;"_"&amp;SUBSTITUTE(B1772," ","-")&amp;"_"&amp;D1772&amp;"_"&amp;SUBSTITUTE(SUBSTITUTE(E1772," ",""),"€","Euro")&amp;"_"&amp;IF(F1772="","Unknown",F1772)&amp;IF(F1772="Commemorative",IF(G1772="","","_"&amp;SUBSTITUTE(SUBSTITUTE(SUBSTITUTE(G1772," ","-"),"/","-"),CHAR(39),"")),"")&amp;IF(I1772="Duplicate","_Dub"&amp;IF(SUMPRODUCT(($B$2:B1772=B1772)*($D$2:D1772=D1772)*($E$2:E1772=E1772)*($F$2:F1772=F1772)*($G$2:G1772=G1772)*($I$2:I1772="Duplicate"))&lt;=1,"",SUMPRODUCT(($B$2:B1772=B1772)*($D$2:D1772=D1772)*($E$2:E1772=E1772)*($F$2:F1772=F1772)*($G$2:G1772=G1772)*($I$2:I1772="Duplicate"))-1),"")&amp;".jpeg")</f>
        <v/>
      </c>
      <c r="L1772" s="6"/>
      <c r="M1772" s="5" t="str">
        <f>IFERROR(VLOOKUP(E1772,Specifications!$A$2:$D$9,2,FALSE),"")</f>
        <v/>
      </c>
      <c r="N1772" s="5" t="str">
        <f>IFERROR(VLOOKUP(E1772,Specifications!$A$2:$D$9,3,FALSE),"")</f>
        <v/>
      </c>
      <c r="O1772" s="5" t="str">
        <f>IFERROR(VLOOKUP(E1772,Specifications!$A$2:$D$9,4,FALSE),"")</f>
        <v/>
      </c>
      <c r="P1772" s="8" t="str">
        <f t="shared" si="84"/>
        <v/>
      </c>
      <c r="Q1772" s="9"/>
    </row>
    <row r="1773" spans="1:17" ht="15">
      <c r="A1773" s="5" t="str">
        <f t="shared" si="82"/>
        <v/>
      </c>
      <c r="B1773" s="6"/>
      <c r="C1773" s="5" t="str">
        <f>IFERROR(VLOOKUP(B1773,Lists!$A$2:$B$25,2,FALSE),"")</f>
        <v/>
      </c>
      <c r="D1773" s="7"/>
      <c r="E1773" s="6"/>
      <c r="F1773" s="6" t="str">
        <f t="shared" si="83"/>
        <v/>
      </c>
      <c r="G1773" s="6"/>
      <c r="H1773" s="6"/>
      <c r="I1773" s="6"/>
      <c r="J1773" s="7"/>
      <c r="K1773" s="5" t="str" cm="1">
        <f t="array" ref="K1773">IF(OR(A1773="",B1773="",D1773="",E1773=""),"",A1773&amp;"_"&amp;SUBSTITUTE(B1773," ","-")&amp;"_"&amp;D1773&amp;"_"&amp;SUBSTITUTE(SUBSTITUTE(E1773," ",""),"€","Euro")&amp;"_"&amp;IF(F1773="","Unknown",F1773)&amp;IF(F1773="Commemorative",IF(G1773="","","_"&amp;SUBSTITUTE(SUBSTITUTE(SUBSTITUTE(G1773," ","-"),"/","-"),CHAR(39),"")),"")&amp;IF(I1773="Duplicate","_Dub"&amp;IF(SUMPRODUCT(($B$2:B1773=B1773)*($D$2:D1773=D1773)*($E$2:E1773=E1773)*($F$2:F1773=F1773)*($G$2:G1773=G1773)*($I$2:I1773="Duplicate"))&lt;=1,"",SUMPRODUCT(($B$2:B1773=B1773)*($D$2:D1773=D1773)*($E$2:E1773=E1773)*($F$2:F1773=F1773)*($G$2:G1773=G1773)*($I$2:I1773="Duplicate"))-1),"")&amp;".jpeg")</f>
        <v/>
      </c>
      <c r="L1773" s="6"/>
      <c r="M1773" s="5" t="str">
        <f>IFERROR(VLOOKUP(E1773,Specifications!$A$2:$D$9,2,FALSE),"")</f>
        <v/>
      </c>
      <c r="N1773" s="5" t="str">
        <f>IFERROR(VLOOKUP(E1773,Specifications!$A$2:$D$9,3,FALSE),"")</f>
        <v/>
      </c>
      <c r="O1773" s="5" t="str">
        <f>IFERROR(VLOOKUP(E1773,Specifications!$A$2:$D$9,4,FALSE),"")</f>
        <v/>
      </c>
      <c r="P1773" s="8" t="str">
        <f t="shared" si="84"/>
        <v/>
      </c>
      <c r="Q1773" s="9"/>
    </row>
    <row r="1774" spans="1:17" ht="15">
      <c r="A1774" s="5" t="str">
        <f t="shared" si="82"/>
        <v/>
      </c>
      <c r="B1774" s="6"/>
      <c r="C1774" s="5" t="str">
        <f>IFERROR(VLOOKUP(B1774,Lists!$A$2:$B$25,2,FALSE),"")</f>
        <v/>
      </c>
      <c r="D1774" s="7"/>
      <c r="E1774" s="6"/>
      <c r="F1774" s="6" t="str">
        <f t="shared" si="83"/>
        <v/>
      </c>
      <c r="G1774" s="6"/>
      <c r="H1774" s="6"/>
      <c r="I1774" s="6"/>
      <c r="J1774" s="7"/>
      <c r="K1774" s="5" t="str" cm="1">
        <f t="array" ref="K1774">IF(OR(A1774="",B1774="",D1774="",E1774=""),"",A1774&amp;"_"&amp;SUBSTITUTE(B1774," ","-")&amp;"_"&amp;D1774&amp;"_"&amp;SUBSTITUTE(SUBSTITUTE(E1774," ",""),"€","Euro")&amp;"_"&amp;IF(F1774="","Unknown",F1774)&amp;IF(F1774="Commemorative",IF(G1774="","","_"&amp;SUBSTITUTE(SUBSTITUTE(SUBSTITUTE(G1774," ","-"),"/","-"),CHAR(39),"")),"")&amp;IF(I1774="Duplicate","_Dub"&amp;IF(SUMPRODUCT(($B$2:B1774=B1774)*($D$2:D1774=D1774)*($E$2:E1774=E1774)*($F$2:F1774=F1774)*($G$2:G1774=G1774)*($I$2:I1774="Duplicate"))&lt;=1,"",SUMPRODUCT(($B$2:B1774=B1774)*($D$2:D1774=D1774)*($E$2:E1774=E1774)*($F$2:F1774=F1774)*($G$2:G1774=G1774)*($I$2:I1774="Duplicate"))-1),"")&amp;".jpeg")</f>
        <v/>
      </c>
      <c r="L1774" s="6"/>
      <c r="M1774" s="5" t="str">
        <f>IFERROR(VLOOKUP(E1774,Specifications!$A$2:$D$9,2,FALSE),"")</f>
        <v/>
      </c>
      <c r="N1774" s="5" t="str">
        <f>IFERROR(VLOOKUP(E1774,Specifications!$A$2:$D$9,3,FALSE),"")</f>
        <v/>
      </c>
      <c r="O1774" s="5" t="str">
        <f>IFERROR(VLOOKUP(E1774,Specifications!$A$2:$D$9,4,FALSE),"")</f>
        <v/>
      </c>
      <c r="P1774" s="8" t="str">
        <f t="shared" si="84"/>
        <v/>
      </c>
      <c r="Q1774" s="9"/>
    </row>
    <row r="1775" spans="1:17" ht="15">
      <c r="A1775" s="5" t="str">
        <f t="shared" si="82"/>
        <v/>
      </c>
      <c r="B1775" s="6"/>
      <c r="C1775" s="5" t="str">
        <f>IFERROR(VLOOKUP(B1775,Lists!$A$2:$B$25,2,FALSE),"")</f>
        <v/>
      </c>
      <c r="D1775" s="7"/>
      <c r="E1775" s="6"/>
      <c r="F1775" s="6" t="str">
        <f t="shared" si="83"/>
        <v/>
      </c>
      <c r="G1775" s="6"/>
      <c r="H1775" s="6"/>
      <c r="I1775" s="6"/>
      <c r="J1775" s="7"/>
      <c r="K1775" s="5" t="str" cm="1">
        <f t="array" ref="K1775">IF(OR(A1775="",B1775="",D1775="",E1775=""),"",A1775&amp;"_"&amp;SUBSTITUTE(B1775," ","-")&amp;"_"&amp;D1775&amp;"_"&amp;SUBSTITUTE(SUBSTITUTE(E1775," ",""),"€","Euro")&amp;"_"&amp;IF(F1775="","Unknown",F1775)&amp;IF(F1775="Commemorative",IF(G1775="","","_"&amp;SUBSTITUTE(SUBSTITUTE(SUBSTITUTE(G1775," ","-"),"/","-"),CHAR(39),"")),"")&amp;IF(I1775="Duplicate","_Dub"&amp;IF(SUMPRODUCT(($B$2:B1775=B1775)*($D$2:D1775=D1775)*($E$2:E1775=E1775)*($F$2:F1775=F1775)*($G$2:G1775=G1775)*($I$2:I1775="Duplicate"))&lt;=1,"",SUMPRODUCT(($B$2:B1775=B1775)*($D$2:D1775=D1775)*($E$2:E1775=E1775)*($F$2:F1775=F1775)*($G$2:G1775=G1775)*($I$2:I1775="Duplicate"))-1),"")&amp;".jpeg")</f>
        <v/>
      </c>
      <c r="L1775" s="6"/>
      <c r="M1775" s="5" t="str">
        <f>IFERROR(VLOOKUP(E1775,Specifications!$A$2:$D$9,2,FALSE),"")</f>
        <v/>
      </c>
      <c r="N1775" s="5" t="str">
        <f>IFERROR(VLOOKUP(E1775,Specifications!$A$2:$D$9,3,FALSE),"")</f>
        <v/>
      </c>
      <c r="O1775" s="5" t="str">
        <f>IFERROR(VLOOKUP(E1775,Specifications!$A$2:$D$9,4,FALSE),"")</f>
        <v/>
      </c>
      <c r="P1775" s="8" t="str">
        <f t="shared" si="84"/>
        <v/>
      </c>
      <c r="Q1775" s="9"/>
    </row>
    <row r="1776" spans="1:17" ht="15">
      <c r="A1776" s="5" t="str">
        <f t="shared" si="82"/>
        <v/>
      </c>
      <c r="B1776" s="6"/>
      <c r="C1776" s="5" t="str">
        <f>IFERROR(VLOOKUP(B1776,Lists!$A$2:$B$25,2,FALSE),"")</f>
        <v/>
      </c>
      <c r="D1776" s="7"/>
      <c r="E1776" s="6"/>
      <c r="F1776" s="6" t="str">
        <f t="shared" si="83"/>
        <v/>
      </c>
      <c r="G1776" s="6"/>
      <c r="H1776" s="6"/>
      <c r="I1776" s="6"/>
      <c r="J1776" s="7"/>
      <c r="K1776" s="5" t="str" cm="1">
        <f t="array" ref="K1776">IF(OR(A1776="",B1776="",D1776="",E1776=""),"",A1776&amp;"_"&amp;SUBSTITUTE(B1776," ","-")&amp;"_"&amp;D1776&amp;"_"&amp;SUBSTITUTE(SUBSTITUTE(E1776," ",""),"€","Euro")&amp;"_"&amp;IF(F1776="","Unknown",F1776)&amp;IF(F1776="Commemorative",IF(G1776="","","_"&amp;SUBSTITUTE(SUBSTITUTE(SUBSTITUTE(G1776," ","-"),"/","-"),CHAR(39),"")),"")&amp;IF(I1776="Duplicate","_Dub"&amp;IF(SUMPRODUCT(($B$2:B1776=B1776)*($D$2:D1776=D1776)*($E$2:E1776=E1776)*($F$2:F1776=F1776)*($G$2:G1776=G1776)*($I$2:I1776="Duplicate"))&lt;=1,"",SUMPRODUCT(($B$2:B1776=B1776)*($D$2:D1776=D1776)*($E$2:E1776=E1776)*($F$2:F1776=F1776)*($G$2:G1776=G1776)*($I$2:I1776="Duplicate"))-1),"")&amp;".jpeg")</f>
        <v/>
      </c>
      <c r="L1776" s="6"/>
      <c r="M1776" s="5" t="str">
        <f>IFERROR(VLOOKUP(E1776,Specifications!$A$2:$D$9,2,FALSE),"")</f>
        <v/>
      </c>
      <c r="N1776" s="5" t="str">
        <f>IFERROR(VLOOKUP(E1776,Specifications!$A$2:$D$9,3,FALSE),"")</f>
        <v/>
      </c>
      <c r="O1776" s="5" t="str">
        <f>IFERROR(VLOOKUP(E1776,Specifications!$A$2:$D$9,4,FALSE),"")</f>
        <v/>
      </c>
      <c r="P1776" s="8" t="str">
        <f t="shared" si="84"/>
        <v/>
      </c>
      <c r="Q1776" s="9"/>
    </row>
    <row r="1777" spans="1:17" ht="15">
      <c r="A1777" s="5" t="str">
        <f t="shared" si="82"/>
        <v/>
      </c>
      <c r="B1777" s="6"/>
      <c r="C1777" s="5" t="str">
        <f>IFERROR(VLOOKUP(B1777,Lists!$A$2:$B$25,2,FALSE),"")</f>
        <v/>
      </c>
      <c r="D1777" s="7"/>
      <c r="E1777" s="6"/>
      <c r="F1777" s="6" t="str">
        <f t="shared" si="83"/>
        <v/>
      </c>
      <c r="G1777" s="6"/>
      <c r="H1777" s="6"/>
      <c r="I1777" s="6"/>
      <c r="J1777" s="7"/>
      <c r="K1777" s="5" t="str" cm="1">
        <f t="array" ref="K1777">IF(OR(A1777="",B1777="",D1777="",E1777=""),"",A1777&amp;"_"&amp;SUBSTITUTE(B1777," ","-")&amp;"_"&amp;D1777&amp;"_"&amp;SUBSTITUTE(SUBSTITUTE(E1777," ",""),"€","Euro")&amp;"_"&amp;IF(F1777="","Unknown",F1777)&amp;IF(F1777="Commemorative",IF(G1777="","","_"&amp;SUBSTITUTE(SUBSTITUTE(SUBSTITUTE(G1777," ","-"),"/","-"),CHAR(39),"")),"")&amp;IF(I1777="Duplicate","_Dub"&amp;IF(SUMPRODUCT(($B$2:B1777=B1777)*($D$2:D1777=D1777)*($E$2:E1777=E1777)*($F$2:F1777=F1777)*($G$2:G1777=G1777)*($I$2:I1777="Duplicate"))&lt;=1,"",SUMPRODUCT(($B$2:B1777=B1777)*($D$2:D1777=D1777)*($E$2:E1777=E1777)*($F$2:F1777=F1777)*($G$2:G1777=G1777)*($I$2:I1777="Duplicate"))-1),"")&amp;".jpeg")</f>
        <v/>
      </c>
      <c r="L1777" s="6"/>
      <c r="M1777" s="5" t="str">
        <f>IFERROR(VLOOKUP(E1777,Specifications!$A$2:$D$9,2,FALSE),"")</f>
        <v/>
      </c>
      <c r="N1777" s="5" t="str">
        <f>IFERROR(VLOOKUP(E1777,Specifications!$A$2:$D$9,3,FALSE),"")</f>
        <v/>
      </c>
      <c r="O1777" s="5" t="str">
        <f>IFERROR(VLOOKUP(E1777,Specifications!$A$2:$D$9,4,FALSE),"")</f>
        <v/>
      </c>
      <c r="P1777" s="8" t="str">
        <f t="shared" si="84"/>
        <v/>
      </c>
      <c r="Q1777" s="9"/>
    </row>
    <row r="1778" spans="1:17" ht="15">
      <c r="A1778" s="5" t="str">
        <f t="shared" si="82"/>
        <v/>
      </c>
      <c r="B1778" s="6"/>
      <c r="C1778" s="5" t="str">
        <f>IFERROR(VLOOKUP(B1778,Lists!$A$2:$B$25,2,FALSE),"")</f>
        <v/>
      </c>
      <c r="D1778" s="7"/>
      <c r="E1778" s="6"/>
      <c r="F1778" s="6" t="str">
        <f t="shared" si="83"/>
        <v/>
      </c>
      <c r="G1778" s="6"/>
      <c r="H1778" s="6"/>
      <c r="I1778" s="6"/>
      <c r="J1778" s="7"/>
      <c r="K1778" s="5" t="str" cm="1">
        <f t="array" ref="K1778">IF(OR(A1778="",B1778="",D1778="",E1778=""),"",A1778&amp;"_"&amp;SUBSTITUTE(B1778," ","-")&amp;"_"&amp;D1778&amp;"_"&amp;SUBSTITUTE(SUBSTITUTE(E1778," ",""),"€","Euro")&amp;"_"&amp;IF(F1778="","Unknown",F1778)&amp;IF(F1778="Commemorative",IF(G1778="","","_"&amp;SUBSTITUTE(SUBSTITUTE(SUBSTITUTE(G1778," ","-"),"/","-"),CHAR(39),"")),"")&amp;IF(I1778="Duplicate","_Dub"&amp;IF(SUMPRODUCT(($B$2:B1778=B1778)*($D$2:D1778=D1778)*($E$2:E1778=E1778)*($F$2:F1778=F1778)*($G$2:G1778=G1778)*($I$2:I1778="Duplicate"))&lt;=1,"",SUMPRODUCT(($B$2:B1778=B1778)*($D$2:D1778=D1778)*($E$2:E1778=E1778)*($F$2:F1778=F1778)*($G$2:G1778=G1778)*($I$2:I1778="Duplicate"))-1),"")&amp;".jpeg")</f>
        <v/>
      </c>
      <c r="L1778" s="6"/>
      <c r="M1778" s="5" t="str">
        <f>IFERROR(VLOOKUP(E1778,Specifications!$A$2:$D$9,2,FALSE),"")</f>
        <v/>
      </c>
      <c r="N1778" s="5" t="str">
        <f>IFERROR(VLOOKUP(E1778,Specifications!$A$2:$D$9,3,FALSE),"")</f>
        <v/>
      </c>
      <c r="O1778" s="5" t="str">
        <f>IFERROR(VLOOKUP(E1778,Specifications!$A$2:$D$9,4,FALSE),"")</f>
        <v/>
      </c>
      <c r="P1778" s="8" t="str">
        <f t="shared" si="84"/>
        <v/>
      </c>
      <c r="Q1778" s="9"/>
    </row>
    <row r="1779" spans="1:17" ht="15">
      <c r="A1779" s="5" t="str">
        <f t="shared" si="82"/>
        <v/>
      </c>
      <c r="B1779" s="6"/>
      <c r="C1779" s="5" t="str">
        <f>IFERROR(VLOOKUP(B1779,Lists!$A$2:$B$25,2,FALSE),"")</f>
        <v/>
      </c>
      <c r="D1779" s="7"/>
      <c r="E1779" s="6"/>
      <c r="F1779" s="6" t="str">
        <f t="shared" si="83"/>
        <v/>
      </c>
      <c r="G1779" s="6"/>
      <c r="H1779" s="6"/>
      <c r="I1779" s="6"/>
      <c r="J1779" s="7"/>
      <c r="K1779" s="5" t="str" cm="1">
        <f t="array" ref="K1779">IF(OR(A1779="",B1779="",D1779="",E1779=""),"",A1779&amp;"_"&amp;SUBSTITUTE(B1779," ","-")&amp;"_"&amp;D1779&amp;"_"&amp;SUBSTITUTE(SUBSTITUTE(E1779," ",""),"€","Euro")&amp;"_"&amp;IF(F1779="","Unknown",F1779)&amp;IF(F1779="Commemorative",IF(G1779="","","_"&amp;SUBSTITUTE(SUBSTITUTE(SUBSTITUTE(G1779," ","-"),"/","-"),CHAR(39),"")),"")&amp;IF(I1779="Duplicate","_Dub"&amp;IF(SUMPRODUCT(($B$2:B1779=B1779)*($D$2:D1779=D1779)*($E$2:E1779=E1779)*($F$2:F1779=F1779)*($G$2:G1779=G1779)*($I$2:I1779="Duplicate"))&lt;=1,"",SUMPRODUCT(($B$2:B1779=B1779)*($D$2:D1779=D1779)*($E$2:E1779=E1779)*($F$2:F1779=F1779)*($G$2:G1779=G1779)*($I$2:I1779="Duplicate"))-1),"")&amp;".jpeg")</f>
        <v/>
      </c>
      <c r="L1779" s="6"/>
      <c r="M1779" s="5" t="str">
        <f>IFERROR(VLOOKUP(E1779,Specifications!$A$2:$D$9,2,FALSE),"")</f>
        <v/>
      </c>
      <c r="N1779" s="5" t="str">
        <f>IFERROR(VLOOKUP(E1779,Specifications!$A$2:$D$9,3,FALSE),"")</f>
        <v/>
      </c>
      <c r="O1779" s="5" t="str">
        <f>IFERROR(VLOOKUP(E1779,Specifications!$A$2:$D$9,4,FALSE),"")</f>
        <v/>
      </c>
      <c r="P1779" s="8" t="str">
        <f t="shared" si="84"/>
        <v/>
      </c>
      <c r="Q1779" s="9"/>
    </row>
    <row r="1780" spans="1:17" ht="15">
      <c r="A1780" s="5" t="str">
        <f t="shared" si="82"/>
        <v/>
      </c>
      <c r="B1780" s="6"/>
      <c r="C1780" s="5" t="str">
        <f>IFERROR(VLOOKUP(B1780,Lists!$A$2:$B$25,2,FALSE),"")</f>
        <v/>
      </c>
      <c r="D1780" s="7"/>
      <c r="E1780" s="6"/>
      <c r="F1780" s="6" t="str">
        <f t="shared" si="83"/>
        <v/>
      </c>
      <c r="G1780" s="6"/>
      <c r="H1780" s="6"/>
      <c r="I1780" s="6"/>
      <c r="J1780" s="7"/>
      <c r="K1780" s="5" t="str" cm="1">
        <f t="array" ref="K1780">IF(OR(A1780="",B1780="",D1780="",E1780=""),"",A1780&amp;"_"&amp;SUBSTITUTE(B1780," ","-")&amp;"_"&amp;D1780&amp;"_"&amp;SUBSTITUTE(SUBSTITUTE(E1780," ",""),"€","Euro")&amp;"_"&amp;IF(F1780="","Unknown",F1780)&amp;IF(F1780="Commemorative",IF(G1780="","","_"&amp;SUBSTITUTE(SUBSTITUTE(SUBSTITUTE(G1780," ","-"),"/","-"),CHAR(39),"")),"")&amp;IF(I1780="Duplicate","_Dub"&amp;IF(SUMPRODUCT(($B$2:B1780=B1780)*($D$2:D1780=D1780)*($E$2:E1780=E1780)*($F$2:F1780=F1780)*($G$2:G1780=G1780)*($I$2:I1780="Duplicate"))&lt;=1,"",SUMPRODUCT(($B$2:B1780=B1780)*($D$2:D1780=D1780)*($E$2:E1780=E1780)*($F$2:F1780=F1780)*($G$2:G1780=G1780)*($I$2:I1780="Duplicate"))-1),"")&amp;".jpeg")</f>
        <v/>
      </c>
      <c r="L1780" s="6"/>
      <c r="M1780" s="5" t="str">
        <f>IFERROR(VLOOKUP(E1780,Specifications!$A$2:$D$9,2,FALSE),"")</f>
        <v/>
      </c>
      <c r="N1780" s="5" t="str">
        <f>IFERROR(VLOOKUP(E1780,Specifications!$A$2:$D$9,3,FALSE),"")</f>
        <v/>
      </c>
      <c r="O1780" s="5" t="str">
        <f>IFERROR(VLOOKUP(E1780,Specifications!$A$2:$D$9,4,FALSE),"")</f>
        <v/>
      </c>
      <c r="P1780" s="8" t="str">
        <f t="shared" si="84"/>
        <v/>
      </c>
      <c r="Q1780" s="9"/>
    </row>
    <row r="1781" spans="1:17" ht="15">
      <c r="A1781" s="5" t="str">
        <f t="shared" si="82"/>
        <v/>
      </c>
      <c r="B1781" s="6"/>
      <c r="C1781" s="5" t="str">
        <f>IFERROR(VLOOKUP(B1781,Lists!$A$2:$B$25,2,FALSE),"")</f>
        <v/>
      </c>
      <c r="D1781" s="7"/>
      <c r="E1781" s="6"/>
      <c r="F1781" s="6" t="str">
        <f t="shared" si="83"/>
        <v/>
      </c>
      <c r="G1781" s="6"/>
      <c r="H1781" s="6"/>
      <c r="I1781" s="6"/>
      <c r="J1781" s="7"/>
      <c r="K1781" s="5" t="str" cm="1">
        <f t="array" ref="K1781">IF(OR(A1781="",B1781="",D1781="",E1781=""),"",A1781&amp;"_"&amp;SUBSTITUTE(B1781," ","-")&amp;"_"&amp;D1781&amp;"_"&amp;SUBSTITUTE(SUBSTITUTE(E1781," ",""),"€","Euro")&amp;"_"&amp;IF(F1781="","Unknown",F1781)&amp;IF(F1781="Commemorative",IF(G1781="","","_"&amp;SUBSTITUTE(SUBSTITUTE(SUBSTITUTE(G1781," ","-"),"/","-"),CHAR(39),"")),"")&amp;IF(I1781="Duplicate","_Dub"&amp;IF(SUMPRODUCT(($B$2:B1781=B1781)*($D$2:D1781=D1781)*($E$2:E1781=E1781)*($F$2:F1781=F1781)*($G$2:G1781=G1781)*($I$2:I1781="Duplicate"))&lt;=1,"",SUMPRODUCT(($B$2:B1781=B1781)*($D$2:D1781=D1781)*($E$2:E1781=E1781)*($F$2:F1781=F1781)*($G$2:G1781=G1781)*($I$2:I1781="Duplicate"))-1),"")&amp;".jpeg")</f>
        <v/>
      </c>
      <c r="L1781" s="6"/>
      <c r="M1781" s="5" t="str">
        <f>IFERROR(VLOOKUP(E1781,Specifications!$A$2:$D$9,2,FALSE),"")</f>
        <v/>
      </c>
      <c r="N1781" s="5" t="str">
        <f>IFERROR(VLOOKUP(E1781,Specifications!$A$2:$D$9,3,FALSE),"")</f>
        <v/>
      </c>
      <c r="O1781" s="5" t="str">
        <f>IFERROR(VLOOKUP(E1781,Specifications!$A$2:$D$9,4,FALSE),"")</f>
        <v/>
      </c>
      <c r="P1781" s="8" t="str">
        <f t="shared" si="84"/>
        <v/>
      </c>
      <c r="Q1781" s="9"/>
    </row>
    <row r="1782" spans="1:17" ht="15">
      <c r="A1782" s="5" t="str">
        <f t="shared" si="82"/>
        <v/>
      </c>
      <c r="B1782" s="6"/>
      <c r="C1782" s="5" t="str">
        <f>IFERROR(VLOOKUP(B1782,Lists!$A$2:$B$25,2,FALSE),"")</f>
        <v/>
      </c>
      <c r="D1782" s="7"/>
      <c r="E1782" s="6"/>
      <c r="F1782" s="6" t="str">
        <f t="shared" si="83"/>
        <v/>
      </c>
      <c r="G1782" s="6"/>
      <c r="H1782" s="6"/>
      <c r="I1782" s="6"/>
      <c r="J1782" s="7"/>
      <c r="K1782" s="5" t="str" cm="1">
        <f t="array" ref="K1782">IF(OR(A1782="",B1782="",D1782="",E1782=""),"",A1782&amp;"_"&amp;SUBSTITUTE(B1782," ","-")&amp;"_"&amp;D1782&amp;"_"&amp;SUBSTITUTE(SUBSTITUTE(E1782," ",""),"€","Euro")&amp;"_"&amp;IF(F1782="","Unknown",F1782)&amp;IF(F1782="Commemorative",IF(G1782="","","_"&amp;SUBSTITUTE(SUBSTITUTE(SUBSTITUTE(G1782," ","-"),"/","-"),CHAR(39),"")),"")&amp;IF(I1782="Duplicate","_Dub"&amp;IF(SUMPRODUCT(($B$2:B1782=B1782)*($D$2:D1782=D1782)*($E$2:E1782=E1782)*($F$2:F1782=F1782)*($G$2:G1782=G1782)*($I$2:I1782="Duplicate"))&lt;=1,"",SUMPRODUCT(($B$2:B1782=B1782)*($D$2:D1782=D1782)*($E$2:E1782=E1782)*($F$2:F1782=F1782)*($G$2:G1782=G1782)*($I$2:I1782="Duplicate"))-1),"")&amp;".jpeg")</f>
        <v/>
      </c>
      <c r="L1782" s="6"/>
      <c r="M1782" s="5" t="str">
        <f>IFERROR(VLOOKUP(E1782,Specifications!$A$2:$D$9,2,FALSE),"")</f>
        <v/>
      </c>
      <c r="N1782" s="5" t="str">
        <f>IFERROR(VLOOKUP(E1782,Specifications!$A$2:$D$9,3,FALSE),"")</f>
        <v/>
      </c>
      <c r="O1782" s="5" t="str">
        <f>IFERROR(VLOOKUP(E1782,Specifications!$A$2:$D$9,4,FALSE),"")</f>
        <v/>
      </c>
      <c r="P1782" s="8" t="str">
        <f t="shared" si="84"/>
        <v/>
      </c>
      <c r="Q1782" s="9"/>
    </row>
    <row r="1783" spans="1:17" ht="15">
      <c r="A1783" s="5" t="str">
        <f t="shared" si="82"/>
        <v/>
      </c>
      <c r="B1783" s="6"/>
      <c r="C1783" s="5" t="str">
        <f>IFERROR(VLOOKUP(B1783,Lists!$A$2:$B$25,2,FALSE),"")</f>
        <v/>
      </c>
      <c r="D1783" s="7"/>
      <c r="E1783" s="6"/>
      <c r="F1783" s="6" t="str">
        <f t="shared" si="83"/>
        <v/>
      </c>
      <c r="G1783" s="6"/>
      <c r="H1783" s="6"/>
      <c r="I1783" s="6"/>
      <c r="J1783" s="7"/>
      <c r="K1783" s="5" t="str" cm="1">
        <f t="array" ref="K1783">IF(OR(A1783="",B1783="",D1783="",E1783=""),"",A1783&amp;"_"&amp;SUBSTITUTE(B1783," ","-")&amp;"_"&amp;D1783&amp;"_"&amp;SUBSTITUTE(SUBSTITUTE(E1783," ",""),"€","Euro")&amp;"_"&amp;IF(F1783="","Unknown",F1783)&amp;IF(F1783="Commemorative",IF(G1783="","","_"&amp;SUBSTITUTE(SUBSTITUTE(SUBSTITUTE(G1783," ","-"),"/","-"),CHAR(39),"")),"")&amp;IF(I1783="Duplicate","_Dub"&amp;IF(SUMPRODUCT(($B$2:B1783=B1783)*($D$2:D1783=D1783)*($E$2:E1783=E1783)*($F$2:F1783=F1783)*($G$2:G1783=G1783)*($I$2:I1783="Duplicate"))&lt;=1,"",SUMPRODUCT(($B$2:B1783=B1783)*($D$2:D1783=D1783)*($E$2:E1783=E1783)*($F$2:F1783=F1783)*($G$2:G1783=G1783)*($I$2:I1783="Duplicate"))-1),"")&amp;".jpeg")</f>
        <v/>
      </c>
      <c r="L1783" s="6"/>
      <c r="M1783" s="5" t="str">
        <f>IFERROR(VLOOKUP(E1783,Specifications!$A$2:$D$9,2,FALSE),"")</f>
        <v/>
      </c>
      <c r="N1783" s="5" t="str">
        <f>IFERROR(VLOOKUP(E1783,Specifications!$A$2:$D$9,3,FALSE),"")</f>
        <v/>
      </c>
      <c r="O1783" s="5" t="str">
        <f>IFERROR(VLOOKUP(E1783,Specifications!$A$2:$D$9,4,FALSE),"")</f>
        <v/>
      </c>
      <c r="P1783" s="8" t="str">
        <f t="shared" si="84"/>
        <v/>
      </c>
      <c r="Q1783" s="9"/>
    </row>
    <row r="1784" spans="1:17" ht="15">
      <c r="A1784" s="5" t="str">
        <f t="shared" si="82"/>
        <v/>
      </c>
      <c r="B1784" s="6"/>
      <c r="C1784" s="5" t="str">
        <f>IFERROR(VLOOKUP(B1784,Lists!$A$2:$B$25,2,FALSE),"")</f>
        <v/>
      </c>
      <c r="D1784" s="7"/>
      <c r="E1784" s="6"/>
      <c r="F1784" s="6" t="str">
        <f t="shared" si="83"/>
        <v/>
      </c>
      <c r="G1784" s="6"/>
      <c r="H1784" s="6"/>
      <c r="I1784" s="6"/>
      <c r="J1784" s="7"/>
      <c r="K1784" s="5" t="str" cm="1">
        <f t="array" ref="K1784">IF(OR(A1784="",B1784="",D1784="",E1784=""),"",A1784&amp;"_"&amp;SUBSTITUTE(B1784," ","-")&amp;"_"&amp;D1784&amp;"_"&amp;SUBSTITUTE(SUBSTITUTE(E1784," ",""),"€","Euro")&amp;"_"&amp;IF(F1784="","Unknown",F1784)&amp;IF(F1784="Commemorative",IF(G1784="","","_"&amp;SUBSTITUTE(SUBSTITUTE(SUBSTITUTE(G1784," ","-"),"/","-"),CHAR(39),"")),"")&amp;IF(I1784="Duplicate","_Dub"&amp;IF(SUMPRODUCT(($B$2:B1784=B1784)*($D$2:D1784=D1784)*($E$2:E1784=E1784)*($F$2:F1784=F1784)*($G$2:G1784=G1784)*($I$2:I1784="Duplicate"))&lt;=1,"",SUMPRODUCT(($B$2:B1784=B1784)*($D$2:D1784=D1784)*($E$2:E1784=E1784)*($F$2:F1784=F1784)*($G$2:G1784=G1784)*($I$2:I1784="Duplicate"))-1),"")&amp;".jpeg")</f>
        <v/>
      </c>
      <c r="L1784" s="6"/>
      <c r="M1784" s="5" t="str">
        <f>IFERROR(VLOOKUP(E1784,Specifications!$A$2:$D$9,2,FALSE),"")</f>
        <v/>
      </c>
      <c r="N1784" s="5" t="str">
        <f>IFERROR(VLOOKUP(E1784,Specifications!$A$2:$D$9,3,FALSE),"")</f>
        <v/>
      </c>
      <c r="O1784" s="5" t="str">
        <f>IFERROR(VLOOKUP(E1784,Specifications!$A$2:$D$9,4,FALSE),"")</f>
        <v/>
      </c>
      <c r="P1784" s="8" t="str">
        <f t="shared" si="84"/>
        <v/>
      </c>
      <c r="Q1784" s="9"/>
    </row>
    <row r="1785" spans="1:17" ht="15">
      <c r="A1785" s="5" t="str">
        <f t="shared" si="82"/>
        <v/>
      </c>
      <c r="B1785" s="6"/>
      <c r="C1785" s="5" t="str">
        <f>IFERROR(VLOOKUP(B1785,Lists!$A$2:$B$25,2,FALSE),"")</f>
        <v/>
      </c>
      <c r="D1785" s="7"/>
      <c r="E1785" s="6"/>
      <c r="F1785" s="6" t="str">
        <f t="shared" si="83"/>
        <v/>
      </c>
      <c r="G1785" s="6"/>
      <c r="H1785" s="6"/>
      <c r="I1785" s="6"/>
      <c r="J1785" s="7"/>
      <c r="K1785" s="5" t="str" cm="1">
        <f t="array" ref="K1785">IF(OR(A1785="",B1785="",D1785="",E1785=""),"",A1785&amp;"_"&amp;SUBSTITUTE(B1785," ","-")&amp;"_"&amp;D1785&amp;"_"&amp;SUBSTITUTE(SUBSTITUTE(E1785," ",""),"€","Euro")&amp;"_"&amp;IF(F1785="","Unknown",F1785)&amp;IF(F1785="Commemorative",IF(G1785="","","_"&amp;SUBSTITUTE(SUBSTITUTE(SUBSTITUTE(G1785," ","-"),"/","-"),CHAR(39),"")),"")&amp;IF(I1785="Duplicate","_Dub"&amp;IF(SUMPRODUCT(($B$2:B1785=B1785)*($D$2:D1785=D1785)*($E$2:E1785=E1785)*($F$2:F1785=F1785)*($G$2:G1785=G1785)*($I$2:I1785="Duplicate"))&lt;=1,"",SUMPRODUCT(($B$2:B1785=B1785)*($D$2:D1785=D1785)*($E$2:E1785=E1785)*($F$2:F1785=F1785)*($G$2:G1785=G1785)*($I$2:I1785="Duplicate"))-1),"")&amp;".jpeg")</f>
        <v/>
      </c>
      <c r="L1785" s="6"/>
      <c r="M1785" s="5" t="str">
        <f>IFERROR(VLOOKUP(E1785,Specifications!$A$2:$D$9,2,FALSE),"")</f>
        <v/>
      </c>
      <c r="N1785" s="5" t="str">
        <f>IFERROR(VLOOKUP(E1785,Specifications!$A$2:$D$9,3,FALSE),"")</f>
        <v/>
      </c>
      <c r="O1785" s="5" t="str">
        <f>IFERROR(VLOOKUP(E1785,Specifications!$A$2:$D$9,4,FALSE),"")</f>
        <v/>
      </c>
      <c r="P1785" s="8" t="str">
        <f t="shared" si="84"/>
        <v/>
      </c>
      <c r="Q1785" s="9"/>
    </row>
    <row r="1786" spans="1:17" ht="15">
      <c r="A1786" s="5" t="str">
        <f t="shared" si="82"/>
        <v/>
      </c>
      <c r="B1786" s="6"/>
      <c r="C1786" s="5" t="str">
        <f>IFERROR(VLOOKUP(B1786,Lists!$A$2:$B$25,2,FALSE),"")</f>
        <v/>
      </c>
      <c r="D1786" s="7"/>
      <c r="E1786" s="6"/>
      <c r="F1786" s="6" t="str">
        <f t="shared" si="83"/>
        <v/>
      </c>
      <c r="G1786" s="6"/>
      <c r="H1786" s="6"/>
      <c r="I1786" s="6"/>
      <c r="J1786" s="7"/>
      <c r="K1786" s="5" t="str" cm="1">
        <f t="array" ref="K1786">IF(OR(A1786="",B1786="",D1786="",E1786=""),"",A1786&amp;"_"&amp;SUBSTITUTE(B1786," ","-")&amp;"_"&amp;D1786&amp;"_"&amp;SUBSTITUTE(SUBSTITUTE(E1786," ",""),"€","Euro")&amp;"_"&amp;IF(F1786="","Unknown",F1786)&amp;IF(F1786="Commemorative",IF(G1786="","","_"&amp;SUBSTITUTE(SUBSTITUTE(SUBSTITUTE(G1786," ","-"),"/","-"),CHAR(39),"")),"")&amp;IF(I1786="Duplicate","_Dub"&amp;IF(SUMPRODUCT(($B$2:B1786=B1786)*($D$2:D1786=D1786)*($E$2:E1786=E1786)*($F$2:F1786=F1786)*($G$2:G1786=G1786)*($I$2:I1786="Duplicate"))&lt;=1,"",SUMPRODUCT(($B$2:B1786=B1786)*($D$2:D1786=D1786)*($E$2:E1786=E1786)*($F$2:F1786=F1786)*($G$2:G1786=G1786)*($I$2:I1786="Duplicate"))-1),"")&amp;".jpeg")</f>
        <v/>
      </c>
      <c r="L1786" s="6"/>
      <c r="M1786" s="5" t="str">
        <f>IFERROR(VLOOKUP(E1786,Specifications!$A$2:$D$9,2,FALSE),"")</f>
        <v/>
      </c>
      <c r="N1786" s="5" t="str">
        <f>IFERROR(VLOOKUP(E1786,Specifications!$A$2:$D$9,3,FALSE),"")</f>
        <v/>
      </c>
      <c r="O1786" s="5" t="str">
        <f>IFERROR(VLOOKUP(E1786,Specifications!$A$2:$D$9,4,FALSE),"")</f>
        <v/>
      </c>
      <c r="P1786" s="8" t="str">
        <f t="shared" si="84"/>
        <v/>
      </c>
      <c r="Q1786" s="9"/>
    </row>
    <row r="1787" spans="1:17" ht="15">
      <c r="A1787" s="5" t="str">
        <f t="shared" si="82"/>
        <v/>
      </c>
      <c r="B1787" s="6"/>
      <c r="C1787" s="5" t="str">
        <f>IFERROR(VLOOKUP(B1787,Lists!$A$2:$B$25,2,FALSE),"")</f>
        <v/>
      </c>
      <c r="D1787" s="7"/>
      <c r="E1787" s="6"/>
      <c r="F1787" s="6" t="str">
        <f t="shared" si="83"/>
        <v/>
      </c>
      <c r="G1787" s="6"/>
      <c r="H1787" s="6"/>
      <c r="I1787" s="6"/>
      <c r="J1787" s="7"/>
      <c r="K1787" s="5" t="str" cm="1">
        <f t="array" ref="K1787">IF(OR(A1787="",B1787="",D1787="",E1787=""),"",A1787&amp;"_"&amp;SUBSTITUTE(B1787," ","-")&amp;"_"&amp;D1787&amp;"_"&amp;SUBSTITUTE(SUBSTITUTE(E1787," ",""),"€","Euro")&amp;"_"&amp;IF(F1787="","Unknown",F1787)&amp;IF(F1787="Commemorative",IF(G1787="","","_"&amp;SUBSTITUTE(SUBSTITUTE(SUBSTITUTE(G1787," ","-"),"/","-"),CHAR(39),"")),"")&amp;IF(I1787="Duplicate","_Dub"&amp;IF(SUMPRODUCT(($B$2:B1787=B1787)*($D$2:D1787=D1787)*($E$2:E1787=E1787)*($F$2:F1787=F1787)*($G$2:G1787=G1787)*($I$2:I1787="Duplicate"))&lt;=1,"",SUMPRODUCT(($B$2:B1787=B1787)*($D$2:D1787=D1787)*($E$2:E1787=E1787)*($F$2:F1787=F1787)*($G$2:G1787=G1787)*($I$2:I1787="Duplicate"))-1),"")&amp;".jpeg")</f>
        <v/>
      </c>
      <c r="L1787" s="6"/>
      <c r="M1787" s="5" t="str">
        <f>IFERROR(VLOOKUP(E1787,Specifications!$A$2:$D$9,2,FALSE),"")</f>
        <v/>
      </c>
      <c r="N1787" s="5" t="str">
        <f>IFERROR(VLOOKUP(E1787,Specifications!$A$2:$D$9,3,FALSE),"")</f>
        <v/>
      </c>
      <c r="O1787" s="5" t="str">
        <f>IFERROR(VLOOKUP(E1787,Specifications!$A$2:$D$9,4,FALSE),"")</f>
        <v/>
      </c>
      <c r="P1787" s="8" t="str">
        <f t="shared" si="84"/>
        <v/>
      </c>
      <c r="Q1787" s="9"/>
    </row>
    <row r="1788" spans="1:17" ht="15">
      <c r="A1788" s="5" t="str">
        <f t="shared" si="82"/>
        <v/>
      </c>
      <c r="B1788" s="6"/>
      <c r="C1788" s="5" t="str">
        <f>IFERROR(VLOOKUP(B1788,Lists!$A$2:$B$25,2,FALSE),"")</f>
        <v/>
      </c>
      <c r="D1788" s="7"/>
      <c r="E1788" s="6"/>
      <c r="F1788" s="6" t="str">
        <f t="shared" si="83"/>
        <v/>
      </c>
      <c r="G1788" s="6"/>
      <c r="H1788" s="6"/>
      <c r="I1788" s="6"/>
      <c r="J1788" s="7"/>
      <c r="K1788" s="5" t="str" cm="1">
        <f t="array" ref="K1788">IF(OR(A1788="",B1788="",D1788="",E1788=""),"",A1788&amp;"_"&amp;SUBSTITUTE(B1788," ","-")&amp;"_"&amp;D1788&amp;"_"&amp;SUBSTITUTE(SUBSTITUTE(E1788," ",""),"€","Euro")&amp;"_"&amp;IF(F1788="","Unknown",F1788)&amp;IF(F1788="Commemorative",IF(G1788="","","_"&amp;SUBSTITUTE(SUBSTITUTE(SUBSTITUTE(G1788," ","-"),"/","-"),CHAR(39),"")),"")&amp;IF(I1788="Duplicate","_Dub"&amp;IF(SUMPRODUCT(($B$2:B1788=B1788)*($D$2:D1788=D1788)*($E$2:E1788=E1788)*($F$2:F1788=F1788)*($G$2:G1788=G1788)*($I$2:I1788="Duplicate"))&lt;=1,"",SUMPRODUCT(($B$2:B1788=B1788)*($D$2:D1788=D1788)*($E$2:E1788=E1788)*($F$2:F1788=F1788)*($G$2:G1788=G1788)*($I$2:I1788="Duplicate"))-1),"")&amp;".jpeg")</f>
        <v/>
      </c>
      <c r="L1788" s="6"/>
      <c r="M1788" s="5" t="str">
        <f>IFERROR(VLOOKUP(E1788,Specifications!$A$2:$D$9,2,FALSE),"")</f>
        <v/>
      </c>
      <c r="N1788" s="5" t="str">
        <f>IFERROR(VLOOKUP(E1788,Specifications!$A$2:$D$9,3,FALSE),"")</f>
        <v/>
      </c>
      <c r="O1788" s="5" t="str">
        <f>IFERROR(VLOOKUP(E1788,Specifications!$A$2:$D$9,4,FALSE),"")</f>
        <v/>
      </c>
      <c r="P1788" s="8" t="str">
        <f t="shared" si="84"/>
        <v/>
      </c>
      <c r="Q1788" s="9"/>
    </row>
    <row r="1789" spans="1:17" ht="15">
      <c r="A1789" s="5" t="str">
        <f t="shared" si="82"/>
        <v/>
      </c>
      <c r="B1789" s="6"/>
      <c r="C1789" s="5" t="str">
        <f>IFERROR(VLOOKUP(B1789,Lists!$A$2:$B$25,2,FALSE),"")</f>
        <v/>
      </c>
      <c r="D1789" s="7"/>
      <c r="E1789" s="6"/>
      <c r="F1789" s="6" t="str">
        <f t="shared" si="83"/>
        <v/>
      </c>
      <c r="G1789" s="6"/>
      <c r="H1789" s="6"/>
      <c r="I1789" s="6"/>
      <c r="J1789" s="7"/>
      <c r="K1789" s="5" t="str" cm="1">
        <f t="array" ref="K1789">IF(OR(A1789="",B1789="",D1789="",E1789=""),"",A1789&amp;"_"&amp;SUBSTITUTE(B1789," ","-")&amp;"_"&amp;D1789&amp;"_"&amp;SUBSTITUTE(SUBSTITUTE(E1789," ",""),"€","Euro")&amp;"_"&amp;IF(F1789="","Unknown",F1789)&amp;IF(F1789="Commemorative",IF(G1789="","","_"&amp;SUBSTITUTE(SUBSTITUTE(SUBSTITUTE(G1789," ","-"),"/","-"),CHAR(39),"")),"")&amp;IF(I1789="Duplicate","_Dub"&amp;IF(SUMPRODUCT(($B$2:B1789=B1789)*($D$2:D1789=D1789)*($E$2:E1789=E1789)*($F$2:F1789=F1789)*($G$2:G1789=G1789)*($I$2:I1789="Duplicate"))&lt;=1,"",SUMPRODUCT(($B$2:B1789=B1789)*($D$2:D1789=D1789)*($E$2:E1789=E1789)*($F$2:F1789=F1789)*($G$2:G1789=G1789)*($I$2:I1789="Duplicate"))-1),"")&amp;".jpeg")</f>
        <v/>
      </c>
      <c r="L1789" s="6"/>
      <c r="M1789" s="5" t="str">
        <f>IFERROR(VLOOKUP(E1789,Specifications!$A$2:$D$9,2,FALSE),"")</f>
        <v/>
      </c>
      <c r="N1789" s="5" t="str">
        <f>IFERROR(VLOOKUP(E1789,Specifications!$A$2:$D$9,3,FALSE),"")</f>
        <v/>
      </c>
      <c r="O1789" s="5" t="str">
        <f>IFERROR(VLOOKUP(E1789,Specifications!$A$2:$D$9,4,FALSE),"")</f>
        <v/>
      </c>
      <c r="P1789" s="8" t="str">
        <f t="shared" si="84"/>
        <v/>
      </c>
      <c r="Q1789" s="9"/>
    </row>
    <row r="1790" spans="1:17" ht="15">
      <c r="A1790" s="5" t="str">
        <f t="shared" si="82"/>
        <v/>
      </c>
      <c r="B1790" s="6"/>
      <c r="C1790" s="5" t="str">
        <f>IFERROR(VLOOKUP(B1790,Lists!$A$2:$B$25,2,FALSE),"")</f>
        <v/>
      </c>
      <c r="D1790" s="7"/>
      <c r="E1790" s="6"/>
      <c r="F1790" s="6" t="str">
        <f t="shared" si="83"/>
        <v/>
      </c>
      <c r="G1790" s="6"/>
      <c r="H1790" s="6"/>
      <c r="I1790" s="6"/>
      <c r="J1790" s="7"/>
      <c r="K1790" s="5" t="str" cm="1">
        <f t="array" ref="K1790">IF(OR(A1790="",B1790="",D1790="",E1790=""),"",A1790&amp;"_"&amp;SUBSTITUTE(B1790," ","-")&amp;"_"&amp;D1790&amp;"_"&amp;SUBSTITUTE(SUBSTITUTE(E1790," ",""),"€","Euro")&amp;"_"&amp;IF(F1790="","Unknown",F1790)&amp;IF(F1790="Commemorative",IF(G1790="","","_"&amp;SUBSTITUTE(SUBSTITUTE(SUBSTITUTE(G1790," ","-"),"/","-"),CHAR(39),"")),"")&amp;IF(I1790="Duplicate","_Dub"&amp;IF(SUMPRODUCT(($B$2:B1790=B1790)*($D$2:D1790=D1790)*($E$2:E1790=E1790)*($F$2:F1790=F1790)*($G$2:G1790=G1790)*($I$2:I1790="Duplicate"))&lt;=1,"",SUMPRODUCT(($B$2:B1790=B1790)*($D$2:D1790=D1790)*($E$2:E1790=E1790)*($F$2:F1790=F1790)*($G$2:G1790=G1790)*($I$2:I1790="Duplicate"))-1),"")&amp;".jpeg")</f>
        <v/>
      </c>
      <c r="L1790" s="6"/>
      <c r="M1790" s="5" t="str">
        <f>IFERROR(VLOOKUP(E1790,Specifications!$A$2:$D$9,2,FALSE),"")</f>
        <v/>
      </c>
      <c r="N1790" s="5" t="str">
        <f>IFERROR(VLOOKUP(E1790,Specifications!$A$2:$D$9,3,FALSE),"")</f>
        <v/>
      </c>
      <c r="O1790" s="5" t="str">
        <f>IFERROR(VLOOKUP(E1790,Specifications!$A$2:$D$9,4,FALSE),"")</f>
        <v/>
      </c>
      <c r="P1790" s="8" t="str">
        <f t="shared" si="84"/>
        <v/>
      </c>
      <c r="Q1790" s="9"/>
    </row>
    <row r="1791" spans="1:17" ht="15">
      <c r="A1791" s="5" t="str">
        <f t="shared" si="82"/>
        <v/>
      </c>
      <c r="B1791" s="6"/>
      <c r="C1791" s="5" t="str">
        <f>IFERROR(VLOOKUP(B1791,Lists!$A$2:$B$25,2,FALSE),"")</f>
        <v/>
      </c>
      <c r="D1791" s="7"/>
      <c r="E1791" s="6"/>
      <c r="F1791" s="6" t="str">
        <f t="shared" si="83"/>
        <v/>
      </c>
      <c r="G1791" s="6"/>
      <c r="H1791" s="6"/>
      <c r="I1791" s="6"/>
      <c r="J1791" s="7"/>
      <c r="K1791" s="5" t="str" cm="1">
        <f t="array" ref="K1791">IF(OR(A1791="",B1791="",D1791="",E1791=""),"",A1791&amp;"_"&amp;SUBSTITUTE(B1791," ","-")&amp;"_"&amp;D1791&amp;"_"&amp;SUBSTITUTE(SUBSTITUTE(E1791," ",""),"€","Euro")&amp;"_"&amp;IF(F1791="","Unknown",F1791)&amp;IF(F1791="Commemorative",IF(G1791="","","_"&amp;SUBSTITUTE(SUBSTITUTE(SUBSTITUTE(G1791," ","-"),"/","-"),CHAR(39),"")),"")&amp;IF(I1791="Duplicate","_Dub"&amp;IF(SUMPRODUCT(($B$2:B1791=B1791)*($D$2:D1791=D1791)*($E$2:E1791=E1791)*($F$2:F1791=F1791)*($G$2:G1791=G1791)*($I$2:I1791="Duplicate"))&lt;=1,"",SUMPRODUCT(($B$2:B1791=B1791)*($D$2:D1791=D1791)*($E$2:E1791=E1791)*($F$2:F1791=F1791)*($G$2:G1791=G1791)*($I$2:I1791="Duplicate"))-1),"")&amp;".jpeg")</f>
        <v/>
      </c>
      <c r="L1791" s="6"/>
      <c r="M1791" s="5" t="str">
        <f>IFERROR(VLOOKUP(E1791,Specifications!$A$2:$D$9,2,FALSE),"")</f>
        <v/>
      </c>
      <c r="N1791" s="5" t="str">
        <f>IFERROR(VLOOKUP(E1791,Specifications!$A$2:$D$9,3,FALSE),"")</f>
        <v/>
      </c>
      <c r="O1791" s="5" t="str">
        <f>IFERROR(VLOOKUP(E1791,Specifications!$A$2:$D$9,4,FALSE),"")</f>
        <v/>
      </c>
      <c r="P1791" s="8" t="str">
        <f t="shared" si="84"/>
        <v/>
      </c>
      <c r="Q1791" s="9"/>
    </row>
    <row r="1792" spans="1:17" ht="15">
      <c r="A1792" s="5" t="str">
        <f t="shared" si="82"/>
        <v/>
      </c>
      <c r="B1792" s="6"/>
      <c r="C1792" s="5" t="str">
        <f>IFERROR(VLOOKUP(B1792,Lists!$A$2:$B$25,2,FALSE),"")</f>
        <v/>
      </c>
      <c r="D1792" s="7"/>
      <c r="E1792" s="6"/>
      <c r="F1792" s="6" t="str">
        <f t="shared" si="83"/>
        <v/>
      </c>
      <c r="G1792" s="6"/>
      <c r="H1792" s="6"/>
      <c r="I1792" s="6"/>
      <c r="J1792" s="7"/>
      <c r="K1792" s="5" t="str" cm="1">
        <f t="array" ref="K1792">IF(OR(A1792="",B1792="",D1792="",E1792=""),"",A1792&amp;"_"&amp;SUBSTITUTE(B1792," ","-")&amp;"_"&amp;D1792&amp;"_"&amp;SUBSTITUTE(SUBSTITUTE(E1792," ",""),"€","Euro")&amp;"_"&amp;IF(F1792="","Unknown",F1792)&amp;IF(F1792="Commemorative",IF(G1792="","","_"&amp;SUBSTITUTE(SUBSTITUTE(SUBSTITUTE(G1792," ","-"),"/","-"),CHAR(39),"")),"")&amp;IF(I1792="Duplicate","_Dub"&amp;IF(SUMPRODUCT(($B$2:B1792=B1792)*($D$2:D1792=D1792)*($E$2:E1792=E1792)*($F$2:F1792=F1792)*($G$2:G1792=G1792)*($I$2:I1792="Duplicate"))&lt;=1,"",SUMPRODUCT(($B$2:B1792=B1792)*($D$2:D1792=D1792)*($E$2:E1792=E1792)*($F$2:F1792=F1792)*($G$2:G1792=G1792)*($I$2:I1792="Duplicate"))-1),"")&amp;".jpeg")</f>
        <v/>
      </c>
      <c r="L1792" s="6"/>
      <c r="M1792" s="5" t="str">
        <f>IFERROR(VLOOKUP(E1792,Specifications!$A$2:$D$9,2,FALSE),"")</f>
        <v/>
      </c>
      <c r="N1792" s="5" t="str">
        <f>IFERROR(VLOOKUP(E1792,Specifications!$A$2:$D$9,3,FALSE),"")</f>
        <v/>
      </c>
      <c r="O1792" s="5" t="str">
        <f>IFERROR(VLOOKUP(E1792,Specifications!$A$2:$D$9,4,FALSE),"")</f>
        <v/>
      </c>
      <c r="P1792" s="8" t="str">
        <f t="shared" si="84"/>
        <v/>
      </c>
      <c r="Q1792" s="9"/>
    </row>
    <row r="1793" spans="1:17" ht="15">
      <c r="A1793" s="5" t="str">
        <f t="shared" si="82"/>
        <v/>
      </c>
      <c r="B1793" s="6"/>
      <c r="C1793" s="5" t="str">
        <f>IFERROR(VLOOKUP(B1793,Lists!$A$2:$B$25,2,FALSE),"")</f>
        <v/>
      </c>
      <c r="D1793" s="7"/>
      <c r="E1793" s="6"/>
      <c r="F1793" s="6" t="str">
        <f t="shared" si="83"/>
        <v/>
      </c>
      <c r="G1793" s="6"/>
      <c r="H1793" s="6"/>
      <c r="I1793" s="6"/>
      <c r="J1793" s="7"/>
      <c r="K1793" s="5" t="str" cm="1">
        <f t="array" ref="K1793">IF(OR(A1793="",B1793="",D1793="",E1793=""),"",A1793&amp;"_"&amp;SUBSTITUTE(B1793," ","-")&amp;"_"&amp;D1793&amp;"_"&amp;SUBSTITUTE(SUBSTITUTE(E1793," ",""),"€","Euro")&amp;"_"&amp;IF(F1793="","Unknown",F1793)&amp;IF(F1793="Commemorative",IF(G1793="","","_"&amp;SUBSTITUTE(SUBSTITUTE(SUBSTITUTE(G1793," ","-"),"/","-"),CHAR(39),"")),"")&amp;IF(I1793="Duplicate","_Dub"&amp;IF(SUMPRODUCT(($B$2:B1793=B1793)*($D$2:D1793=D1793)*($E$2:E1793=E1793)*($F$2:F1793=F1793)*($G$2:G1793=G1793)*($I$2:I1793="Duplicate"))&lt;=1,"",SUMPRODUCT(($B$2:B1793=B1793)*($D$2:D1793=D1793)*($E$2:E1793=E1793)*($F$2:F1793=F1793)*($G$2:G1793=G1793)*($I$2:I1793="Duplicate"))-1),"")&amp;".jpeg")</f>
        <v/>
      </c>
      <c r="L1793" s="6"/>
      <c r="M1793" s="5" t="str">
        <f>IFERROR(VLOOKUP(E1793,Specifications!$A$2:$D$9,2,FALSE),"")</f>
        <v/>
      </c>
      <c r="N1793" s="5" t="str">
        <f>IFERROR(VLOOKUP(E1793,Specifications!$A$2:$D$9,3,FALSE),"")</f>
        <v/>
      </c>
      <c r="O1793" s="5" t="str">
        <f>IFERROR(VLOOKUP(E1793,Specifications!$A$2:$D$9,4,FALSE),"")</f>
        <v/>
      </c>
      <c r="P1793" s="8" t="str">
        <f t="shared" si="84"/>
        <v/>
      </c>
      <c r="Q1793" s="9"/>
    </row>
    <row r="1794" spans="1:17" ht="15">
      <c r="A1794" s="5" t="str">
        <f t="shared" ref="A1794:A1857" si="85">IF(B1794="","",TEXT(ROW()-1,"000"))</f>
        <v/>
      </c>
      <c r="B1794" s="6"/>
      <c r="C1794" s="5" t="str">
        <f>IFERROR(VLOOKUP(B1794,Lists!$A$2:$B$25,2,FALSE),"")</f>
        <v/>
      </c>
      <c r="D1794" s="7"/>
      <c r="E1794" s="6"/>
      <c r="F1794" s="6" t="str">
        <f t="shared" ref="F1794:F1857" si="86">IF(E1794="","",IF(E1794="2 €","", "Regular"))</f>
        <v/>
      </c>
      <c r="G1794" s="6"/>
      <c r="H1794" s="6"/>
      <c r="I1794" s="6"/>
      <c r="J1794" s="7"/>
      <c r="K1794" s="5" t="str" cm="1">
        <f t="array" ref="K1794">IF(OR(A1794="",B1794="",D1794="",E1794=""),"",A1794&amp;"_"&amp;SUBSTITUTE(B1794," ","-")&amp;"_"&amp;D1794&amp;"_"&amp;SUBSTITUTE(SUBSTITUTE(E1794," ",""),"€","Euro")&amp;"_"&amp;IF(F1794="","Unknown",F1794)&amp;IF(F1794="Commemorative",IF(G1794="","","_"&amp;SUBSTITUTE(SUBSTITUTE(SUBSTITUTE(G1794," ","-"),"/","-"),CHAR(39),"")),"")&amp;IF(I1794="Duplicate","_Dub"&amp;IF(SUMPRODUCT(($B$2:B1794=B1794)*($D$2:D1794=D1794)*($E$2:E1794=E1794)*($F$2:F1794=F1794)*($G$2:G1794=G1794)*($I$2:I1794="Duplicate"))&lt;=1,"",SUMPRODUCT(($B$2:B1794=B1794)*($D$2:D1794=D1794)*($E$2:E1794=E1794)*($F$2:F1794=F1794)*($G$2:G1794=G1794)*($I$2:I1794="Duplicate"))-1),"")&amp;".jpeg")</f>
        <v/>
      </c>
      <c r="L1794" s="6"/>
      <c r="M1794" s="5" t="str">
        <f>IFERROR(VLOOKUP(E1794,Specifications!$A$2:$D$9,2,FALSE),"")</f>
        <v/>
      </c>
      <c r="N1794" s="5" t="str">
        <f>IFERROR(VLOOKUP(E1794,Specifications!$A$2:$D$9,3,FALSE),"")</f>
        <v/>
      </c>
      <c r="O1794" s="5" t="str">
        <f>IFERROR(VLOOKUP(E1794,Specifications!$A$2:$D$9,4,FALSE),"")</f>
        <v/>
      </c>
      <c r="P1794" s="8" t="str">
        <f t="shared" ref="P1794:P1857" si="87">IF(OR(B1794="",E1794="",F1794=""),"",IF(F1794="Regular","Regular "&amp;E1794&amp;" circulation coin of "&amp;B1794&amp;".",IF(F1794="Commemorative",IF(G1794="","",E1794&amp;" commemorative coin of "&amp;B1794&amp;" – "&amp;G1794&amp;"."),"")))</f>
        <v/>
      </c>
      <c r="Q1794" s="9"/>
    </row>
    <row r="1795" spans="1:17" ht="15">
      <c r="A1795" s="5" t="str">
        <f t="shared" si="85"/>
        <v/>
      </c>
      <c r="B1795" s="6"/>
      <c r="C1795" s="5" t="str">
        <f>IFERROR(VLOOKUP(B1795,Lists!$A$2:$B$25,2,FALSE),"")</f>
        <v/>
      </c>
      <c r="D1795" s="7"/>
      <c r="E1795" s="6"/>
      <c r="F1795" s="6" t="str">
        <f t="shared" si="86"/>
        <v/>
      </c>
      <c r="G1795" s="6"/>
      <c r="H1795" s="6"/>
      <c r="I1795" s="6"/>
      <c r="J1795" s="7"/>
      <c r="K1795" s="5" t="str" cm="1">
        <f t="array" ref="K1795">IF(OR(A1795="",B1795="",D1795="",E1795=""),"",A1795&amp;"_"&amp;SUBSTITUTE(B1795," ","-")&amp;"_"&amp;D1795&amp;"_"&amp;SUBSTITUTE(SUBSTITUTE(E1795," ",""),"€","Euro")&amp;"_"&amp;IF(F1795="","Unknown",F1795)&amp;IF(F1795="Commemorative",IF(G1795="","","_"&amp;SUBSTITUTE(SUBSTITUTE(SUBSTITUTE(G1795," ","-"),"/","-"),CHAR(39),"")),"")&amp;IF(I1795="Duplicate","_Dub"&amp;IF(SUMPRODUCT(($B$2:B1795=B1795)*($D$2:D1795=D1795)*($E$2:E1795=E1795)*($F$2:F1795=F1795)*($G$2:G1795=G1795)*($I$2:I1795="Duplicate"))&lt;=1,"",SUMPRODUCT(($B$2:B1795=B1795)*($D$2:D1795=D1795)*($E$2:E1795=E1795)*($F$2:F1795=F1795)*($G$2:G1795=G1795)*($I$2:I1795="Duplicate"))-1),"")&amp;".jpeg")</f>
        <v/>
      </c>
      <c r="L1795" s="6"/>
      <c r="M1795" s="5" t="str">
        <f>IFERROR(VLOOKUP(E1795,Specifications!$A$2:$D$9,2,FALSE),"")</f>
        <v/>
      </c>
      <c r="N1795" s="5" t="str">
        <f>IFERROR(VLOOKUP(E1795,Specifications!$A$2:$D$9,3,FALSE),"")</f>
        <v/>
      </c>
      <c r="O1795" s="5" t="str">
        <f>IFERROR(VLOOKUP(E1795,Specifications!$A$2:$D$9,4,FALSE),"")</f>
        <v/>
      </c>
      <c r="P1795" s="8" t="str">
        <f t="shared" si="87"/>
        <v/>
      </c>
      <c r="Q1795" s="9"/>
    </row>
    <row r="1796" spans="1:17" ht="15">
      <c r="A1796" s="5" t="str">
        <f t="shared" si="85"/>
        <v/>
      </c>
      <c r="B1796" s="6"/>
      <c r="C1796" s="5" t="str">
        <f>IFERROR(VLOOKUP(B1796,Lists!$A$2:$B$25,2,FALSE),"")</f>
        <v/>
      </c>
      <c r="D1796" s="7"/>
      <c r="E1796" s="6"/>
      <c r="F1796" s="6" t="str">
        <f t="shared" si="86"/>
        <v/>
      </c>
      <c r="G1796" s="6"/>
      <c r="H1796" s="6"/>
      <c r="I1796" s="6"/>
      <c r="J1796" s="7"/>
      <c r="K1796" s="5" t="str" cm="1">
        <f t="array" ref="K1796">IF(OR(A1796="",B1796="",D1796="",E1796=""),"",A1796&amp;"_"&amp;SUBSTITUTE(B1796," ","-")&amp;"_"&amp;D1796&amp;"_"&amp;SUBSTITUTE(SUBSTITUTE(E1796," ",""),"€","Euro")&amp;"_"&amp;IF(F1796="","Unknown",F1796)&amp;IF(F1796="Commemorative",IF(G1796="","","_"&amp;SUBSTITUTE(SUBSTITUTE(SUBSTITUTE(G1796," ","-"),"/","-"),CHAR(39),"")),"")&amp;IF(I1796="Duplicate","_Dub"&amp;IF(SUMPRODUCT(($B$2:B1796=B1796)*($D$2:D1796=D1796)*($E$2:E1796=E1796)*($F$2:F1796=F1796)*($G$2:G1796=G1796)*($I$2:I1796="Duplicate"))&lt;=1,"",SUMPRODUCT(($B$2:B1796=B1796)*($D$2:D1796=D1796)*($E$2:E1796=E1796)*($F$2:F1796=F1796)*($G$2:G1796=G1796)*($I$2:I1796="Duplicate"))-1),"")&amp;".jpeg")</f>
        <v/>
      </c>
      <c r="L1796" s="6"/>
      <c r="M1796" s="5" t="str">
        <f>IFERROR(VLOOKUP(E1796,Specifications!$A$2:$D$9,2,FALSE),"")</f>
        <v/>
      </c>
      <c r="N1796" s="5" t="str">
        <f>IFERROR(VLOOKUP(E1796,Specifications!$A$2:$D$9,3,FALSE),"")</f>
        <v/>
      </c>
      <c r="O1796" s="5" t="str">
        <f>IFERROR(VLOOKUP(E1796,Specifications!$A$2:$D$9,4,FALSE),"")</f>
        <v/>
      </c>
      <c r="P1796" s="8" t="str">
        <f t="shared" si="87"/>
        <v/>
      </c>
      <c r="Q1796" s="9"/>
    </row>
    <row r="1797" spans="1:17" ht="15">
      <c r="A1797" s="5" t="str">
        <f t="shared" si="85"/>
        <v/>
      </c>
      <c r="B1797" s="6"/>
      <c r="C1797" s="5" t="str">
        <f>IFERROR(VLOOKUP(B1797,Lists!$A$2:$B$25,2,FALSE),"")</f>
        <v/>
      </c>
      <c r="D1797" s="7"/>
      <c r="E1797" s="6"/>
      <c r="F1797" s="6" t="str">
        <f t="shared" si="86"/>
        <v/>
      </c>
      <c r="G1797" s="6"/>
      <c r="H1797" s="6"/>
      <c r="I1797" s="6"/>
      <c r="J1797" s="7"/>
      <c r="K1797" s="5" t="str" cm="1">
        <f t="array" ref="K1797">IF(OR(A1797="",B1797="",D1797="",E1797=""),"",A1797&amp;"_"&amp;SUBSTITUTE(B1797," ","-")&amp;"_"&amp;D1797&amp;"_"&amp;SUBSTITUTE(SUBSTITUTE(E1797," ",""),"€","Euro")&amp;"_"&amp;IF(F1797="","Unknown",F1797)&amp;IF(F1797="Commemorative",IF(G1797="","","_"&amp;SUBSTITUTE(SUBSTITUTE(SUBSTITUTE(G1797," ","-"),"/","-"),CHAR(39),"")),"")&amp;IF(I1797="Duplicate","_Dub"&amp;IF(SUMPRODUCT(($B$2:B1797=B1797)*($D$2:D1797=D1797)*($E$2:E1797=E1797)*($F$2:F1797=F1797)*($G$2:G1797=G1797)*($I$2:I1797="Duplicate"))&lt;=1,"",SUMPRODUCT(($B$2:B1797=B1797)*($D$2:D1797=D1797)*($E$2:E1797=E1797)*($F$2:F1797=F1797)*($G$2:G1797=G1797)*($I$2:I1797="Duplicate"))-1),"")&amp;".jpeg")</f>
        <v/>
      </c>
      <c r="L1797" s="6"/>
      <c r="M1797" s="5" t="str">
        <f>IFERROR(VLOOKUP(E1797,Specifications!$A$2:$D$9,2,FALSE),"")</f>
        <v/>
      </c>
      <c r="N1797" s="5" t="str">
        <f>IFERROR(VLOOKUP(E1797,Specifications!$A$2:$D$9,3,FALSE),"")</f>
        <v/>
      </c>
      <c r="O1797" s="5" t="str">
        <f>IFERROR(VLOOKUP(E1797,Specifications!$A$2:$D$9,4,FALSE),"")</f>
        <v/>
      </c>
      <c r="P1797" s="8" t="str">
        <f t="shared" si="87"/>
        <v/>
      </c>
      <c r="Q1797" s="9"/>
    </row>
    <row r="1798" spans="1:17" ht="15">
      <c r="A1798" s="5" t="str">
        <f t="shared" si="85"/>
        <v/>
      </c>
      <c r="B1798" s="6"/>
      <c r="C1798" s="5" t="str">
        <f>IFERROR(VLOOKUP(B1798,Lists!$A$2:$B$25,2,FALSE),"")</f>
        <v/>
      </c>
      <c r="D1798" s="7"/>
      <c r="E1798" s="6"/>
      <c r="F1798" s="6" t="str">
        <f t="shared" si="86"/>
        <v/>
      </c>
      <c r="G1798" s="6"/>
      <c r="H1798" s="6"/>
      <c r="I1798" s="6"/>
      <c r="J1798" s="7"/>
      <c r="K1798" s="5" t="str" cm="1">
        <f t="array" ref="K1798">IF(OR(A1798="",B1798="",D1798="",E1798=""),"",A1798&amp;"_"&amp;SUBSTITUTE(B1798," ","-")&amp;"_"&amp;D1798&amp;"_"&amp;SUBSTITUTE(SUBSTITUTE(E1798," ",""),"€","Euro")&amp;"_"&amp;IF(F1798="","Unknown",F1798)&amp;IF(F1798="Commemorative",IF(G1798="","","_"&amp;SUBSTITUTE(SUBSTITUTE(SUBSTITUTE(G1798," ","-"),"/","-"),CHAR(39),"")),"")&amp;IF(I1798="Duplicate","_Dub"&amp;IF(SUMPRODUCT(($B$2:B1798=B1798)*($D$2:D1798=D1798)*($E$2:E1798=E1798)*($F$2:F1798=F1798)*($G$2:G1798=G1798)*($I$2:I1798="Duplicate"))&lt;=1,"",SUMPRODUCT(($B$2:B1798=B1798)*($D$2:D1798=D1798)*($E$2:E1798=E1798)*($F$2:F1798=F1798)*($G$2:G1798=G1798)*($I$2:I1798="Duplicate"))-1),"")&amp;".jpeg")</f>
        <v/>
      </c>
      <c r="L1798" s="6"/>
      <c r="M1798" s="5" t="str">
        <f>IFERROR(VLOOKUP(E1798,Specifications!$A$2:$D$9,2,FALSE),"")</f>
        <v/>
      </c>
      <c r="N1798" s="5" t="str">
        <f>IFERROR(VLOOKUP(E1798,Specifications!$A$2:$D$9,3,FALSE),"")</f>
        <v/>
      </c>
      <c r="O1798" s="5" t="str">
        <f>IFERROR(VLOOKUP(E1798,Specifications!$A$2:$D$9,4,FALSE),"")</f>
        <v/>
      </c>
      <c r="P1798" s="8" t="str">
        <f t="shared" si="87"/>
        <v/>
      </c>
      <c r="Q1798" s="9"/>
    </row>
    <row r="1799" spans="1:17" ht="15">
      <c r="A1799" s="5" t="str">
        <f t="shared" si="85"/>
        <v/>
      </c>
      <c r="B1799" s="6"/>
      <c r="C1799" s="5" t="str">
        <f>IFERROR(VLOOKUP(B1799,Lists!$A$2:$B$25,2,FALSE),"")</f>
        <v/>
      </c>
      <c r="D1799" s="7"/>
      <c r="E1799" s="6"/>
      <c r="F1799" s="6" t="str">
        <f t="shared" si="86"/>
        <v/>
      </c>
      <c r="G1799" s="6"/>
      <c r="H1799" s="6"/>
      <c r="I1799" s="6"/>
      <c r="J1799" s="7"/>
      <c r="K1799" s="5" t="str" cm="1">
        <f t="array" ref="K1799">IF(OR(A1799="",B1799="",D1799="",E1799=""),"",A1799&amp;"_"&amp;SUBSTITUTE(B1799," ","-")&amp;"_"&amp;D1799&amp;"_"&amp;SUBSTITUTE(SUBSTITUTE(E1799," ",""),"€","Euro")&amp;"_"&amp;IF(F1799="","Unknown",F1799)&amp;IF(F1799="Commemorative",IF(G1799="","","_"&amp;SUBSTITUTE(SUBSTITUTE(SUBSTITUTE(G1799," ","-"),"/","-"),CHAR(39),"")),"")&amp;IF(I1799="Duplicate","_Dub"&amp;IF(SUMPRODUCT(($B$2:B1799=B1799)*($D$2:D1799=D1799)*($E$2:E1799=E1799)*($F$2:F1799=F1799)*($G$2:G1799=G1799)*($I$2:I1799="Duplicate"))&lt;=1,"",SUMPRODUCT(($B$2:B1799=B1799)*($D$2:D1799=D1799)*($E$2:E1799=E1799)*($F$2:F1799=F1799)*($G$2:G1799=G1799)*($I$2:I1799="Duplicate"))-1),"")&amp;".jpeg")</f>
        <v/>
      </c>
      <c r="L1799" s="6"/>
      <c r="M1799" s="5" t="str">
        <f>IFERROR(VLOOKUP(E1799,Specifications!$A$2:$D$9,2,FALSE),"")</f>
        <v/>
      </c>
      <c r="N1799" s="5" t="str">
        <f>IFERROR(VLOOKUP(E1799,Specifications!$A$2:$D$9,3,FALSE),"")</f>
        <v/>
      </c>
      <c r="O1799" s="5" t="str">
        <f>IFERROR(VLOOKUP(E1799,Specifications!$A$2:$D$9,4,FALSE),"")</f>
        <v/>
      </c>
      <c r="P1799" s="8" t="str">
        <f t="shared" si="87"/>
        <v/>
      </c>
      <c r="Q1799" s="9"/>
    </row>
    <row r="1800" spans="1:17" ht="15">
      <c r="A1800" s="5" t="str">
        <f t="shared" si="85"/>
        <v/>
      </c>
      <c r="B1800" s="6"/>
      <c r="C1800" s="5" t="str">
        <f>IFERROR(VLOOKUP(B1800,Lists!$A$2:$B$25,2,FALSE),"")</f>
        <v/>
      </c>
      <c r="D1800" s="7"/>
      <c r="E1800" s="6"/>
      <c r="F1800" s="6" t="str">
        <f t="shared" si="86"/>
        <v/>
      </c>
      <c r="G1800" s="6"/>
      <c r="H1800" s="6"/>
      <c r="I1800" s="6"/>
      <c r="J1800" s="7"/>
      <c r="K1800" s="5" t="str" cm="1">
        <f t="array" ref="K1800">IF(OR(A1800="",B1800="",D1800="",E1800=""),"",A1800&amp;"_"&amp;SUBSTITUTE(B1800," ","-")&amp;"_"&amp;D1800&amp;"_"&amp;SUBSTITUTE(SUBSTITUTE(E1800," ",""),"€","Euro")&amp;"_"&amp;IF(F1800="","Unknown",F1800)&amp;IF(F1800="Commemorative",IF(G1800="","","_"&amp;SUBSTITUTE(SUBSTITUTE(SUBSTITUTE(G1800," ","-"),"/","-"),CHAR(39),"")),"")&amp;IF(I1800="Duplicate","_Dub"&amp;IF(SUMPRODUCT(($B$2:B1800=B1800)*($D$2:D1800=D1800)*($E$2:E1800=E1800)*($F$2:F1800=F1800)*($G$2:G1800=G1800)*($I$2:I1800="Duplicate"))&lt;=1,"",SUMPRODUCT(($B$2:B1800=B1800)*($D$2:D1800=D1800)*($E$2:E1800=E1800)*($F$2:F1800=F1800)*($G$2:G1800=G1800)*($I$2:I1800="Duplicate"))-1),"")&amp;".jpeg")</f>
        <v/>
      </c>
      <c r="L1800" s="6"/>
      <c r="M1800" s="5" t="str">
        <f>IFERROR(VLOOKUP(E1800,Specifications!$A$2:$D$9,2,FALSE),"")</f>
        <v/>
      </c>
      <c r="N1800" s="5" t="str">
        <f>IFERROR(VLOOKUP(E1800,Specifications!$A$2:$D$9,3,FALSE),"")</f>
        <v/>
      </c>
      <c r="O1800" s="5" t="str">
        <f>IFERROR(VLOOKUP(E1800,Specifications!$A$2:$D$9,4,FALSE),"")</f>
        <v/>
      </c>
      <c r="P1800" s="8" t="str">
        <f t="shared" si="87"/>
        <v/>
      </c>
      <c r="Q1800" s="9"/>
    </row>
    <row r="1801" spans="1:17" ht="15">
      <c r="A1801" s="5" t="str">
        <f t="shared" si="85"/>
        <v/>
      </c>
      <c r="B1801" s="6"/>
      <c r="C1801" s="5" t="str">
        <f>IFERROR(VLOOKUP(B1801,Lists!$A$2:$B$25,2,FALSE),"")</f>
        <v/>
      </c>
      <c r="D1801" s="7"/>
      <c r="E1801" s="6"/>
      <c r="F1801" s="6" t="str">
        <f t="shared" si="86"/>
        <v/>
      </c>
      <c r="G1801" s="6"/>
      <c r="H1801" s="6"/>
      <c r="I1801" s="6"/>
      <c r="J1801" s="7"/>
      <c r="K1801" s="5" t="str" cm="1">
        <f t="array" ref="K1801">IF(OR(A1801="",B1801="",D1801="",E1801=""),"",A1801&amp;"_"&amp;SUBSTITUTE(B1801," ","-")&amp;"_"&amp;D1801&amp;"_"&amp;SUBSTITUTE(SUBSTITUTE(E1801," ",""),"€","Euro")&amp;"_"&amp;IF(F1801="","Unknown",F1801)&amp;IF(F1801="Commemorative",IF(G1801="","","_"&amp;SUBSTITUTE(SUBSTITUTE(SUBSTITUTE(G1801," ","-"),"/","-"),CHAR(39),"")),"")&amp;IF(I1801="Duplicate","_Dub"&amp;IF(SUMPRODUCT(($B$2:B1801=B1801)*($D$2:D1801=D1801)*($E$2:E1801=E1801)*($F$2:F1801=F1801)*($G$2:G1801=G1801)*($I$2:I1801="Duplicate"))&lt;=1,"",SUMPRODUCT(($B$2:B1801=B1801)*($D$2:D1801=D1801)*($E$2:E1801=E1801)*($F$2:F1801=F1801)*($G$2:G1801=G1801)*($I$2:I1801="Duplicate"))-1),"")&amp;".jpeg")</f>
        <v/>
      </c>
      <c r="L1801" s="6"/>
      <c r="M1801" s="5" t="str">
        <f>IFERROR(VLOOKUP(E1801,Specifications!$A$2:$D$9,2,FALSE),"")</f>
        <v/>
      </c>
      <c r="N1801" s="5" t="str">
        <f>IFERROR(VLOOKUP(E1801,Specifications!$A$2:$D$9,3,FALSE),"")</f>
        <v/>
      </c>
      <c r="O1801" s="5" t="str">
        <f>IFERROR(VLOOKUP(E1801,Specifications!$A$2:$D$9,4,FALSE),"")</f>
        <v/>
      </c>
      <c r="P1801" s="8" t="str">
        <f t="shared" si="87"/>
        <v/>
      </c>
      <c r="Q1801" s="9"/>
    </row>
    <row r="1802" spans="1:17" ht="15">
      <c r="A1802" s="5" t="str">
        <f t="shared" si="85"/>
        <v/>
      </c>
      <c r="B1802" s="6"/>
      <c r="C1802" s="5" t="str">
        <f>IFERROR(VLOOKUP(B1802,Lists!$A$2:$B$25,2,FALSE),"")</f>
        <v/>
      </c>
      <c r="D1802" s="7"/>
      <c r="E1802" s="6"/>
      <c r="F1802" s="6" t="str">
        <f t="shared" si="86"/>
        <v/>
      </c>
      <c r="G1802" s="6"/>
      <c r="H1802" s="6"/>
      <c r="I1802" s="6"/>
      <c r="J1802" s="7"/>
      <c r="K1802" s="5" t="str" cm="1">
        <f t="array" ref="K1802">IF(OR(A1802="",B1802="",D1802="",E1802=""),"",A1802&amp;"_"&amp;SUBSTITUTE(B1802," ","-")&amp;"_"&amp;D1802&amp;"_"&amp;SUBSTITUTE(SUBSTITUTE(E1802," ",""),"€","Euro")&amp;"_"&amp;IF(F1802="","Unknown",F1802)&amp;IF(F1802="Commemorative",IF(G1802="","","_"&amp;SUBSTITUTE(SUBSTITUTE(SUBSTITUTE(G1802," ","-"),"/","-"),CHAR(39),"")),"")&amp;IF(I1802="Duplicate","_Dub"&amp;IF(SUMPRODUCT(($B$2:B1802=B1802)*($D$2:D1802=D1802)*($E$2:E1802=E1802)*($F$2:F1802=F1802)*($G$2:G1802=G1802)*($I$2:I1802="Duplicate"))&lt;=1,"",SUMPRODUCT(($B$2:B1802=B1802)*($D$2:D1802=D1802)*($E$2:E1802=E1802)*($F$2:F1802=F1802)*($G$2:G1802=G1802)*($I$2:I1802="Duplicate"))-1),"")&amp;".jpeg")</f>
        <v/>
      </c>
      <c r="L1802" s="6"/>
      <c r="M1802" s="5" t="str">
        <f>IFERROR(VLOOKUP(E1802,Specifications!$A$2:$D$9,2,FALSE),"")</f>
        <v/>
      </c>
      <c r="N1802" s="5" t="str">
        <f>IFERROR(VLOOKUP(E1802,Specifications!$A$2:$D$9,3,FALSE),"")</f>
        <v/>
      </c>
      <c r="O1802" s="5" t="str">
        <f>IFERROR(VLOOKUP(E1802,Specifications!$A$2:$D$9,4,FALSE),"")</f>
        <v/>
      </c>
      <c r="P1802" s="8" t="str">
        <f t="shared" si="87"/>
        <v/>
      </c>
      <c r="Q1802" s="9"/>
    </row>
    <row r="1803" spans="1:17" ht="15">
      <c r="A1803" s="5" t="str">
        <f t="shared" si="85"/>
        <v/>
      </c>
      <c r="B1803" s="6"/>
      <c r="C1803" s="5" t="str">
        <f>IFERROR(VLOOKUP(B1803,Lists!$A$2:$B$25,2,FALSE),"")</f>
        <v/>
      </c>
      <c r="D1803" s="7"/>
      <c r="E1803" s="6"/>
      <c r="F1803" s="6" t="str">
        <f t="shared" si="86"/>
        <v/>
      </c>
      <c r="G1803" s="6"/>
      <c r="H1803" s="6"/>
      <c r="I1803" s="6"/>
      <c r="J1803" s="7"/>
      <c r="K1803" s="5" t="str" cm="1">
        <f t="array" ref="K1803">IF(OR(A1803="",B1803="",D1803="",E1803=""),"",A1803&amp;"_"&amp;SUBSTITUTE(B1803," ","-")&amp;"_"&amp;D1803&amp;"_"&amp;SUBSTITUTE(SUBSTITUTE(E1803," ",""),"€","Euro")&amp;"_"&amp;IF(F1803="","Unknown",F1803)&amp;IF(F1803="Commemorative",IF(G1803="","","_"&amp;SUBSTITUTE(SUBSTITUTE(SUBSTITUTE(G1803," ","-"),"/","-"),CHAR(39),"")),"")&amp;IF(I1803="Duplicate","_Dub"&amp;IF(SUMPRODUCT(($B$2:B1803=B1803)*($D$2:D1803=D1803)*($E$2:E1803=E1803)*($F$2:F1803=F1803)*($G$2:G1803=G1803)*($I$2:I1803="Duplicate"))&lt;=1,"",SUMPRODUCT(($B$2:B1803=B1803)*($D$2:D1803=D1803)*($E$2:E1803=E1803)*($F$2:F1803=F1803)*($G$2:G1803=G1803)*($I$2:I1803="Duplicate"))-1),"")&amp;".jpeg")</f>
        <v/>
      </c>
      <c r="L1803" s="6"/>
      <c r="M1803" s="5" t="str">
        <f>IFERROR(VLOOKUP(E1803,Specifications!$A$2:$D$9,2,FALSE),"")</f>
        <v/>
      </c>
      <c r="N1803" s="5" t="str">
        <f>IFERROR(VLOOKUP(E1803,Specifications!$A$2:$D$9,3,FALSE),"")</f>
        <v/>
      </c>
      <c r="O1803" s="5" t="str">
        <f>IFERROR(VLOOKUP(E1803,Specifications!$A$2:$D$9,4,FALSE),"")</f>
        <v/>
      </c>
      <c r="P1803" s="8" t="str">
        <f t="shared" si="87"/>
        <v/>
      </c>
      <c r="Q1803" s="9"/>
    </row>
    <row r="1804" spans="1:17" ht="15">
      <c r="A1804" s="5" t="str">
        <f t="shared" si="85"/>
        <v/>
      </c>
      <c r="B1804" s="6"/>
      <c r="C1804" s="5" t="str">
        <f>IFERROR(VLOOKUP(B1804,Lists!$A$2:$B$25,2,FALSE),"")</f>
        <v/>
      </c>
      <c r="D1804" s="7"/>
      <c r="E1804" s="6"/>
      <c r="F1804" s="6" t="str">
        <f t="shared" si="86"/>
        <v/>
      </c>
      <c r="G1804" s="6"/>
      <c r="H1804" s="6"/>
      <c r="I1804" s="6"/>
      <c r="J1804" s="7"/>
      <c r="K1804" s="5" t="str" cm="1">
        <f t="array" ref="K1804">IF(OR(A1804="",B1804="",D1804="",E1804=""),"",A1804&amp;"_"&amp;SUBSTITUTE(B1804," ","-")&amp;"_"&amp;D1804&amp;"_"&amp;SUBSTITUTE(SUBSTITUTE(E1804," ",""),"€","Euro")&amp;"_"&amp;IF(F1804="","Unknown",F1804)&amp;IF(F1804="Commemorative",IF(G1804="","","_"&amp;SUBSTITUTE(SUBSTITUTE(SUBSTITUTE(G1804," ","-"),"/","-"),CHAR(39),"")),"")&amp;IF(I1804="Duplicate","_Dub"&amp;IF(SUMPRODUCT(($B$2:B1804=B1804)*($D$2:D1804=D1804)*($E$2:E1804=E1804)*($F$2:F1804=F1804)*($G$2:G1804=G1804)*($I$2:I1804="Duplicate"))&lt;=1,"",SUMPRODUCT(($B$2:B1804=B1804)*($D$2:D1804=D1804)*($E$2:E1804=E1804)*($F$2:F1804=F1804)*($G$2:G1804=G1804)*($I$2:I1804="Duplicate"))-1),"")&amp;".jpeg")</f>
        <v/>
      </c>
      <c r="L1804" s="6"/>
      <c r="M1804" s="5" t="str">
        <f>IFERROR(VLOOKUP(E1804,Specifications!$A$2:$D$9,2,FALSE),"")</f>
        <v/>
      </c>
      <c r="N1804" s="5" t="str">
        <f>IFERROR(VLOOKUP(E1804,Specifications!$A$2:$D$9,3,FALSE),"")</f>
        <v/>
      </c>
      <c r="O1804" s="5" t="str">
        <f>IFERROR(VLOOKUP(E1804,Specifications!$A$2:$D$9,4,FALSE),"")</f>
        <v/>
      </c>
      <c r="P1804" s="8" t="str">
        <f t="shared" si="87"/>
        <v/>
      </c>
      <c r="Q1804" s="9"/>
    </row>
    <row r="1805" spans="1:17" ht="15">
      <c r="A1805" s="5" t="str">
        <f t="shared" si="85"/>
        <v/>
      </c>
      <c r="B1805" s="6"/>
      <c r="C1805" s="5" t="str">
        <f>IFERROR(VLOOKUP(B1805,Lists!$A$2:$B$25,2,FALSE),"")</f>
        <v/>
      </c>
      <c r="D1805" s="7"/>
      <c r="E1805" s="6"/>
      <c r="F1805" s="6" t="str">
        <f t="shared" si="86"/>
        <v/>
      </c>
      <c r="G1805" s="6"/>
      <c r="H1805" s="6"/>
      <c r="I1805" s="6"/>
      <c r="J1805" s="7"/>
      <c r="K1805" s="5" t="str" cm="1">
        <f t="array" ref="K1805">IF(OR(A1805="",B1805="",D1805="",E1805=""),"",A1805&amp;"_"&amp;SUBSTITUTE(B1805," ","-")&amp;"_"&amp;D1805&amp;"_"&amp;SUBSTITUTE(SUBSTITUTE(E1805," ",""),"€","Euro")&amp;"_"&amp;IF(F1805="","Unknown",F1805)&amp;IF(F1805="Commemorative",IF(G1805="","","_"&amp;SUBSTITUTE(SUBSTITUTE(SUBSTITUTE(G1805," ","-"),"/","-"),CHAR(39),"")),"")&amp;IF(I1805="Duplicate","_Dub"&amp;IF(SUMPRODUCT(($B$2:B1805=B1805)*($D$2:D1805=D1805)*($E$2:E1805=E1805)*($F$2:F1805=F1805)*($G$2:G1805=G1805)*($I$2:I1805="Duplicate"))&lt;=1,"",SUMPRODUCT(($B$2:B1805=B1805)*($D$2:D1805=D1805)*($E$2:E1805=E1805)*($F$2:F1805=F1805)*($G$2:G1805=G1805)*($I$2:I1805="Duplicate"))-1),"")&amp;".jpeg")</f>
        <v/>
      </c>
      <c r="L1805" s="6"/>
      <c r="M1805" s="5" t="str">
        <f>IFERROR(VLOOKUP(E1805,Specifications!$A$2:$D$9,2,FALSE),"")</f>
        <v/>
      </c>
      <c r="N1805" s="5" t="str">
        <f>IFERROR(VLOOKUP(E1805,Specifications!$A$2:$D$9,3,FALSE),"")</f>
        <v/>
      </c>
      <c r="O1805" s="5" t="str">
        <f>IFERROR(VLOOKUP(E1805,Specifications!$A$2:$D$9,4,FALSE),"")</f>
        <v/>
      </c>
      <c r="P1805" s="8" t="str">
        <f t="shared" si="87"/>
        <v/>
      </c>
      <c r="Q1805" s="9"/>
    </row>
    <row r="1806" spans="1:17" ht="15">
      <c r="A1806" s="5" t="str">
        <f t="shared" si="85"/>
        <v/>
      </c>
      <c r="B1806" s="6"/>
      <c r="C1806" s="5" t="str">
        <f>IFERROR(VLOOKUP(B1806,Lists!$A$2:$B$25,2,FALSE),"")</f>
        <v/>
      </c>
      <c r="D1806" s="7"/>
      <c r="E1806" s="6"/>
      <c r="F1806" s="6" t="str">
        <f t="shared" si="86"/>
        <v/>
      </c>
      <c r="G1806" s="6"/>
      <c r="H1806" s="6"/>
      <c r="I1806" s="6"/>
      <c r="J1806" s="7"/>
      <c r="K1806" s="5" t="str" cm="1">
        <f t="array" ref="K1806">IF(OR(A1806="",B1806="",D1806="",E1806=""),"",A1806&amp;"_"&amp;SUBSTITUTE(B1806," ","-")&amp;"_"&amp;D1806&amp;"_"&amp;SUBSTITUTE(SUBSTITUTE(E1806," ",""),"€","Euro")&amp;"_"&amp;IF(F1806="","Unknown",F1806)&amp;IF(F1806="Commemorative",IF(G1806="","","_"&amp;SUBSTITUTE(SUBSTITUTE(SUBSTITUTE(G1806," ","-"),"/","-"),CHAR(39),"")),"")&amp;IF(I1806="Duplicate","_Dub"&amp;IF(SUMPRODUCT(($B$2:B1806=B1806)*($D$2:D1806=D1806)*($E$2:E1806=E1806)*($F$2:F1806=F1806)*($G$2:G1806=G1806)*($I$2:I1806="Duplicate"))&lt;=1,"",SUMPRODUCT(($B$2:B1806=B1806)*($D$2:D1806=D1806)*($E$2:E1806=E1806)*($F$2:F1806=F1806)*($G$2:G1806=G1806)*($I$2:I1806="Duplicate"))-1),"")&amp;".jpeg")</f>
        <v/>
      </c>
      <c r="L1806" s="6"/>
      <c r="M1806" s="5" t="str">
        <f>IFERROR(VLOOKUP(E1806,Specifications!$A$2:$D$9,2,FALSE),"")</f>
        <v/>
      </c>
      <c r="N1806" s="5" t="str">
        <f>IFERROR(VLOOKUP(E1806,Specifications!$A$2:$D$9,3,FALSE),"")</f>
        <v/>
      </c>
      <c r="O1806" s="5" t="str">
        <f>IFERROR(VLOOKUP(E1806,Specifications!$A$2:$D$9,4,FALSE),"")</f>
        <v/>
      </c>
      <c r="P1806" s="8" t="str">
        <f t="shared" si="87"/>
        <v/>
      </c>
      <c r="Q1806" s="9"/>
    </row>
    <row r="1807" spans="1:17" ht="15">
      <c r="A1807" s="5" t="str">
        <f t="shared" si="85"/>
        <v/>
      </c>
      <c r="B1807" s="6"/>
      <c r="C1807" s="5" t="str">
        <f>IFERROR(VLOOKUP(B1807,Lists!$A$2:$B$25,2,FALSE),"")</f>
        <v/>
      </c>
      <c r="D1807" s="7"/>
      <c r="E1807" s="6"/>
      <c r="F1807" s="6" t="str">
        <f t="shared" si="86"/>
        <v/>
      </c>
      <c r="G1807" s="6"/>
      <c r="H1807" s="6"/>
      <c r="I1807" s="6"/>
      <c r="J1807" s="7"/>
      <c r="K1807" s="5" t="str" cm="1">
        <f t="array" ref="K1807">IF(OR(A1807="",B1807="",D1807="",E1807=""),"",A1807&amp;"_"&amp;SUBSTITUTE(B1807," ","-")&amp;"_"&amp;D1807&amp;"_"&amp;SUBSTITUTE(SUBSTITUTE(E1807," ",""),"€","Euro")&amp;"_"&amp;IF(F1807="","Unknown",F1807)&amp;IF(F1807="Commemorative",IF(G1807="","","_"&amp;SUBSTITUTE(SUBSTITUTE(SUBSTITUTE(G1807," ","-"),"/","-"),CHAR(39),"")),"")&amp;IF(I1807="Duplicate","_Dub"&amp;IF(SUMPRODUCT(($B$2:B1807=B1807)*($D$2:D1807=D1807)*($E$2:E1807=E1807)*($F$2:F1807=F1807)*($G$2:G1807=G1807)*($I$2:I1807="Duplicate"))&lt;=1,"",SUMPRODUCT(($B$2:B1807=B1807)*($D$2:D1807=D1807)*($E$2:E1807=E1807)*($F$2:F1807=F1807)*($G$2:G1807=G1807)*($I$2:I1807="Duplicate"))-1),"")&amp;".jpeg")</f>
        <v/>
      </c>
      <c r="L1807" s="6"/>
      <c r="M1807" s="5" t="str">
        <f>IFERROR(VLOOKUP(E1807,Specifications!$A$2:$D$9,2,FALSE),"")</f>
        <v/>
      </c>
      <c r="N1807" s="5" t="str">
        <f>IFERROR(VLOOKUP(E1807,Specifications!$A$2:$D$9,3,FALSE),"")</f>
        <v/>
      </c>
      <c r="O1807" s="5" t="str">
        <f>IFERROR(VLOOKUP(E1807,Specifications!$A$2:$D$9,4,FALSE),"")</f>
        <v/>
      </c>
      <c r="P1807" s="8" t="str">
        <f t="shared" si="87"/>
        <v/>
      </c>
      <c r="Q1807" s="9"/>
    </row>
    <row r="1808" spans="1:17" ht="15">
      <c r="A1808" s="5" t="str">
        <f t="shared" si="85"/>
        <v/>
      </c>
      <c r="B1808" s="6"/>
      <c r="C1808" s="5" t="str">
        <f>IFERROR(VLOOKUP(B1808,Lists!$A$2:$B$25,2,FALSE),"")</f>
        <v/>
      </c>
      <c r="D1808" s="7"/>
      <c r="E1808" s="6"/>
      <c r="F1808" s="6" t="str">
        <f t="shared" si="86"/>
        <v/>
      </c>
      <c r="G1808" s="6"/>
      <c r="H1808" s="6"/>
      <c r="I1808" s="6"/>
      <c r="J1808" s="7"/>
      <c r="K1808" s="5" t="str" cm="1">
        <f t="array" ref="K1808">IF(OR(A1808="",B1808="",D1808="",E1808=""),"",A1808&amp;"_"&amp;SUBSTITUTE(B1808," ","-")&amp;"_"&amp;D1808&amp;"_"&amp;SUBSTITUTE(SUBSTITUTE(E1808," ",""),"€","Euro")&amp;"_"&amp;IF(F1808="","Unknown",F1808)&amp;IF(F1808="Commemorative",IF(G1808="","","_"&amp;SUBSTITUTE(SUBSTITUTE(SUBSTITUTE(G1808," ","-"),"/","-"),CHAR(39),"")),"")&amp;IF(I1808="Duplicate","_Dub"&amp;IF(SUMPRODUCT(($B$2:B1808=B1808)*($D$2:D1808=D1808)*($E$2:E1808=E1808)*($F$2:F1808=F1808)*($G$2:G1808=G1808)*($I$2:I1808="Duplicate"))&lt;=1,"",SUMPRODUCT(($B$2:B1808=B1808)*($D$2:D1808=D1808)*($E$2:E1808=E1808)*($F$2:F1808=F1808)*($G$2:G1808=G1808)*($I$2:I1808="Duplicate"))-1),"")&amp;".jpeg")</f>
        <v/>
      </c>
      <c r="L1808" s="6"/>
      <c r="M1808" s="5" t="str">
        <f>IFERROR(VLOOKUP(E1808,Specifications!$A$2:$D$9,2,FALSE),"")</f>
        <v/>
      </c>
      <c r="N1808" s="5" t="str">
        <f>IFERROR(VLOOKUP(E1808,Specifications!$A$2:$D$9,3,FALSE),"")</f>
        <v/>
      </c>
      <c r="O1808" s="5" t="str">
        <f>IFERROR(VLOOKUP(E1808,Specifications!$A$2:$D$9,4,FALSE),"")</f>
        <v/>
      </c>
      <c r="P1808" s="8" t="str">
        <f t="shared" si="87"/>
        <v/>
      </c>
      <c r="Q1808" s="9"/>
    </row>
    <row r="1809" spans="1:17" ht="15">
      <c r="A1809" s="5" t="str">
        <f t="shared" si="85"/>
        <v/>
      </c>
      <c r="B1809" s="6"/>
      <c r="C1809" s="5" t="str">
        <f>IFERROR(VLOOKUP(B1809,Lists!$A$2:$B$25,2,FALSE),"")</f>
        <v/>
      </c>
      <c r="D1809" s="7"/>
      <c r="E1809" s="6"/>
      <c r="F1809" s="6" t="str">
        <f t="shared" si="86"/>
        <v/>
      </c>
      <c r="G1809" s="6"/>
      <c r="H1809" s="6"/>
      <c r="I1809" s="6"/>
      <c r="J1809" s="7"/>
      <c r="K1809" s="5" t="str" cm="1">
        <f t="array" ref="K1809">IF(OR(A1809="",B1809="",D1809="",E1809=""),"",A1809&amp;"_"&amp;SUBSTITUTE(B1809," ","-")&amp;"_"&amp;D1809&amp;"_"&amp;SUBSTITUTE(SUBSTITUTE(E1809," ",""),"€","Euro")&amp;"_"&amp;IF(F1809="","Unknown",F1809)&amp;IF(F1809="Commemorative",IF(G1809="","","_"&amp;SUBSTITUTE(SUBSTITUTE(SUBSTITUTE(G1809," ","-"),"/","-"),CHAR(39),"")),"")&amp;IF(I1809="Duplicate","_Dub"&amp;IF(SUMPRODUCT(($B$2:B1809=B1809)*($D$2:D1809=D1809)*($E$2:E1809=E1809)*($F$2:F1809=F1809)*($G$2:G1809=G1809)*($I$2:I1809="Duplicate"))&lt;=1,"",SUMPRODUCT(($B$2:B1809=B1809)*($D$2:D1809=D1809)*($E$2:E1809=E1809)*($F$2:F1809=F1809)*($G$2:G1809=G1809)*($I$2:I1809="Duplicate"))-1),"")&amp;".jpeg")</f>
        <v/>
      </c>
      <c r="L1809" s="6"/>
      <c r="M1809" s="5" t="str">
        <f>IFERROR(VLOOKUP(E1809,Specifications!$A$2:$D$9,2,FALSE),"")</f>
        <v/>
      </c>
      <c r="N1809" s="5" t="str">
        <f>IFERROR(VLOOKUP(E1809,Specifications!$A$2:$D$9,3,FALSE),"")</f>
        <v/>
      </c>
      <c r="O1809" s="5" t="str">
        <f>IFERROR(VLOOKUP(E1809,Specifications!$A$2:$D$9,4,FALSE),"")</f>
        <v/>
      </c>
      <c r="P1809" s="8" t="str">
        <f t="shared" si="87"/>
        <v/>
      </c>
      <c r="Q1809" s="9"/>
    </row>
    <row r="1810" spans="1:17" ht="15">
      <c r="A1810" s="5" t="str">
        <f t="shared" si="85"/>
        <v/>
      </c>
      <c r="B1810" s="6"/>
      <c r="C1810" s="5" t="str">
        <f>IFERROR(VLOOKUP(B1810,Lists!$A$2:$B$25,2,FALSE),"")</f>
        <v/>
      </c>
      <c r="D1810" s="7"/>
      <c r="E1810" s="6"/>
      <c r="F1810" s="6" t="str">
        <f t="shared" si="86"/>
        <v/>
      </c>
      <c r="G1810" s="6"/>
      <c r="H1810" s="6"/>
      <c r="I1810" s="6"/>
      <c r="J1810" s="7"/>
      <c r="K1810" s="5" t="str" cm="1">
        <f t="array" ref="K1810">IF(OR(A1810="",B1810="",D1810="",E1810=""),"",A1810&amp;"_"&amp;SUBSTITUTE(B1810," ","-")&amp;"_"&amp;D1810&amp;"_"&amp;SUBSTITUTE(SUBSTITUTE(E1810," ",""),"€","Euro")&amp;"_"&amp;IF(F1810="","Unknown",F1810)&amp;IF(F1810="Commemorative",IF(G1810="","","_"&amp;SUBSTITUTE(SUBSTITUTE(SUBSTITUTE(G1810," ","-"),"/","-"),CHAR(39),"")),"")&amp;IF(I1810="Duplicate","_Dub"&amp;IF(SUMPRODUCT(($B$2:B1810=B1810)*($D$2:D1810=D1810)*($E$2:E1810=E1810)*($F$2:F1810=F1810)*($G$2:G1810=G1810)*($I$2:I1810="Duplicate"))&lt;=1,"",SUMPRODUCT(($B$2:B1810=B1810)*($D$2:D1810=D1810)*($E$2:E1810=E1810)*($F$2:F1810=F1810)*($G$2:G1810=G1810)*($I$2:I1810="Duplicate"))-1),"")&amp;".jpeg")</f>
        <v/>
      </c>
      <c r="L1810" s="6"/>
      <c r="M1810" s="5" t="str">
        <f>IFERROR(VLOOKUP(E1810,Specifications!$A$2:$D$9,2,FALSE),"")</f>
        <v/>
      </c>
      <c r="N1810" s="5" t="str">
        <f>IFERROR(VLOOKUP(E1810,Specifications!$A$2:$D$9,3,FALSE),"")</f>
        <v/>
      </c>
      <c r="O1810" s="5" t="str">
        <f>IFERROR(VLOOKUP(E1810,Specifications!$A$2:$D$9,4,FALSE),"")</f>
        <v/>
      </c>
      <c r="P1810" s="8" t="str">
        <f t="shared" si="87"/>
        <v/>
      </c>
      <c r="Q1810" s="9"/>
    </row>
    <row r="1811" spans="1:17" ht="15">
      <c r="A1811" s="5" t="str">
        <f t="shared" si="85"/>
        <v/>
      </c>
      <c r="B1811" s="6"/>
      <c r="C1811" s="5" t="str">
        <f>IFERROR(VLOOKUP(B1811,Lists!$A$2:$B$25,2,FALSE),"")</f>
        <v/>
      </c>
      <c r="D1811" s="7"/>
      <c r="E1811" s="6"/>
      <c r="F1811" s="6" t="str">
        <f t="shared" si="86"/>
        <v/>
      </c>
      <c r="G1811" s="6"/>
      <c r="H1811" s="6"/>
      <c r="I1811" s="6"/>
      <c r="J1811" s="7"/>
      <c r="K1811" s="5" t="str" cm="1">
        <f t="array" ref="K1811">IF(OR(A1811="",B1811="",D1811="",E1811=""),"",A1811&amp;"_"&amp;SUBSTITUTE(B1811," ","-")&amp;"_"&amp;D1811&amp;"_"&amp;SUBSTITUTE(SUBSTITUTE(E1811," ",""),"€","Euro")&amp;"_"&amp;IF(F1811="","Unknown",F1811)&amp;IF(F1811="Commemorative",IF(G1811="","","_"&amp;SUBSTITUTE(SUBSTITUTE(SUBSTITUTE(G1811," ","-"),"/","-"),CHAR(39),"")),"")&amp;IF(I1811="Duplicate","_Dub"&amp;IF(SUMPRODUCT(($B$2:B1811=B1811)*($D$2:D1811=D1811)*($E$2:E1811=E1811)*($F$2:F1811=F1811)*($G$2:G1811=G1811)*($I$2:I1811="Duplicate"))&lt;=1,"",SUMPRODUCT(($B$2:B1811=B1811)*($D$2:D1811=D1811)*($E$2:E1811=E1811)*($F$2:F1811=F1811)*($G$2:G1811=G1811)*($I$2:I1811="Duplicate"))-1),"")&amp;".jpeg")</f>
        <v/>
      </c>
      <c r="L1811" s="6"/>
      <c r="M1811" s="5" t="str">
        <f>IFERROR(VLOOKUP(E1811,Specifications!$A$2:$D$9,2,FALSE),"")</f>
        <v/>
      </c>
      <c r="N1811" s="5" t="str">
        <f>IFERROR(VLOOKUP(E1811,Specifications!$A$2:$D$9,3,FALSE),"")</f>
        <v/>
      </c>
      <c r="O1811" s="5" t="str">
        <f>IFERROR(VLOOKUP(E1811,Specifications!$A$2:$D$9,4,FALSE),"")</f>
        <v/>
      </c>
      <c r="P1811" s="8" t="str">
        <f t="shared" si="87"/>
        <v/>
      </c>
      <c r="Q1811" s="9"/>
    </row>
    <row r="1812" spans="1:17" ht="15">
      <c r="A1812" s="5" t="str">
        <f t="shared" si="85"/>
        <v/>
      </c>
      <c r="B1812" s="6"/>
      <c r="C1812" s="5" t="str">
        <f>IFERROR(VLOOKUP(B1812,Lists!$A$2:$B$25,2,FALSE),"")</f>
        <v/>
      </c>
      <c r="D1812" s="7"/>
      <c r="E1812" s="6"/>
      <c r="F1812" s="6" t="str">
        <f t="shared" si="86"/>
        <v/>
      </c>
      <c r="G1812" s="6"/>
      <c r="H1812" s="6"/>
      <c r="I1812" s="6"/>
      <c r="J1812" s="7"/>
      <c r="K1812" s="5" t="str" cm="1">
        <f t="array" ref="K1812">IF(OR(A1812="",B1812="",D1812="",E1812=""),"",A1812&amp;"_"&amp;SUBSTITUTE(B1812," ","-")&amp;"_"&amp;D1812&amp;"_"&amp;SUBSTITUTE(SUBSTITUTE(E1812," ",""),"€","Euro")&amp;"_"&amp;IF(F1812="","Unknown",F1812)&amp;IF(F1812="Commemorative",IF(G1812="","","_"&amp;SUBSTITUTE(SUBSTITUTE(SUBSTITUTE(G1812," ","-"),"/","-"),CHAR(39),"")),"")&amp;IF(I1812="Duplicate","_Dub"&amp;IF(SUMPRODUCT(($B$2:B1812=B1812)*($D$2:D1812=D1812)*($E$2:E1812=E1812)*($F$2:F1812=F1812)*($G$2:G1812=G1812)*($I$2:I1812="Duplicate"))&lt;=1,"",SUMPRODUCT(($B$2:B1812=B1812)*($D$2:D1812=D1812)*($E$2:E1812=E1812)*($F$2:F1812=F1812)*($G$2:G1812=G1812)*($I$2:I1812="Duplicate"))-1),"")&amp;".jpeg")</f>
        <v/>
      </c>
      <c r="L1812" s="6"/>
      <c r="M1812" s="5" t="str">
        <f>IFERROR(VLOOKUP(E1812,Specifications!$A$2:$D$9,2,FALSE),"")</f>
        <v/>
      </c>
      <c r="N1812" s="5" t="str">
        <f>IFERROR(VLOOKUP(E1812,Specifications!$A$2:$D$9,3,FALSE),"")</f>
        <v/>
      </c>
      <c r="O1812" s="5" t="str">
        <f>IFERROR(VLOOKUP(E1812,Specifications!$A$2:$D$9,4,FALSE),"")</f>
        <v/>
      </c>
      <c r="P1812" s="8" t="str">
        <f t="shared" si="87"/>
        <v/>
      </c>
      <c r="Q1812" s="9"/>
    </row>
    <row r="1813" spans="1:17" ht="15">
      <c r="A1813" s="5" t="str">
        <f t="shared" si="85"/>
        <v/>
      </c>
      <c r="B1813" s="6"/>
      <c r="C1813" s="5" t="str">
        <f>IFERROR(VLOOKUP(B1813,Lists!$A$2:$B$25,2,FALSE),"")</f>
        <v/>
      </c>
      <c r="D1813" s="7"/>
      <c r="E1813" s="6"/>
      <c r="F1813" s="6" t="str">
        <f t="shared" si="86"/>
        <v/>
      </c>
      <c r="G1813" s="6"/>
      <c r="H1813" s="6"/>
      <c r="I1813" s="6"/>
      <c r="J1813" s="7"/>
      <c r="K1813" s="5" t="str" cm="1">
        <f t="array" ref="K1813">IF(OR(A1813="",B1813="",D1813="",E1813=""),"",A1813&amp;"_"&amp;SUBSTITUTE(B1813," ","-")&amp;"_"&amp;D1813&amp;"_"&amp;SUBSTITUTE(SUBSTITUTE(E1813," ",""),"€","Euro")&amp;"_"&amp;IF(F1813="","Unknown",F1813)&amp;IF(F1813="Commemorative",IF(G1813="","","_"&amp;SUBSTITUTE(SUBSTITUTE(SUBSTITUTE(G1813," ","-"),"/","-"),CHAR(39),"")),"")&amp;IF(I1813="Duplicate","_Dub"&amp;IF(SUMPRODUCT(($B$2:B1813=B1813)*($D$2:D1813=D1813)*($E$2:E1813=E1813)*($F$2:F1813=F1813)*($G$2:G1813=G1813)*($I$2:I1813="Duplicate"))&lt;=1,"",SUMPRODUCT(($B$2:B1813=B1813)*($D$2:D1813=D1813)*($E$2:E1813=E1813)*($F$2:F1813=F1813)*($G$2:G1813=G1813)*($I$2:I1813="Duplicate"))-1),"")&amp;".jpeg")</f>
        <v/>
      </c>
      <c r="L1813" s="6"/>
      <c r="M1813" s="5" t="str">
        <f>IFERROR(VLOOKUP(E1813,Specifications!$A$2:$D$9,2,FALSE),"")</f>
        <v/>
      </c>
      <c r="N1813" s="5" t="str">
        <f>IFERROR(VLOOKUP(E1813,Specifications!$A$2:$D$9,3,FALSE),"")</f>
        <v/>
      </c>
      <c r="O1813" s="5" t="str">
        <f>IFERROR(VLOOKUP(E1813,Specifications!$A$2:$D$9,4,FALSE),"")</f>
        <v/>
      </c>
      <c r="P1813" s="8" t="str">
        <f t="shared" si="87"/>
        <v/>
      </c>
      <c r="Q1813" s="9"/>
    </row>
    <row r="1814" spans="1:17" ht="15">
      <c r="A1814" s="5" t="str">
        <f t="shared" si="85"/>
        <v/>
      </c>
      <c r="B1814" s="6"/>
      <c r="C1814" s="5" t="str">
        <f>IFERROR(VLOOKUP(B1814,Lists!$A$2:$B$25,2,FALSE),"")</f>
        <v/>
      </c>
      <c r="D1814" s="7"/>
      <c r="E1814" s="6"/>
      <c r="F1814" s="6" t="str">
        <f t="shared" si="86"/>
        <v/>
      </c>
      <c r="G1814" s="6"/>
      <c r="H1814" s="6"/>
      <c r="I1814" s="6"/>
      <c r="J1814" s="7"/>
      <c r="K1814" s="5" t="str" cm="1">
        <f t="array" ref="K1814">IF(OR(A1814="",B1814="",D1814="",E1814=""),"",A1814&amp;"_"&amp;SUBSTITUTE(B1814," ","-")&amp;"_"&amp;D1814&amp;"_"&amp;SUBSTITUTE(SUBSTITUTE(E1814," ",""),"€","Euro")&amp;"_"&amp;IF(F1814="","Unknown",F1814)&amp;IF(F1814="Commemorative",IF(G1814="","","_"&amp;SUBSTITUTE(SUBSTITUTE(SUBSTITUTE(G1814," ","-"),"/","-"),CHAR(39),"")),"")&amp;IF(I1814="Duplicate","_Dub"&amp;IF(SUMPRODUCT(($B$2:B1814=B1814)*($D$2:D1814=D1814)*($E$2:E1814=E1814)*($F$2:F1814=F1814)*($G$2:G1814=G1814)*($I$2:I1814="Duplicate"))&lt;=1,"",SUMPRODUCT(($B$2:B1814=B1814)*($D$2:D1814=D1814)*($E$2:E1814=E1814)*($F$2:F1814=F1814)*($G$2:G1814=G1814)*($I$2:I1814="Duplicate"))-1),"")&amp;".jpeg")</f>
        <v/>
      </c>
      <c r="L1814" s="6"/>
      <c r="M1814" s="5" t="str">
        <f>IFERROR(VLOOKUP(E1814,Specifications!$A$2:$D$9,2,FALSE),"")</f>
        <v/>
      </c>
      <c r="N1814" s="5" t="str">
        <f>IFERROR(VLOOKUP(E1814,Specifications!$A$2:$D$9,3,FALSE),"")</f>
        <v/>
      </c>
      <c r="O1814" s="5" t="str">
        <f>IFERROR(VLOOKUP(E1814,Specifications!$A$2:$D$9,4,FALSE),"")</f>
        <v/>
      </c>
      <c r="P1814" s="8" t="str">
        <f t="shared" si="87"/>
        <v/>
      </c>
      <c r="Q1814" s="9"/>
    </row>
    <row r="1815" spans="1:17" ht="15">
      <c r="A1815" s="5" t="str">
        <f t="shared" si="85"/>
        <v/>
      </c>
      <c r="B1815" s="6"/>
      <c r="C1815" s="5" t="str">
        <f>IFERROR(VLOOKUP(B1815,Lists!$A$2:$B$25,2,FALSE),"")</f>
        <v/>
      </c>
      <c r="D1815" s="7"/>
      <c r="E1815" s="6"/>
      <c r="F1815" s="6" t="str">
        <f t="shared" si="86"/>
        <v/>
      </c>
      <c r="G1815" s="6"/>
      <c r="H1815" s="6"/>
      <c r="I1815" s="6"/>
      <c r="J1815" s="7"/>
      <c r="K1815" s="5" t="str" cm="1">
        <f t="array" ref="K1815">IF(OR(A1815="",B1815="",D1815="",E1815=""),"",A1815&amp;"_"&amp;SUBSTITUTE(B1815," ","-")&amp;"_"&amp;D1815&amp;"_"&amp;SUBSTITUTE(SUBSTITUTE(E1815," ",""),"€","Euro")&amp;"_"&amp;IF(F1815="","Unknown",F1815)&amp;IF(F1815="Commemorative",IF(G1815="","","_"&amp;SUBSTITUTE(SUBSTITUTE(SUBSTITUTE(G1815," ","-"),"/","-"),CHAR(39),"")),"")&amp;IF(I1815="Duplicate","_Dub"&amp;IF(SUMPRODUCT(($B$2:B1815=B1815)*($D$2:D1815=D1815)*($E$2:E1815=E1815)*($F$2:F1815=F1815)*($G$2:G1815=G1815)*($I$2:I1815="Duplicate"))&lt;=1,"",SUMPRODUCT(($B$2:B1815=B1815)*($D$2:D1815=D1815)*($E$2:E1815=E1815)*($F$2:F1815=F1815)*($G$2:G1815=G1815)*($I$2:I1815="Duplicate"))-1),"")&amp;".jpeg")</f>
        <v/>
      </c>
      <c r="L1815" s="6"/>
      <c r="M1815" s="5" t="str">
        <f>IFERROR(VLOOKUP(E1815,Specifications!$A$2:$D$9,2,FALSE),"")</f>
        <v/>
      </c>
      <c r="N1815" s="5" t="str">
        <f>IFERROR(VLOOKUP(E1815,Specifications!$A$2:$D$9,3,FALSE),"")</f>
        <v/>
      </c>
      <c r="O1815" s="5" t="str">
        <f>IFERROR(VLOOKUP(E1815,Specifications!$A$2:$D$9,4,FALSE),"")</f>
        <v/>
      </c>
      <c r="P1815" s="8" t="str">
        <f t="shared" si="87"/>
        <v/>
      </c>
      <c r="Q1815" s="9"/>
    </row>
    <row r="1816" spans="1:17" ht="15">
      <c r="A1816" s="5" t="str">
        <f t="shared" si="85"/>
        <v/>
      </c>
      <c r="B1816" s="6"/>
      <c r="C1816" s="5" t="str">
        <f>IFERROR(VLOOKUP(B1816,Lists!$A$2:$B$25,2,FALSE),"")</f>
        <v/>
      </c>
      <c r="D1816" s="7"/>
      <c r="E1816" s="6"/>
      <c r="F1816" s="6" t="str">
        <f t="shared" si="86"/>
        <v/>
      </c>
      <c r="G1816" s="6"/>
      <c r="H1816" s="6"/>
      <c r="I1816" s="6"/>
      <c r="J1816" s="7"/>
      <c r="K1816" s="5" t="str" cm="1">
        <f t="array" ref="K1816">IF(OR(A1816="",B1816="",D1816="",E1816=""),"",A1816&amp;"_"&amp;SUBSTITUTE(B1816," ","-")&amp;"_"&amp;D1816&amp;"_"&amp;SUBSTITUTE(SUBSTITUTE(E1816," ",""),"€","Euro")&amp;"_"&amp;IF(F1816="","Unknown",F1816)&amp;IF(F1816="Commemorative",IF(G1816="","","_"&amp;SUBSTITUTE(SUBSTITUTE(SUBSTITUTE(G1816," ","-"),"/","-"),CHAR(39),"")),"")&amp;IF(I1816="Duplicate","_Dub"&amp;IF(SUMPRODUCT(($B$2:B1816=B1816)*($D$2:D1816=D1816)*($E$2:E1816=E1816)*($F$2:F1816=F1816)*($G$2:G1816=G1816)*($I$2:I1816="Duplicate"))&lt;=1,"",SUMPRODUCT(($B$2:B1816=B1816)*($D$2:D1816=D1816)*($E$2:E1816=E1816)*($F$2:F1816=F1816)*($G$2:G1816=G1816)*($I$2:I1816="Duplicate"))-1),"")&amp;".jpeg")</f>
        <v/>
      </c>
      <c r="L1816" s="6"/>
      <c r="M1816" s="5" t="str">
        <f>IFERROR(VLOOKUP(E1816,Specifications!$A$2:$D$9,2,FALSE),"")</f>
        <v/>
      </c>
      <c r="N1816" s="5" t="str">
        <f>IFERROR(VLOOKUP(E1816,Specifications!$A$2:$D$9,3,FALSE),"")</f>
        <v/>
      </c>
      <c r="O1816" s="5" t="str">
        <f>IFERROR(VLOOKUP(E1816,Specifications!$A$2:$D$9,4,FALSE),"")</f>
        <v/>
      </c>
      <c r="P1816" s="8" t="str">
        <f t="shared" si="87"/>
        <v/>
      </c>
      <c r="Q1816" s="9"/>
    </row>
    <row r="1817" spans="1:17" ht="15">
      <c r="A1817" s="5" t="str">
        <f t="shared" si="85"/>
        <v/>
      </c>
      <c r="B1817" s="6"/>
      <c r="C1817" s="5" t="str">
        <f>IFERROR(VLOOKUP(B1817,Lists!$A$2:$B$25,2,FALSE),"")</f>
        <v/>
      </c>
      <c r="D1817" s="7"/>
      <c r="E1817" s="6"/>
      <c r="F1817" s="6" t="str">
        <f t="shared" si="86"/>
        <v/>
      </c>
      <c r="G1817" s="6"/>
      <c r="H1817" s="6"/>
      <c r="I1817" s="6"/>
      <c r="J1817" s="7"/>
      <c r="K1817" s="5" t="str" cm="1">
        <f t="array" ref="K1817">IF(OR(A1817="",B1817="",D1817="",E1817=""),"",A1817&amp;"_"&amp;SUBSTITUTE(B1817," ","-")&amp;"_"&amp;D1817&amp;"_"&amp;SUBSTITUTE(SUBSTITUTE(E1817," ",""),"€","Euro")&amp;"_"&amp;IF(F1817="","Unknown",F1817)&amp;IF(F1817="Commemorative",IF(G1817="","","_"&amp;SUBSTITUTE(SUBSTITUTE(SUBSTITUTE(G1817," ","-"),"/","-"),CHAR(39),"")),"")&amp;IF(I1817="Duplicate","_Dub"&amp;IF(SUMPRODUCT(($B$2:B1817=B1817)*($D$2:D1817=D1817)*($E$2:E1817=E1817)*($F$2:F1817=F1817)*($G$2:G1817=G1817)*($I$2:I1817="Duplicate"))&lt;=1,"",SUMPRODUCT(($B$2:B1817=B1817)*($D$2:D1817=D1817)*($E$2:E1817=E1817)*($F$2:F1817=F1817)*($G$2:G1817=G1817)*($I$2:I1817="Duplicate"))-1),"")&amp;".jpeg")</f>
        <v/>
      </c>
      <c r="L1817" s="6"/>
      <c r="M1817" s="5" t="str">
        <f>IFERROR(VLOOKUP(E1817,Specifications!$A$2:$D$9,2,FALSE),"")</f>
        <v/>
      </c>
      <c r="N1817" s="5" t="str">
        <f>IFERROR(VLOOKUP(E1817,Specifications!$A$2:$D$9,3,FALSE),"")</f>
        <v/>
      </c>
      <c r="O1817" s="5" t="str">
        <f>IFERROR(VLOOKUP(E1817,Specifications!$A$2:$D$9,4,FALSE),"")</f>
        <v/>
      </c>
      <c r="P1817" s="8" t="str">
        <f t="shared" si="87"/>
        <v/>
      </c>
      <c r="Q1817" s="9"/>
    </row>
    <row r="1818" spans="1:17" ht="15">
      <c r="A1818" s="5" t="str">
        <f t="shared" si="85"/>
        <v/>
      </c>
      <c r="B1818" s="6"/>
      <c r="C1818" s="5" t="str">
        <f>IFERROR(VLOOKUP(B1818,Lists!$A$2:$B$25,2,FALSE),"")</f>
        <v/>
      </c>
      <c r="D1818" s="7"/>
      <c r="E1818" s="6"/>
      <c r="F1818" s="6" t="str">
        <f t="shared" si="86"/>
        <v/>
      </c>
      <c r="G1818" s="6"/>
      <c r="H1818" s="6"/>
      <c r="I1818" s="6"/>
      <c r="J1818" s="7"/>
      <c r="K1818" s="5" t="str" cm="1">
        <f t="array" ref="K1818">IF(OR(A1818="",B1818="",D1818="",E1818=""),"",A1818&amp;"_"&amp;SUBSTITUTE(B1818," ","-")&amp;"_"&amp;D1818&amp;"_"&amp;SUBSTITUTE(SUBSTITUTE(E1818," ",""),"€","Euro")&amp;"_"&amp;IF(F1818="","Unknown",F1818)&amp;IF(F1818="Commemorative",IF(G1818="","","_"&amp;SUBSTITUTE(SUBSTITUTE(SUBSTITUTE(G1818," ","-"),"/","-"),CHAR(39),"")),"")&amp;IF(I1818="Duplicate","_Dub"&amp;IF(SUMPRODUCT(($B$2:B1818=B1818)*($D$2:D1818=D1818)*($E$2:E1818=E1818)*($F$2:F1818=F1818)*($G$2:G1818=G1818)*($I$2:I1818="Duplicate"))&lt;=1,"",SUMPRODUCT(($B$2:B1818=B1818)*($D$2:D1818=D1818)*($E$2:E1818=E1818)*($F$2:F1818=F1818)*($G$2:G1818=G1818)*($I$2:I1818="Duplicate"))-1),"")&amp;".jpeg")</f>
        <v/>
      </c>
      <c r="L1818" s="6"/>
      <c r="M1818" s="5" t="str">
        <f>IFERROR(VLOOKUP(E1818,Specifications!$A$2:$D$9,2,FALSE),"")</f>
        <v/>
      </c>
      <c r="N1818" s="5" t="str">
        <f>IFERROR(VLOOKUP(E1818,Specifications!$A$2:$D$9,3,FALSE),"")</f>
        <v/>
      </c>
      <c r="O1818" s="5" t="str">
        <f>IFERROR(VLOOKUP(E1818,Specifications!$A$2:$D$9,4,FALSE),"")</f>
        <v/>
      </c>
      <c r="P1818" s="8" t="str">
        <f t="shared" si="87"/>
        <v/>
      </c>
      <c r="Q1818" s="9"/>
    </row>
    <row r="1819" spans="1:17" ht="15">
      <c r="A1819" s="5" t="str">
        <f t="shared" si="85"/>
        <v/>
      </c>
      <c r="B1819" s="6"/>
      <c r="C1819" s="5" t="str">
        <f>IFERROR(VLOOKUP(B1819,Lists!$A$2:$B$25,2,FALSE),"")</f>
        <v/>
      </c>
      <c r="D1819" s="7"/>
      <c r="E1819" s="6"/>
      <c r="F1819" s="6" t="str">
        <f t="shared" si="86"/>
        <v/>
      </c>
      <c r="G1819" s="6"/>
      <c r="H1819" s="6"/>
      <c r="I1819" s="6"/>
      <c r="J1819" s="7"/>
      <c r="K1819" s="5" t="str" cm="1">
        <f t="array" ref="K1819">IF(OR(A1819="",B1819="",D1819="",E1819=""),"",A1819&amp;"_"&amp;SUBSTITUTE(B1819," ","-")&amp;"_"&amp;D1819&amp;"_"&amp;SUBSTITUTE(SUBSTITUTE(E1819," ",""),"€","Euro")&amp;"_"&amp;IF(F1819="","Unknown",F1819)&amp;IF(F1819="Commemorative",IF(G1819="","","_"&amp;SUBSTITUTE(SUBSTITUTE(SUBSTITUTE(G1819," ","-"),"/","-"),CHAR(39),"")),"")&amp;IF(I1819="Duplicate","_Dub"&amp;IF(SUMPRODUCT(($B$2:B1819=B1819)*($D$2:D1819=D1819)*($E$2:E1819=E1819)*($F$2:F1819=F1819)*($G$2:G1819=G1819)*($I$2:I1819="Duplicate"))&lt;=1,"",SUMPRODUCT(($B$2:B1819=B1819)*($D$2:D1819=D1819)*($E$2:E1819=E1819)*($F$2:F1819=F1819)*($G$2:G1819=G1819)*($I$2:I1819="Duplicate"))-1),"")&amp;".jpeg")</f>
        <v/>
      </c>
      <c r="L1819" s="6"/>
      <c r="M1819" s="5" t="str">
        <f>IFERROR(VLOOKUP(E1819,Specifications!$A$2:$D$9,2,FALSE),"")</f>
        <v/>
      </c>
      <c r="N1819" s="5" t="str">
        <f>IFERROR(VLOOKUP(E1819,Specifications!$A$2:$D$9,3,FALSE),"")</f>
        <v/>
      </c>
      <c r="O1819" s="5" t="str">
        <f>IFERROR(VLOOKUP(E1819,Specifications!$A$2:$D$9,4,FALSE),"")</f>
        <v/>
      </c>
      <c r="P1819" s="8" t="str">
        <f t="shared" si="87"/>
        <v/>
      </c>
      <c r="Q1819" s="9"/>
    </row>
    <row r="1820" spans="1:17" ht="15">
      <c r="A1820" s="5" t="str">
        <f t="shared" si="85"/>
        <v/>
      </c>
      <c r="B1820" s="6"/>
      <c r="C1820" s="5" t="str">
        <f>IFERROR(VLOOKUP(B1820,Lists!$A$2:$B$25,2,FALSE),"")</f>
        <v/>
      </c>
      <c r="D1820" s="7"/>
      <c r="E1820" s="6"/>
      <c r="F1820" s="6" t="str">
        <f t="shared" si="86"/>
        <v/>
      </c>
      <c r="G1820" s="6"/>
      <c r="H1820" s="6"/>
      <c r="I1820" s="6"/>
      <c r="J1820" s="7"/>
      <c r="K1820" s="5" t="str" cm="1">
        <f t="array" ref="K1820">IF(OR(A1820="",B1820="",D1820="",E1820=""),"",A1820&amp;"_"&amp;SUBSTITUTE(B1820," ","-")&amp;"_"&amp;D1820&amp;"_"&amp;SUBSTITUTE(SUBSTITUTE(E1820," ",""),"€","Euro")&amp;"_"&amp;IF(F1820="","Unknown",F1820)&amp;IF(F1820="Commemorative",IF(G1820="","","_"&amp;SUBSTITUTE(SUBSTITUTE(SUBSTITUTE(G1820," ","-"),"/","-"),CHAR(39),"")),"")&amp;IF(I1820="Duplicate","_Dub"&amp;IF(SUMPRODUCT(($B$2:B1820=B1820)*($D$2:D1820=D1820)*($E$2:E1820=E1820)*($F$2:F1820=F1820)*($G$2:G1820=G1820)*($I$2:I1820="Duplicate"))&lt;=1,"",SUMPRODUCT(($B$2:B1820=B1820)*($D$2:D1820=D1820)*($E$2:E1820=E1820)*($F$2:F1820=F1820)*($G$2:G1820=G1820)*($I$2:I1820="Duplicate"))-1),"")&amp;".jpeg")</f>
        <v/>
      </c>
      <c r="L1820" s="6"/>
      <c r="M1820" s="5" t="str">
        <f>IFERROR(VLOOKUP(E1820,Specifications!$A$2:$D$9,2,FALSE),"")</f>
        <v/>
      </c>
      <c r="N1820" s="5" t="str">
        <f>IFERROR(VLOOKUP(E1820,Specifications!$A$2:$D$9,3,FALSE),"")</f>
        <v/>
      </c>
      <c r="O1820" s="5" t="str">
        <f>IFERROR(VLOOKUP(E1820,Specifications!$A$2:$D$9,4,FALSE),"")</f>
        <v/>
      </c>
      <c r="P1820" s="8" t="str">
        <f t="shared" si="87"/>
        <v/>
      </c>
      <c r="Q1820" s="9"/>
    </row>
    <row r="1821" spans="1:17" ht="15">
      <c r="A1821" s="5" t="str">
        <f t="shared" si="85"/>
        <v/>
      </c>
      <c r="B1821" s="6"/>
      <c r="C1821" s="5" t="str">
        <f>IFERROR(VLOOKUP(B1821,Lists!$A$2:$B$25,2,FALSE),"")</f>
        <v/>
      </c>
      <c r="D1821" s="7"/>
      <c r="E1821" s="6"/>
      <c r="F1821" s="6" t="str">
        <f t="shared" si="86"/>
        <v/>
      </c>
      <c r="G1821" s="6"/>
      <c r="H1821" s="6"/>
      <c r="I1821" s="6"/>
      <c r="J1821" s="7"/>
      <c r="K1821" s="5" t="str" cm="1">
        <f t="array" ref="K1821">IF(OR(A1821="",B1821="",D1821="",E1821=""),"",A1821&amp;"_"&amp;SUBSTITUTE(B1821," ","-")&amp;"_"&amp;D1821&amp;"_"&amp;SUBSTITUTE(SUBSTITUTE(E1821," ",""),"€","Euro")&amp;"_"&amp;IF(F1821="","Unknown",F1821)&amp;IF(F1821="Commemorative",IF(G1821="","","_"&amp;SUBSTITUTE(SUBSTITUTE(SUBSTITUTE(G1821," ","-"),"/","-"),CHAR(39),"")),"")&amp;IF(I1821="Duplicate","_Dub"&amp;IF(SUMPRODUCT(($B$2:B1821=B1821)*($D$2:D1821=D1821)*($E$2:E1821=E1821)*($F$2:F1821=F1821)*($G$2:G1821=G1821)*($I$2:I1821="Duplicate"))&lt;=1,"",SUMPRODUCT(($B$2:B1821=B1821)*($D$2:D1821=D1821)*($E$2:E1821=E1821)*($F$2:F1821=F1821)*($G$2:G1821=G1821)*($I$2:I1821="Duplicate"))-1),"")&amp;".jpeg")</f>
        <v/>
      </c>
      <c r="L1821" s="6"/>
      <c r="M1821" s="5" t="str">
        <f>IFERROR(VLOOKUP(E1821,Specifications!$A$2:$D$9,2,FALSE),"")</f>
        <v/>
      </c>
      <c r="N1821" s="5" t="str">
        <f>IFERROR(VLOOKUP(E1821,Specifications!$A$2:$D$9,3,FALSE),"")</f>
        <v/>
      </c>
      <c r="O1821" s="5" t="str">
        <f>IFERROR(VLOOKUP(E1821,Specifications!$A$2:$D$9,4,FALSE),"")</f>
        <v/>
      </c>
      <c r="P1821" s="8" t="str">
        <f t="shared" si="87"/>
        <v/>
      </c>
      <c r="Q1821" s="9"/>
    </row>
    <row r="1822" spans="1:17" ht="15">
      <c r="A1822" s="5" t="str">
        <f t="shared" si="85"/>
        <v/>
      </c>
      <c r="B1822" s="6"/>
      <c r="C1822" s="5" t="str">
        <f>IFERROR(VLOOKUP(B1822,Lists!$A$2:$B$25,2,FALSE),"")</f>
        <v/>
      </c>
      <c r="D1822" s="7"/>
      <c r="E1822" s="6"/>
      <c r="F1822" s="6" t="str">
        <f t="shared" si="86"/>
        <v/>
      </c>
      <c r="G1822" s="6"/>
      <c r="H1822" s="6"/>
      <c r="I1822" s="6"/>
      <c r="J1822" s="7"/>
      <c r="K1822" s="5" t="str" cm="1">
        <f t="array" ref="K1822">IF(OR(A1822="",B1822="",D1822="",E1822=""),"",A1822&amp;"_"&amp;SUBSTITUTE(B1822," ","-")&amp;"_"&amp;D1822&amp;"_"&amp;SUBSTITUTE(SUBSTITUTE(E1822," ",""),"€","Euro")&amp;"_"&amp;IF(F1822="","Unknown",F1822)&amp;IF(F1822="Commemorative",IF(G1822="","","_"&amp;SUBSTITUTE(SUBSTITUTE(SUBSTITUTE(G1822," ","-"),"/","-"),CHAR(39),"")),"")&amp;IF(I1822="Duplicate","_Dub"&amp;IF(SUMPRODUCT(($B$2:B1822=B1822)*($D$2:D1822=D1822)*($E$2:E1822=E1822)*($F$2:F1822=F1822)*($G$2:G1822=G1822)*($I$2:I1822="Duplicate"))&lt;=1,"",SUMPRODUCT(($B$2:B1822=B1822)*($D$2:D1822=D1822)*($E$2:E1822=E1822)*($F$2:F1822=F1822)*($G$2:G1822=G1822)*($I$2:I1822="Duplicate"))-1),"")&amp;".jpeg")</f>
        <v/>
      </c>
      <c r="L1822" s="6"/>
      <c r="M1822" s="5" t="str">
        <f>IFERROR(VLOOKUP(E1822,Specifications!$A$2:$D$9,2,FALSE),"")</f>
        <v/>
      </c>
      <c r="N1822" s="5" t="str">
        <f>IFERROR(VLOOKUP(E1822,Specifications!$A$2:$D$9,3,FALSE),"")</f>
        <v/>
      </c>
      <c r="O1822" s="5" t="str">
        <f>IFERROR(VLOOKUP(E1822,Specifications!$A$2:$D$9,4,FALSE),"")</f>
        <v/>
      </c>
      <c r="P1822" s="8" t="str">
        <f t="shared" si="87"/>
        <v/>
      </c>
      <c r="Q1822" s="9"/>
    </row>
    <row r="1823" spans="1:17" ht="15">
      <c r="A1823" s="5" t="str">
        <f t="shared" si="85"/>
        <v/>
      </c>
      <c r="B1823" s="6"/>
      <c r="C1823" s="5" t="str">
        <f>IFERROR(VLOOKUP(B1823,Lists!$A$2:$B$25,2,FALSE),"")</f>
        <v/>
      </c>
      <c r="D1823" s="7"/>
      <c r="E1823" s="6"/>
      <c r="F1823" s="6" t="str">
        <f t="shared" si="86"/>
        <v/>
      </c>
      <c r="G1823" s="6"/>
      <c r="H1823" s="6"/>
      <c r="I1823" s="6"/>
      <c r="J1823" s="7"/>
      <c r="K1823" s="5" t="str" cm="1">
        <f t="array" ref="K1823">IF(OR(A1823="",B1823="",D1823="",E1823=""),"",A1823&amp;"_"&amp;SUBSTITUTE(B1823," ","-")&amp;"_"&amp;D1823&amp;"_"&amp;SUBSTITUTE(SUBSTITUTE(E1823," ",""),"€","Euro")&amp;"_"&amp;IF(F1823="","Unknown",F1823)&amp;IF(F1823="Commemorative",IF(G1823="","","_"&amp;SUBSTITUTE(SUBSTITUTE(SUBSTITUTE(G1823," ","-"),"/","-"),CHAR(39),"")),"")&amp;IF(I1823="Duplicate","_Dub"&amp;IF(SUMPRODUCT(($B$2:B1823=B1823)*($D$2:D1823=D1823)*($E$2:E1823=E1823)*($F$2:F1823=F1823)*($G$2:G1823=G1823)*($I$2:I1823="Duplicate"))&lt;=1,"",SUMPRODUCT(($B$2:B1823=B1823)*($D$2:D1823=D1823)*($E$2:E1823=E1823)*($F$2:F1823=F1823)*($G$2:G1823=G1823)*($I$2:I1823="Duplicate"))-1),"")&amp;".jpeg")</f>
        <v/>
      </c>
      <c r="L1823" s="6"/>
      <c r="M1823" s="5" t="str">
        <f>IFERROR(VLOOKUP(E1823,Specifications!$A$2:$D$9,2,FALSE),"")</f>
        <v/>
      </c>
      <c r="N1823" s="5" t="str">
        <f>IFERROR(VLOOKUP(E1823,Specifications!$A$2:$D$9,3,FALSE),"")</f>
        <v/>
      </c>
      <c r="O1823" s="5" t="str">
        <f>IFERROR(VLOOKUP(E1823,Specifications!$A$2:$D$9,4,FALSE),"")</f>
        <v/>
      </c>
      <c r="P1823" s="8" t="str">
        <f t="shared" si="87"/>
        <v/>
      </c>
      <c r="Q1823" s="9"/>
    </row>
    <row r="1824" spans="1:17" ht="15">
      <c r="A1824" s="5" t="str">
        <f t="shared" si="85"/>
        <v/>
      </c>
      <c r="B1824" s="6"/>
      <c r="C1824" s="5" t="str">
        <f>IFERROR(VLOOKUP(B1824,Lists!$A$2:$B$25,2,FALSE),"")</f>
        <v/>
      </c>
      <c r="D1824" s="7"/>
      <c r="E1824" s="6"/>
      <c r="F1824" s="6" t="str">
        <f t="shared" si="86"/>
        <v/>
      </c>
      <c r="G1824" s="6"/>
      <c r="H1824" s="6"/>
      <c r="I1824" s="6"/>
      <c r="J1824" s="7"/>
      <c r="K1824" s="5" t="str" cm="1">
        <f t="array" ref="K1824">IF(OR(A1824="",B1824="",D1824="",E1824=""),"",A1824&amp;"_"&amp;SUBSTITUTE(B1824," ","-")&amp;"_"&amp;D1824&amp;"_"&amp;SUBSTITUTE(SUBSTITUTE(E1824," ",""),"€","Euro")&amp;"_"&amp;IF(F1824="","Unknown",F1824)&amp;IF(F1824="Commemorative",IF(G1824="","","_"&amp;SUBSTITUTE(SUBSTITUTE(SUBSTITUTE(G1824," ","-"),"/","-"),CHAR(39),"")),"")&amp;IF(I1824="Duplicate","_Dub"&amp;IF(SUMPRODUCT(($B$2:B1824=B1824)*($D$2:D1824=D1824)*($E$2:E1824=E1824)*($F$2:F1824=F1824)*($G$2:G1824=G1824)*($I$2:I1824="Duplicate"))&lt;=1,"",SUMPRODUCT(($B$2:B1824=B1824)*($D$2:D1824=D1824)*($E$2:E1824=E1824)*($F$2:F1824=F1824)*($G$2:G1824=G1824)*($I$2:I1824="Duplicate"))-1),"")&amp;".jpeg")</f>
        <v/>
      </c>
      <c r="L1824" s="6"/>
      <c r="M1824" s="5" t="str">
        <f>IFERROR(VLOOKUP(E1824,Specifications!$A$2:$D$9,2,FALSE),"")</f>
        <v/>
      </c>
      <c r="N1824" s="5" t="str">
        <f>IFERROR(VLOOKUP(E1824,Specifications!$A$2:$D$9,3,FALSE),"")</f>
        <v/>
      </c>
      <c r="O1824" s="5" t="str">
        <f>IFERROR(VLOOKUP(E1824,Specifications!$A$2:$D$9,4,FALSE),"")</f>
        <v/>
      </c>
      <c r="P1824" s="8" t="str">
        <f t="shared" si="87"/>
        <v/>
      </c>
      <c r="Q1824" s="9"/>
    </row>
    <row r="1825" spans="1:17" ht="15">
      <c r="A1825" s="5" t="str">
        <f t="shared" si="85"/>
        <v/>
      </c>
      <c r="B1825" s="6"/>
      <c r="C1825" s="5" t="str">
        <f>IFERROR(VLOOKUP(B1825,Lists!$A$2:$B$25,2,FALSE),"")</f>
        <v/>
      </c>
      <c r="D1825" s="7"/>
      <c r="E1825" s="6"/>
      <c r="F1825" s="6" t="str">
        <f t="shared" si="86"/>
        <v/>
      </c>
      <c r="G1825" s="6"/>
      <c r="H1825" s="6"/>
      <c r="I1825" s="6"/>
      <c r="J1825" s="7"/>
      <c r="K1825" s="5" t="str" cm="1">
        <f t="array" ref="K1825">IF(OR(A1825="",B1825="",D1825="",E1825=""),"",A1825&amp;"_"&amp;SUBSTITUTE(B1825," ","-")&amp;"_"&amp;D1825&amp;"_"&amp;SUBSTITUTE(SUBSTITUTE(E1825," ",""),"€","Euro")&amp;"_"&amp;IF(F1825="","Unknown",F1825)&amp;IF(F1825="Commemorative",IF(G1825="","","_"&amp;SUBSTITUTE(SUBSTITUTE(SUBSTITUTE(G1825," ","-"),"/","-"),CHAR(39),"")),"")&amp;IF(I1825="Duplicate","_Dub"&amp;IF(SUMPRODUCT(($B$2:B1825=B1825)*($D$2:D1825=D1825)*($E$2:E1825=E1825)*($F$2:F1825=F1825)*($G$2:G1825=G1825)*($I$2:I1825="Duplicate"))&lt;=1,"",SUMPRODUCT(($B$2:B1825=B1825)*($D$2:D1825=D1825)*($E$2:E1825=E1825)*($F$2:F1825=F1825)*($G$2:G1825=G1825)*($I$2:I1825="Duplicate"))-1),"")&amp;".jpeg")</f>
        <v/>
      </c>
      <c r="L1825" s="6"/>
      <c r="M1825" s="5" t="str">
        <f>IFERROR(VLOOKUP(E1825,Specifications!$A$2:$D$9,2,FALSE),"")</f>
        <v/>
      </c>
      <c r="N1825" s="5" t="str">
        <f>IFERROR(VLOOKUP(E1825,Specifications!$A$2:$D$9,3,FALSE),"")</f>
        <v/>
      </c>
      <c r="O1825" s="5" t="str">
        <f>IFERROR(VLOOKUP(E1825,Specifications!$A$2:$D$9,4,FALSE),"")</f>
        <v/>
      </c>
      <c r="P1825" s="8" t="str">
        <f t="shared" si="87"/>
        <v/>
      </c>
      <c r="Q1825" s="9"/>
    </row>
    <row r="1826" spans="1:17" ht="15">
      <c r="A1826" s="5" t="str">
        <f t="shared" si="85"/>
        <v/>
      </c>
      <c r="B1826" s="6"/>
      <c r="C1826" s="5" t="str">
        <f>IFERROR(VLOOKUP(B1826,Lists!$A$2:$B$25,2,FALSE),"")</f>
        <v/>
      </c>
      <c r="D1826" s="7"/>
      <c r="E1826" s="6"/>
      <c r="F1826" s="6" t="str">
        <f t="shared" si="86"/>
        <v/>
      </c>
      <c r="G1826" s="6"/>
      <c r="H1826" s="6"/>
      <c r="I1826" s="6"/>
      <c r="J1826" s="7"/>
      <c r="K1826" s="5" t="str" cm="1">
        <f t="array" ref="K1826">IF(OR(A1826="",B1826="",D1826="",E1826=""),"",A1826&amp;"_"&amp;SUBSTITUTE(B1826," ","-")&amp;"_"&amp;D1826&amp;"_"&amp;SUBSTITUTE(SUBSTITUTE(E1826," ",""),"€","Euro")&amp;"_"&amp;IF(F1826="","Unknown",F1826)&amp;IF(F1826="Commemorative",IF(G1826="","","_"&amp;SUBSTITUTE(SUBSTITUTE(SUBSTITUTE(G1826," ","-"),"/","-"),CHAR(39),"")),"")&amp;IF(I1826="Duplicate","_Dub"&amp;IF(SUMPRODUCT(($B$2:B1826=B1826)*($D$2:D1826=D1826)*($E$2:E1826=E1826)*($F$2:F1826=F1826)*($G$2:G1826=G1826)*($I$2:I1826="Duplicate"))&lt;=1,"",SUMPRODUCT(($B$2:B1826=B1826)*($D$2:D1826=D1826)*($E$2:E1826=E1826)*($F$2:F1826=F1826)*($G$2:G1826=G1826)*($I$2:I1826="Duplicate"))-1),"")&amp;".jpeg")</f>
        <v/>
      </c>
      <c r="L1826" s="6"/>
      <c r="M1826" s="5" t="str">
        <f>IFERROR(VLOOKUP(E1826,Specifications!$A$2:$D$9,2,FALSE),"")</f>
        <v/>
      </c>
      <c r="N1826" s="5" t="str">
        <f>IFERROR(VLOOKUP(E1826,Specifications!$A$2:$D$9,3,FALSE),"")</f>
        <v/>
      </c>
      <c r="O1826" s="5" t="str">
        <f>IFERROR(VLOOKUP(E1826,Specifications!$A$2:$D$9,4,FALSE),"")</f>
        <v/>
      </c>
      <c r="P1826" s="8" t="str">
        <f t="shared" si="87"/>
        <v/>
      </c>
      <c r="Q1826" s="9"/>
    </row>
    <row r="1827" spans="1:17" ht="15">
      <c r="A1827" s="5" t="str">
        <f t="shared" si="85"/>
        <v/>
      </c>
      <c r="B1827" s="6"/>
      <c r="C1827" s="5" t="str">
        <f>IFERROR(VLOOKUP(B1827,Lists!$A$2:$B$25,2,FALSE),"")</f>
        <v/>
      </c>
      <c r="D1827" s="7"/>
      <c r="E1827" s="6"/>
      <c r="F1827" s="6" t="str">
        <f t="shared" si="86"/>
        <v/>
      </c>
      <c r="G1827" s="6"/>
      <c r="H1827" s="6"/>
      <c r="I1827" s="6"/>
      <c r="J1827" s="7"/>
      <c r="K1827" s="5" t="str" cm="1">
        <f t="array" ref="K1827">IF(OR(A1827="",B1827="",D1827="",E1827=""),"",A1827&amp;"_"&amp;SUBSTITUTE(B1827," ","-")&amp;"_"&amp;D1827&amp;"_"&amp;SUBSTITUTE(SUBSTITUTE(E1827," ",""),"€","Euro")&amp;"_"&amp;IF(F1827="","Unknown",F1827)&amp;IF(F1827="Commemorative",IF(G1827="","","_"&amp;SUBSTITUTE(SUBSTITUTE(SUBSTITUTE(G1827," ","-"),"/","-"),CHAR(39),"")),"")&amp;IF(I1827="Duplicate","_Dub"&amp;IF(SUMPRODUCT(($B$2:B1827=B1827)*($D$2:D1827=D1827)*($E$2:E1827=E1827)*($F$2:F1827=F1827)*($G$2:G1827=G1827)*($I$2:I1827="Duplicate"))&lt;=1,"",SUMPRODUCT(($B$2:B1827=B1827)*($D$2:D1827=D1827)*($E$2:E1827=E1827)*($F$2:F1827=F1827)*($G$2:G1827=G1827)*($I$2:I1827="Duplicate"))-1),"")&amp;".jpeg")</f>
        <v/>
      </c>
      <c r="L1827" s="6"/>
      <c r="M1827" s="5" t="str">
        <f>IFERROR(VLOOKUP(E1827,Specifications!$A$2:$D$9,2,FALSE),"")</f>
        <v/>
      </c>
      <c r="N1827" s="5" t="str">
        <f>IFERROR(VLOOKUP(E1827,Specifications!$A$2:$D$9,3,FALSE),"")</f>
        <v/>
      </c>
      <c r="O1827" s="5" t="str">
        <f>IFERROR(VLOOKUP(E1827,Specifications!$A$2:$D$9,4,FALSE),"")</f>
        <v/>
      </c>
      <c r="P1827" s="8" t="str">
        <f t="shared" si="87"/>
        <v/>
      </c>
      <c r="Q1827" s="9"/>
    </row>
    <row r="1828" spans="1:17" ht="15">
      <c r="A1828" s="5" t="str">
        <f t="shared" si="85"/>
        <v/>
      </c>
      <c r="B1828" s="6"/>
      <c r="C1828" s="5" t="str">
        <f>IFERROR(VLOOKUP(B1828,Lists!$A$2:$B$25,2,FALSE),"")</f>
        <v/>
      </c>
      <c r="D1828" s="7"/>
      <c r="E1828" s="6"/>
      <c r="F1828" s="6" t="str">
        <f t="shared" si="86"/>
        <v/>
      </c>
      <c r="G1828" s="6"/>
      <c r="H1828" s="6"/>
      <c r="I1828" s="6"/>
      <c r="J1828" s="7"/>
      <c r="K1828" s="5" t="str" cm="1">
        <f t="array" ref="K1828">IF(OR(A1828="",B1828="",D1828="",E1828=""),"",A1828&amp;"_"&amp;SUBSTITUTE(B1828," ","-")&amp;"_"&amp;D1828&amp;"_"&amp;SUBSTITUTE(SUBSTITUTE(E1828," ",""),"€","Euro")&amp;"_"&amp;IF(F1828="","Unknown",F1828)&amp;IF(F1828="Commemorative",IF(G1828="","","_"&amp;SUBSTITUTE(SUBSTITUTE(SUBSTITUTE(G1828," ","-"),"/","-"),CHAR(39),"")),"")&amp;IF(I1828="Duplicate","_Dub"&amp;IF(SUMPRODUCT(($B$2:B1828=B1828)*($D$2:D1828=D1828)*($E$2:E1828=E1828)*($F$2:F1828=F1828)*($G$2:G1828=G1828)*($I$2:I1828="Duplicate"))&lt;=1,"",SUMPRODUCT(($B$2:B1828=B1828)*($D$2:D1828=D1828)*($E$2:E1828=E1828)*($F$2:F1828=F1828)*($G$2:G1828=G1828)*($I$2:I1828="Duplicate"))-1),"")&amp;".jpeg")</f>
        <v/>
      </c>
      <c r="L1828" s="6"/>
      <c r="M1828" s="5" t="str">
        <f>IFERROR(VLOOKUP(E1828,Specifications!$A$2:$D$9,2,FALSE),"")</f>
        <v/>
      </c>
      <c r="N1828" s="5" t="str">
        <f>IFERROR(VLOOKUP(E1828,Specifications!$A$2:$D$9,3,FALSE),"")</f>
        <v/>
      </c>
      <c r="O1828" s="5" t="str">
        <f>IFERROR(VLOOKUP(E1828,Specifications!$A$2:$D$9,4,FALSE),"")</f>
        <v/>
      </c>
      <c r="P1828" s="8" t="str">
        <f t="shared" si="87"/>
        <v/>
      </c>
      <c r="Q1828" s="9"/>
    </row>
    <row r="1829" spans="1:17" ht="15">
      <c r="A1829" s="5" t="str">
        <f t="shared" si="85"/>
        <v/>
      </c>
      <c r="B1829" s="6"/>
      <c r="C1829" s="5" t="str">
        <f>IFERROR(VLOOKUP(B1829,Lists!$A$2:$B$25,2,FALSE),"")</f>
        <v/>
      </c>
      <c r="D1829" s="7"/>
      <c r="E1829" s="6"/>
      <c r="F1829" s="6" t="str">
        <f t="shared" si="86"/>
        <v/>
      </c>
      <c r="G1829" s="6"/>
      <c r="H1829" s="6"/>
      <c r="I1829" s="6"/>
      <c r="J1829" s="7"/>
      <c r="K1829" s="5" t="str" cm="1">
        <f t="array" ref="K1829">IF(OR(A1829="",B1829="",D1829="",E1829=""),"",A1829&amp;"_"&amp;SUBSTITUTE(B1829," ","-")&amp;"_"&amp;D1829&amp;"_"&amp;SUBSTITUTE(SUBSTITUTE(E1829," ",""),"€","Euro")&amp;"_"&amp;IF(F1829="","Unknown",F1829)&amp;IF(F1829="Commemorative",IF(G1829="","","_"&amp;SUBSTITUTE(SUBSTITUTE(SUBSTITUTE(G1829," ","-"),"/","-"),CHAR(39),"")),"")&amp;IF(I1829="Duplicate","_Dub"&amp;IF(SUMPRODUCT(($B$2:B1829=B1829)*($D$2:D1829=D1829)*($E$2:E1829=E1829)*($F$2:F1829=F1829)*($G$2:G1829=G1829)*($I$2:I1829="Duplicate"))&lt;=1,"",SUMPRODUCT(($B$2:B1829=B1829)*($D$2:D1829=D1829)*($E$2:E1829=E1829)*($F$2:F1829=F1829)*($G$2:G1829=G1829)*($I$2:I1829="Duplicate"))-1),"")&amp;".jpeg")</f>
        <v/>
      </c>
      <c r="L1829" s="6"/>
      <c r="M1829" s="5" t="str">
        <f>IFERROR(VLOOKUP(E1829,Specifications!$A$2:$D$9,2,FALSE),"")</f>
        <v/>
      </c>
      <c r="N1829" s="5" t="str">
        <f>IFERROR(VLOOKUP(E1829,Specifications!$A$2:$D$9,3,FALSE),"")</f>
        <v/>
      </c>
      <c r="O1829" s="5" t="str">
        <f>IFERROR(VLOOKUP(E1829,Specifications!$A$2:$D$9,4,FALSE),"")</f>
        <v/>
      </c>
      <c r="P1829" s="8" t="str">
        <f t="shared" si="87"/>
        <v/>
      </c>
      <c r="Q1829" s="9"/>
    </row>
    <row r="1830" spans="1:17" ht="15">
      <c r="A1830" s="5" t="str">
        <f t="shared" si="85"/>
        <v/>
      </c>
      <c r="B1830" s="6"/>
      <c r="C1830" s="5" t="str">
        <f>IFERROR(VLOOKUP(B1830,Lists!$A$2:$B$25,2,FALSE),"")</f>
        <v/>
      </c>
      <c r="D1830" s="7"/>
      <c r="E1830" s="6"/>
      <c r="F1830" s="6" t="str">
        <f t="shared" si="86"/>
        <v/>
      </c>
      <c r="G1830" s="6"/>
      <c r="H1830" s="6"/>
      <c r="I1830" s="6"/>
      <c r="J1830" s="7"/>
      <c r="K1830" s="5" t="str" cm="1">
        <f t="array" ref="K1830">IF(OR(A1830="",B1830="",D1830="",E1830=""),"",A1830&amp;"_"&amp;SUBSTITUTE(B1830," ","-")&amp;"_"&amp;D1830&amp;"_"&amp;SUBSTITUTE(SUBSTITUTE(E1830," ",""),"€","Euro")&amp;"_"&amp;IF(F1830="","Unknown",F1830)&amp;IF(F1830="Commemorative",IF(G1830="","","_"&amp;SUBSTITUTE(SUBSTITUTE(SUBSTITUTE(G1830," ","-"),"/","-"),CHAR(39),"")),"")&amp;IF(I1830="Duplicate","_Dub"&amp;IF(SUMPRODUCT(($B$2:B1830=B1830)*($D$2:D1830=D1830)*($E$2:E1830=E1830)*($F$2:F1830=F1830)*($G$2:G1830=G1830)*($I$2:I1830="Duplicate"))&lt;=1,"",SUMPRODUCT(($B$2:B1830=B1830)*($D$2:D1830=D1830)*($E$2:E1830=E1830)*($F$2:F1830=F1830)*($G$2:G1830=G1830)*($I$2:I1830="Duplicate"))-1),"")&amp;".jpeg")</f>
        <v/>
      </c>
      <c r="L1830" s="6"/>
      <c r="M1830" s="5" t="str">
        <f>IFERROR(VLOOKUP(E1830,Specifications!$A$2:$D$9,2,FALSE),"")</f>
        <v/>
      </c>
      <c r="N1830" s="5" t="str">
        <f>IFERROR(VLOOKUP(E1830,Specifications!$A$2:$D$9,3,FALSE),"")</f>
        <v/>
      </c>
      <c r="O1830" s="5" t="str">
        <f>IFERROR(VLOOKUP(E1830,Specifications!$A$2:$D$9,4,FALSE),"")</f>
        <v/>
      </c>
      <c r="P1830" s="8" t="str">
        <f t="shared" si="87"/>
        <v/>
      </c>
      <c r="Q1830" s="9"/>
    </row>
    <row r="1831" spans="1:17" ht="15">
      <c r="A1831" s="5" t="str">
        <f t="shared" si="85"/>
        <v/>
      </c>
      <c r="B1831" s="6"/>
      <c r="C1831" s="5" t="str">
        <f>IFERROR(VLOOKUP(B1831,Lists!$A$2:$B$25,2,FALSE),"")</f>
        <v/>
      </c>
      <c r="D1831" s="7"/>
      <c r="E1831" s="6"/>
      <c r="F1831" s="6" t="str">
        <f t="shared" si="86"/>
        <v/>
      </c>
      <c r="G1831" s="6"/>
      <c r="H1831" s="6"/>
      <c r="I1831" s="6"/>
      <c r="J1831" s="7"/>
      <c r="K1831" s="5" t="str" cm="1">
        <f t="array" ref="K1831">IF(OR(A1831="",B1831="",D1831="",E1831=""),"",A1831&amp;"_"&amp;SUBSTITUTE(B1831," ","-")&amp;"_"&amp;D1831&amp;"_"&amp;SUBSTITUTE(SUBSTITUTE(E1831," ",""),"€","Euro")&amp;"_"&amp;IF(F1831="","Unknown",F1831)&amp;IF(F1831="Commemorative",IF(G1831="","","_"&amp;SUBSTITUTE(SUBSTITUTE(SUBSTITUTE(G1831," ","-"),"/","-"),CHAR(39),"")),"")&amp;IF(I1831="Duplicate","_Dub"&amp;IF(SUMPRODUCT(($B$2:B1831=B1831)*($D$2:D1831=D1831)*($E$2:E1831=E1831)*($F$2:F1831=F1831)*($G$2:G1831=G1831)*($I$2:I1831="Duplicate"))&lt;=1,"",SUMPRODUCT(($B$2:B1831=B1831)*($D$2:D1831=D1831)*($E$2:E1831=E1831)*($F$2:F1831=F1831)*($G$2:G1831=G1831)*($I$2:I1831="Duplicate"))-1),"")&amp;".jpeg")</f>
        <v/>
      </c>
      <c r="L1831" s="6"/>
      <c r="M1831" s="5" t="str">
        <f>IFERROR(VLOOKUP(E1831,Specifications!$A$2:$D$9,2,FALSE),"")</f>
        <v/>
      </c>
      <c r="N1831" s="5" t="str">
        <f>IFERROR(VLOOKUP(E1831,Specifications!$A$2:$D$9,3,FALSE),"")</f>
        <v/>
      </c>
      <c r="O1831" s="5" t="str">
        <f>IFERROR(VLOOKUP(E1831,Specifications!$A$2:$D$9,4,FALSE),"")</f>
        <v/>
      </c>
      <c r="P1831" s="8" t="str">
        <f t="shared" si="87"/>
        <v/>
      </c>
      <c r="Q1831" s="9"/>
    </row>
    <row r="1832" spans="1:17" ht="15">
      <c r="A1832" s="5" t="str">
        <f t="shared" si="85"/>
        <v/>
      </c>
      <c r="B1832" s="6"/>
      <c r="C1832" s="5" t="str">
        <f>IFERROR(VLOOKUP(B1832,Lists!$A$2:$B$25,2,FALSE),"")</f>
        <v/>
      </c>
      <c r="D1832" s="7"/>
      <c r="E1832" s="6"/>
      <c r="F1832" s="6" t="str">
        <f t="shared" si="86"/>
        <v/>
      </c>
      <c r="G1832" s="6"/>
      <c r="H1832" s="6"/>
      <c r="I1832" s="6"/>
      <c r="J1832" s="7"/>
      <c r="K1832" s="5" t="str" cm="1">
        <f t="array" ref="K1832">IF(OR(A1832="",B1832="",D1832="",E1832=""),"",A1832&amp;"_"&amp;SUBSTITUTE(B1832," ","-")&amp;"_"&amp;D1832&amp;"_"&amp;SUBSTITUTE(SUBSTITUTE(E1832," ",""),"€","Euro")&amp;"_"&amp;IF(F1832="","Unknown",F1832)&amp;IF(F1832="Commemorative",IF(G1832="","","_"&amp;SUBSTITUTE(SUBSTITUTE(SUBSTITUTE(G1832," ","-"),"/","-"),CHAR(39),"")),"")&amp;IF(I1832="Duplicate","_Dub"&amp;IF(SUMPRODUCT(($B$2:B1832=B1832)*($D$2:D1832=D1832)*($E$2:E1832=E1832)*($F$2:F1832=F1832)*($G$2:G1832=G1832)*($I$2:I1832="Duplicate"))&lt;=1,"",SUMPRODUCT(($B$2:B1832=B1832)*($D$2:D1832=D1832)*($E$2:E1832=E1832)*($F$2:F1832=F1832)*($G$2:G1832=G1832)*($I$2:I1832="Duplicate"))-1),"")&amp;".jpeg")</f>
        <v/>
      </c>
      <c r="L1832" s="6"/>
      <c r="M1832" s="5" t="str">
        <f>IFERROR(VLOOKUP(E1832,Specifications!$A$2:$D$9,2,FALSE),"")</f>
        <v/>
      </c>
      <c r="N1832" s="5" t="str">
        <f>IFERROR(VLOOKUP(E1832,Specifications!$A$2:$D$9,3,FALSE),"")</f>
        <v/>
      </c>
      <c r="O1832" s="5" t="str">
        <f>IFERROR(VLOOKUP(E1832,Specifications!$A$2:$D$9,4,FALSE),"")</f>
        <v/>
      </c>
      <c r="P1832" s="8" t="str">
        <f t="shared" si="87"/>
        <v/>
      </c>
      <c r="Q1832" s="9"/>
    </row>
    <row r="1833" spans="1:17" ht="15">
      <c r="A1833" s="5" t="str">
        <f t="shared" si="85"/>
        <v/>
      </c>
      <c r="B1833" s="6"/>
      <c r="C1833" s="5" t="str">
        <f>IFERROR(VLOOKUP(B1833,Lists!$A$2:$B$25,2,FALSE),"")</f>
        <v/>
      </c>
      <c r="D1833" s="7"/>
      <c r="E1833" s="6"/>
      <c r="F1833" s="6" t="str">
        <f t="shared" si="86"/>
        <v/>
      </c>
      <c r="G1833" s="6"/>
      <c r="H1833" s="6"/>
      <c r="I1833" s="6"/>
      <c r="J1833" s="7"/>
      <c r="K1833" s="5" t="str" cm="1">
        <f t="array" ref="K1833">IF(OR(A1833="",B1833="",D1833="",E1833=""),"",A1833&amp;"_"&amp;SUBSTITUTE(B1833," ","-")&amp;"_"&amp;D1833&amp;"_"&amp;SUBSTITUTE(SUBSTITUTE(E1833," ",""),"€","Euro")&amp;"_"&amp;IF(F1833="","Unknown",F1833)&amp;IF(F1833="Commemorative",IF(G1833="","","_"&amp;SUBSTITUTE(SUBSTITUTE(SUBSTITUTE(G1833," ","-"),"/","-"),CHAR(39),"")),"")&amp;IF(I1833="Duplicate","_Dub"&amp;IF(SUMPRODUCT(($B$2:B1833=B1833)*($D$2:D1833=D1833)*($E$2:E1833=E1833)*($F$2:F1833=F1833)*($G$2:G1833=G1833)*($I$2:I1833="Duplicate"))&lt;=1,"",SUMPRODUCT(($B$2:B1833=B1833)*($D$2:D1833=D1833)*($E$2:E1833=E1833)*($F$2:F1833=F1833)*($G$2:G1833=G1833)*($I$2:I1833="Duplicate"))-1),"")&amp;".jpeg")</f>
        <v/>
      </c>
      <c r="L1833" s="6"/>
      <c r="M1833" s="5" t="str">
        <f>IFERROR(VLOOKUP(E1833,Specifications!$A$2:$D$9,2,FALSE),"")</f>
        <v/>
      </c>
      <c r="N1833" s="5" t="str">
        <f>IFERROR(VLOOKUP(E1833,Specifications!$A$2:$D$9,3,FALSE),"")</f>
        <v/>
      </c>
      <c r="O1833" s="5" t="str">
        <f>IFERROR(VLOOKUP(E1833,Specifications!$A$2:$D$9,4,FALSE),"")</f>
        <v/>
      </c>
      <c r="P1833" s="8" t="str">
        <f t="shared" si="87"/>
        <v/>
      </c>
      <c r="Q1833" s="9"/>
    </row>
    <row r="1834" spans="1:17" ht="15">
      <c r="A1834" s="5" t="str">
        <f t="shared" si="85"/>
        <v/>
      </c>
      <c r="B1834" s="6"/>
      <c r="C1834" s="5" t="str">
        <f>IFERROR(VLOOKUP(B1834,Lists!$A$2:$B$25,2,FALSE),"")</f>
        <v/>
      </c>
      <c r="D1834" s="7"/>
      <c r="E1834" s="6"/>
      <c r="F1834" s="6" t="str">
        <f t="shared" si="86"/>
        <v/>
      </c>
      <c r="G1834" s="6"/>
      <c r="H1834" s="6"/>
      <c r="I1834" s="6"/>
      <c r="J1834" s="7"/>
      <c r="K1834" s="5" t="str" cm="1">
        <f t="array" ref="K1834">IF(OR(A1834="",B1834="",D1834="",E1834=""),"",A1834&amp;"_"&amp;SUBSTITUTE(B1834," ","-")&amp;"_"&amp;D1834&amp;"_"&amp;SUBSTITUTE(SUBSTITUTE(E1834," ",""),"€","Euro")&amp;"_"&amp;IF(F1834="","Unknown",F1834)&amp;IF(F1834="Commemorative",IF(G1834="","","_"&amp;SUBSTITUTE(SUBSTITUTE(SUBSTITUTE(G1834," ","-"),"/","-"),CHAR(39),"")),"")&amp;IF(I1834="Duplicate","_Dub"&amp;IF(SUMPRODUCT(($B$2:B1834=B1834)*($D$2:D1834=D1834)*($E$2:E1834=E1834)*($F$2:F1834=F1834)*($G$2:G1834=G1834)*($I$2:I1834="Duplicate"))&lt;=1,"",SUMPRODUCT(($B$2:B1834=B1834)*($D$2:D1834=D1834)*($E$2:E1834=E1834)*($F$2:F1834=F1834)*($G$2:G1834=G1834)*($I$2:I1834="Duplicate"))-1),"")&amp;".jpeg")</f>
        <v/>
      </c>
      <c r="L1834" s="6"/>
      <c r="M1834" s="5" t="str">
        <f>IFERROR(VLOOKUP(E1834,Specifications!$A$2:$D$9,2,FALSE),"")</f>
        <v/>
      </c>
      <c r="N1834" s="5" t="str">
        <f>IFERROR(VLOOKUP(E1834,Specifications!$A$2:$D$9,3,FALSE),"")</f>
        <v/>
      </c>
      <c r="O1834" s="5" t="str">
        <f>IFERROR(VLOOKUP(E1834,Specifications!$A$2:$D$9,4,FALSE),"")</f>
        <v/>
      </c>
      <c r="P1834" s="8" t="str">
        <f t="shared" si="87"/>
        <v/>
      </c>
      <c r="Q1834" s="9"/>
    </row>
    <row r="1835" spans="1:17" ht="15">
      <c r="A1835" s="5" t="str">
        <f t="shared" si="85"/>
        <v/>
      </c>
      <c r="B1835" s="6"/>
      <c r="C1835" s="5" t="str">
        <f>IFERROR(VLOOKUP(B1835,Lists!$A$2:$B$25,2,FALSE),"")</f>
        <v/>
      </c>
      <c r="D1835" s="7"/>
      <c r="E1835" s="6"/>
      <c r="F1835" s="6" t="str">
        <f t="shared" si="86"/>
        <v/>
      </c>
      <c r="G1835" s="6"/>
      <c r="H1835" s="6"/>
      <c r="I1835" s="6"/>
      <c r="J1835" s="7"/>
      <c r="K1835" s="5" t="str" cm="1">
        <f t="array" ref="K1835">IF(OR(A1835="",B1835="",D1835="",E1835=""),"",A1835&amp;"_"&amp;SUBSTITUTE(B1835," ","-")&amp;"_"&amp;D1835&amp;"_"&amp;SUBSTITUTE(SUBSTITUTE(E1835," ",""),"€","Euro")&amp;"_"&amp;IF(F1835="","Unknown",F1835)&amp;IF(F1835="Commemorative",IF(G1835="","","_"&amp;SUBSTITUTE(SUBSTITUTE(SUBSTITUTE(G1835," ","-"),"/","-"),CHAR(39),"")),"")&amp;IF(I1835="Duplicate","_Dub"&amp;IF(SUMPRODUCT(($B$2:B1835=B1835)*($D$2:D1835=D1835)*($E$2:E1835=E1835)*($F$2:F1835=F1835)*($G$2:G1835=G1835)*($I$2:I1835="Duplicate"))&lt;=1,"",SUMPRODUCT(($B$2:B1835=B1835)*($D$2:D1835=D1835)*($E$2:E1835=E1835)*($F$2:F1835=F1835)*($G$2:G1835=G1835)*($I$2:I1835="Duplicate"))-1),"")&amp;".jpeg")</f>
        <v/>
      </c>
      <c r="L1835" s="6"/>
      <c r="M1835" s="5" t="str">
        <f>IFERROR(VLOOKUP(E1835,Specifications!$A$2:$D$9,2,FALSE),"")</f>
        <v/>
      </c>
      <c r="N1835" s="5" t="str">
        <f>IFERROR(VLOOKUP(E1835,Specifications!$A$2:$D$9,3,FALSE),"")</f>
        <v/>
      </c>
      <c r="O1835" s="5" t="str">
        <f>IFERROR(VLOOKUP(E1835,Specifications!$A$2:$D$9,4,FALSE),"")</f>
        <v/>
      </c>
      <c r="P1835" s="8" t="str">
        <f t="shared" si="87"/>
        <v/>
      </c>
      <c r="Q1835" s="9"/>
    </row>
    <row r="1836" spans="1:17" ht="15">
      <c r="A1836" s="5" t="str">
        <f t="shared" si="85"/>
        <v/>
      </c>
      <c r="B1836" s="6"/>
      <c r="C1836" s="5" t="str">
        <f>IFERROR(VLOOKUP(B1836,Lists!$A$2:$B$25,2,FALSE),"")</f>
        <v/>
      </c>
      <c r="D1836" s="7"/>
      <c r="E1836" s="6"/>
      <c r="F1836" s="6" t="str">
        <f t="shared" si="86"/>
        <v/>
      </c>
      <c r="G1836" s="6"/>
      <c r="H1836" s="6"/>
      <c r="I1836" s="6"/>
      <c r="J1836" s="7"/>
      <c r="K1836" s="5" t="str" cm="1">
        <f t="array" ref="K1836">IF(OR(A1836="",B1836="",D1836="",E1836=""),"",A1836&amp;"_"&amp;SUBSTITUTE(B1836," ","-")&amp;"_"&amp;D1836&amp;"_"&amp;SUBSTITUTE(SUBSTITUTE(E1836," ",""),"€","Euro")&amp;"_"&amp;IF(F1836="","Unknown",F1836)&amp;IF(F1836="Commemorative",IF(G1836="","","_"&amp;SUBSTITUTE(SUBSTITUTE(SUBSTITUTE(G1836," ","-"),"/","-"),CHAR(39),"")),"")&amp;IF(I1836="Duplicate","_Dub"&amp;IF(SUMPRODUCT(($B$2:B1836=B1836)*($D$2:D1836=D1836)*($E$2:E1836=E1836)*($F$2:F1836=F1836)*($G$2:G1836=G1836)*($I$2:I1836="Duplicate"))&lt;=1,"",SUMPRODUCT(($B$2:B1836=B1836)*($D$2:D1836=D1836)*($E$2:E1836=E1836)*($F$2:F1836=F1836)*($G$2:G1836=G1836)*($I$2:I1836="Duplicate"))-1),"")&amp;".jpeg")</f>
        <v/>
      </c>
      <c r="L1836" s="6"/>
      <c r="M1836" s="5" t="str">
        <f>IFERROR(VLOOKUP(E1836,Specifications!$A$2:$D$9,2,FALSE),"")</f>
        <v/>
      </c>
      <c r="N1836" s="5" t="str">
        <f>IFERROR(VLOOKUP(E1836,Specifications!$A$2:$D$9,3,FALSE),"")</f>
        <v/>
      </c>
      <c r="O1836" s="5" t="str">
        <f>IFERROR(VLOOKUP(E1836,Specifications!$A$2:$D$9,4,FALSE),"")</f>
        <v/>
      </c>
      <c r="P1836" s="8" t="str">
        <f t="shared" si="87"/>
        <v/>
      </c>
      <c r="Q1836" s="9"/>
    </row>
    <row r="1837" spans="1:17" ht="15">
      <c r="A1837" s="5" t="str">
        <f t="shared" si="85"/>
        <v/>
      </c>
      <c r="B1837" s="6"/>
      <c r="C1837" s="5" t="str">
        <f>IFERROR(VLOOKUP(B1837,Lists!$A$2:$B$25,2,FALSE),"")</f>
        <v/>
      </c>
      <c r="D1837" s="7"/>
      <c r="E1837" s="6"/>
      <c r="F1837" s="6" t="str">
        <f t="shared" si="86"/>
        <v/>
      </c>
      <c r="G1837" s="6"/>
      <c r="H1837" s="6"/>
      <c r="I1837" s="6"/>
      <c r="J1837" s="7"/>
      <c r="K1837" s="5" t="str" cm="1">
        <f t="array" ref="K1837">IF(OR(A1837="",B1837="",D1837="",E1837=""),"",A1837&amp;"_"&amp;SUBSTITUTE(B1837," ","-")&amp;"_"&amp;D1837&amp;"_"&amp;SUBSTITUTE(SUBSTITUTE(E1837," ",""),"€","Euro")&amp;"_"&amp;IF(F1837="","Unknown",F1837)&amp;IF(F1837="Commemorative",IF(G1837="","","_"&amp;SUBSTITUTE(SUBSTITUTE(SUBSTITUTE(G1837," ","-"),"/","-"),CHAR(39),"")),"")&amp;IF(I1837="Duplicate","_Dub"&amp;IF(SUMPRODUCT(($B$2:B1837=B1837)*($D$2:D1837=D1837)*($E$2:E1837=E1837)*($F$2:F1837=F1837)*($G$2:G1837=G1837)*($I$2:I1837="Duplicate"))&lt;=1,"",SUMPRODUCT(($B$2:B1837=B1837)*($D$2:D1837=D1837)*($E$2:E1837=E1837)*($F$2:F1837=F1837)*($G$2:G1837=G1837)*($I$2:I1837="Duplicate"))-1),"")&amp;".jpeg")</f>
        <v/>
      </c>
      <c r="L1837" s="6"/>
      <c r="M1837" s="5" t="str">
        <f>IFERROR(VLOOKUP(E1837,Specifications!$A$2:$D$9,2,FALSE),"")</f>
        <v/>
      </c>
      <c r="N1837" s="5" t="str">
        <f>IFERROR(VLOOKUP(E1837,Specifications!$A$2:$D$9,3,FALSE),"")</f>
        <v/>
      </c>
      <c r="O1837" s="5" t="str">
        <f>IFERROR(VLOOKUP(E1837,Specifications!$A$2:$D$9,4,FALSE),"")</f>
        <v/>
      </c>
      <c r="P1837" s="8" t="str">
        <f t="shared" si="87"/>
        <v/>
      </c>
      <c r="Q1837" s="9"/>
    </row>
    <row r="1838" spans="1:17" ht="15">
      <c r="A1838" s="5" t="str">
        <f t="shared" si="85"/>
        <v/>
      </c>
      <c r="B1838" s="6"/>
      <c r="C1838" s="5" t="str">
        <f>IFERROR(VLOOKUP(B1838,Lists!$A$2:$B$25,2,FALSE),"")</f>
        <v/>
      </c>
      <c r="D1838" s="7"/>
      <c r="E1838" s="6"/>
      <c r="F1838" s="6" t="str">
        <f t="shared" si="86"/>
        <v/>
      </c>
      <c r="G1838" s="6"/>
      <c r="H1838" s="6"/>
      <c r="I1838" s="6"/>
      <c r="J1838" s="7"/>
      <c r="K1838" s="5" t="str" cm="1">
        <f t="array" ref="K1838">IF(OR(A1838="",B1838="",D1838="",E1838=""),"",A1838&amp;"_"&amp;SUBSTITUTE(B1838," ","-")&amp;"_"&amp;D1838&amp;"_"&amp;SUBSTITUTE(SUBSTITUTE(E1838," ",""),"€","Euro")&amp;"_"&amp;IF(F1838="","Unknown",F1838)&amp;IF(F1838="Commemorative",IF(G1838="","","_"&amp;SUBSTITUTE(SUBSTITUTE(SUBSTITUTE(G1838," ","-"),"/","-"),CHAR(39),"")),"")&amp;IF(I1838="Duplicate","_Dub"&amp;IF(SUMPRODUCT(($B$2:B1838=B1838)*($D$2:D1838=D1838)*($E$2:E1838=E1838)*($F$2:F1838=F1838)*($G$2:G1838=G1838)*($I$2:I1838="Duplicate"))&lt;=1,"",SUMPRODUCT(($B$2:B1838=B1838)*($D$2:D1838=D1838)*($E$2:E1838=E1838)*($F$2:F1838=F1838)*($G$2:G1838=G1838)*($I$2:I1838="Duplicate"))-1),"")&amp;".jpeg")</f>
        <v/>
      </c>
      <c r="L1838" s="6"/>
      <c r="M1838" s="5" t="str">
        <f>IFERROR(VLOOKUP(E1838,Specifications!$A$2:$D$9,2,FALSE),"")</f>
        <v/>
      </c>
      <c r="N1838" s="5" t="str">
        <f>IFERROR(VLOOKUP(E1838,Specifications!$A$2:$D$9,3,FALSE),"")</f>
        <v/>
      </c>
      <c r="O1838" s="5" t="str">
        <f>IFERROR(VLOOKUP(E1838,Specifications!$A$2:$D$9,4,FALSE),"")</f>
        <v/>
      </c>
      <c r="P1838" s="8" t="str">
        <f t="shared" si="87"/>
        <v/>
      </c>
      <c r="Q1838" s="9"/>
    </row>
    <row r="1839" spans="1:17" ht="15">
      <c r="A1839" s="5" t="str">
        <f t="shared" si="85"/>
        <v/>
      </c>
      <c r="B1839" s="6"/>
      <c r="C1839" s="5" t="str">
        <f>IFERROR(VLOOKUP(B1839,Lists!$A$2:$B$25,2,FALSE),"")</f>
        <v/>
      </c>
      <c r="D1839" s="7"/>
      <c r="E1839" s="6"/>
      <c r="F1839" s="6" t="str">
        <f t="shared" si="86"/>
        <v/>
      </c>
      <c r="G1839" s="6"/>
      <c r="H1839" s="6"/>
      <c r="I1839" s="6"/>
      <c r="J1839" s="7"/>
      <c r="K1839" s="5" t="str" cm="1">
        <f t="array" ref="K1839">IF(OR(A1839="",B1839="",D1839="",E1839=""),"",A1839&amp;"_"&amp;SUBSTITUTE(B1839," ","-")&amp;"_"&amp;D1839&amp;"_"&amp;SUBSTITUTE(SUBSTITUTE(E1839," ",""),"€","Euro")&amp;"_"&amp;IF(F1839="","Unknown",F1839)&amp;IF(F1839="Commemorative",IF(G1839="","","_"&amp;SUBSTITUTE(SUBSTITUTE(SUBSTITUTE(G1839," ","-"),"/","-"),CHAR(39),"")),"")&amp;IF(I1839="Duplicate","_Dub"&amp;IF(SUMPRODUCT(($B$2:B1839=B1839)*($D$2:D1839=D1839)*($E$2:E1839=E1839)*($F$2:F1839=F1839)*($G$2:G1839=G1839)*($I$2:I1839="Duplicate"))&lt;=1,"",SUMPRODUCT(($B$2:B1839=B1839)*($D$2:D1839=D1839)*($E$2:E1839=E1839)*($F$2:F1839=F1839)*($G$2:G1839=G1839)*($I$2:I1839="Duplicate"))-1),"")&amp;".jpeg")</f>
        <v/>
      </c>
      <c r="L1839" s="6"/>
      <c r="M1839" s="5" t="str">
        <f>IFERROR(VLOOKUP(E1839,Specifications!$A$2:$D$9,2,FALSE),"")</f>
        <v/>
      </c>
      <c r="N1839" s="5" t="str">
        <f>IFERROR(VLOOKUP(E1839,Specifications!$A$2:$D$9,3,FALSE),"")</f>
        <v/>
      </c>
      <c r="O1839" s="5" t="str">
        <f>IFERROR(VLOOKUP(E1839,Specifications!$A$2:$D$9,4,FALSE),"")</f>
        <v/>
      </c>
      <c r="P1839" s="8" t="str">
        <f t="shared" si="87"/>
        <v/>
      </c>
      <c r="Q1839" s="9"/>
    </row>
    <row r="1840" spans="1:17" ht="15">
      <c r="A1840" s="5" t="str">
        <f t="shared" si="85"/>
        <v/>
      </c>
      <c r="B1840" s="6"/>
      <c r="C1840" s="5" t="str">
        <f>IFERROR(VLOOKUP(B1840,Lists!$A$2:$B$25,2,FALSE),"")</f>
        <v/>
      </c>
      <c r="D1840" s="7"/>
      <c r="E1840" s="6"/>
      <c r="F1840" s="6" t="str">
        <f t="shared" si="86"/>
        <v/>
      </c>
      <c r="G1840" s="6"/>
      <c r="H1840" s="6"/>
      <c r="I1840" s="6"/>
      <c r="J1840" s="7"/>
      <c r="K1840" s="5" t="str" cm="1">
        <f t="array" ref="K1840">IF(OR(A1840="",B1840="",D1840="",E1840=""),"",A1840&amp;"_"&amp;SUBSTITUTE(B1840," ","-")&amp;"_"&amp;D1840&amp;"_"&amp;SUBSTITUTE(SUBSTITUTE(E1840," ",""),"€","Euro")&amp;"_"&amp;IF(F1840="","Unknown",F1840)&amp;IF(F1840="Commemorative",IF(G1840="","","_"&amp;SUBSTITUTE(SUBSTITUTE(SUBSTITUTE(G1840," ","-"),"/","-"),CHAR(39),"")),"")&amp;IF(I1840="Duplicate","_Dub"&amp;IF(SUMPRODUCT(($B$2:B1840=B1840)*($D$2:D1840=D1840)*($E$2:E1840=E1840)*($F$2:F1840=F1840)*($G$2:G1840=G1840)*($I$2:I1840="Duplicate"))&lt;=1,"",SUMPRODUCT(($B$2:B1840=B1840)*($D$2:D1840=D1840)*($E$2:E1840=E1840)*($F$2:F1840=F1840)*($G$2:G1840=G1840)*($I$2:I1840="Duplicate"))-1),"")&amp;".jpeg")</f>
        <v/>
      </c>
      <c r="L1840" s="6"/>
      <c r="M1840" s="5" t="str">
        <f>IFERROR(VLOOKUP(E1840,Specifications!$A$2:$D$9,2,FALSE),"")</f>
        <v/>
      </c>
      <c r="N1840" s="5" t="str">
        <f>IFERROR(VLOOKUP(E1840,Specifications!$A$2:$D$9,3,FALSE),"")</f>
        <v/>
      </c>
      <c r="O1840" s="5" t="str">
        <f>IFERROR(VLOOKUP(E1840,Specifications!$A$2:$D$9,4,FALSE),"")</f>
        <v/>
      </c>
      <c r="P1840" s="8" t="str">
        <f t="shared" si="87"/>
        <v/>
      </c>
      <c r="Q1840" s="9"/>
    </row>
    <row r="1841" spans="1:17" ht="15">
      <c r="A1841" s="5" t="str">
        <f t="shared" si="85"/>
        <v/>
      </c>
      <c r="B1841" s="6"/>
      <c r="C1841" s="5" t="str">
        <f>IFERROR(VLOOKUP(B1841,Lists!$A$2:$B$25,2,FALSE),"")</f>
        <v/>
      </c>
      <c r="D1841" s="7"/>
      <c r="E1841" s="6"/>
      <c r="F1841" s="6" t="str">
        <f t="shared" si="86"/>
        <v/>
      </c>
      <c r="G1841" s="6"/>
      <c r="H1841" s="6"/>
      <c r="I1841" s="6"/>
      <c r="J1841" s="7"/>
      <c r="K1841" s="5" t="str" cm="1">
        <f t="array" ref="K1841">IF(OR(A1841="",B1841="",D1841="",E1841=""),"",A1841&amp;"_"&amp;SUBSTITUTE(B1841," ","-")&amp;"_"&amp;D1841&amp;"_"&amp;SUBSTITUTE(SUBSTITUTE(E1841," ",""),"€","Euro")&amp;"_"&amp;IF(F1841="","Unknown",F1841)&amp;IF(F1841="Commemorative",IF(G1841="","","_"&amp;SUBSTITUTE(SUBSTITUTE(SUBSTITUTE(G1841," ","-"),"/","-"),CHAR(39),"")),"")&amp;IF(I1841="Duplicate","_Dub"&amp;IF(SUMPRODUCT(($B$2:B1841=B1841)*($D$2:D1841=D1841)*($E$2:E1841=E1841)*($F$2:F1841=F1841)*($G$2:G1841=G1841)*($I$2:I1841="Duplicate"))&lt;=1,"",SUMPRODUCT(($B$2:B1841=B1841)*($D$2:D1841=D1841)*($E$2:E1841=E1841)*($F$2:F1841=F1841)*($G$2:G1841=G1841)*($I$2:I1841="Duplicate"))-1),"")&amp;".jpeg")</f>
        <v/>
      </c>
      <c r="L1841" s="6"/>
      <c r="M1841" s="5" t="str">
        <f>IFERROR(VLOOKUP(E1841,Specifications!$A$2:$D$9,2,FALSE),"")</f>
        <v/>
      </c>
      <c r="N1841" s="5" t="str">
        <f>IFERROR(VLOOKUP(E1841,Specifications!$A$2:$D$9,3,FALSE),"")</f>
        <v/>
      </c>
      <c r="O1841" s="5" t="str">
        <f>IFERROR(VLOOKUP(E1841,Specifications!$A$2:$D$9,4,FALSE),"")</f>
        <v/>
      </c>
      <c r="P1841" s="8" t="str">
        <f t="shared" si="87"/>
        <v/>
      </c>
      <c r="Q1841" s="9"/>
    </row>
    <row r="1842" spans="1:17" ht="15">
      <c r="A1842" s="5" t="str">
        <f t="shared" si="85"/>
        <v/>
      </c>
      <c r="B1842" s="6"/>
      <c r="C1842" s="5" t="str">
        <f>IFERROR(VLOOKUP(B1842,Lists!$A$2:$B$25,2,FALSE),"")</f>
        <v/>
      </c>
      <c r="D1842" s="7"/>
      <c r="E1842" s="6"/>
      <c r="F1842" s="6" t="str">
        <f t="shared" si="86"/>
        <v/>
      </c>
      <c r="G1842" s="6"/>
      <c r="H1842" s="6"/>
      <c r="I1842" s="6"/>
      <c r="J1842" s="7"/>
      <c r="K1842" s="5" t="str" cm="1">
        <f t="array" ref="K1842">IF(OR(A1842="",B1842="",D1842="",E1842=""),"",A1842&amp;"_"&amp;SUBSTITUTE(B1842," ","-")&amp;"_"&amp;D1842&amp;"_"&amp;SUBSTITUTE(SUBSTITUTE(E1842," ",""),"€","Euro")&amp;"_"&amp;IF(F1842="","Unknown",F1842)&amp;IF(F1842="Commemorative",IF(G1842="","","_"&amp;SUBSTITUTE(SUBSTITUTE(SUBSTITUTE(G1842," ","-"),"/","-"),CHAR(39),"")),"")&amp;IF(I1842="Duplicate","_Dub"&amp;IF(SUMPRODUCT(($B$2:B1842=B1842)*($D$2:D1842=D1842)*($E$2:E1842=E1842)*($F$2:F1842=F1842)*($G$2:G1842=G1842)*($I$2:I1842="Duplicate"))&lt;=1,"",SUMPRODUCT(($B$2:B1842=B1842)*($D$2:D1842=D1842)*($E$2:E1842=E1842)*($F$2:F1842=F1842)*($G$2:G1842=G1842)*($I$2:I1842="Duplicate"))-1),"")&amp;".jpeg")</f>
        <v/>
      </c>
      <c r="L1842" s="6"/>
      <c r="M1842" s="5" t="str">
        <f>IFERROR(VLOOKUP(E1842,Specifications!$A$2:$D$9,2,FALSE),"")</f>
        <v/>
      </c>
      <c r="N1842" s="5" t="str">
        <f>IFERROR(VLOOKUP(E1842,Specifications!$A$2:$D$9,3,FALSE),"")</f>
        <v/>
      </c>
      <c r="O1842" s="5" t="str">
        <f>IFERROR(VLOOKUP(E1842,Specifications!$A$2:$D$9,4,FALSE),"")</f>
        <v/>
      </c>
      <c r="P1842" s="8" t="str">
        <f t="shared" si="87"/>
        <v/>
      </c>
      <c r="Q1842" s="9"/>
    </row>
    <row r="1843" spans="1:17" ht="15">
      <c r="A1843" s="5" t="str">
        <f t="shared" si="85"/>
        <v/>
      </c>
      <c r="B1843" s="6"/>
      <c r="C1843" s="5" t="str">
        <f>IFERROR(VLOOKUP(B1843,Lists!$A$2:$B$25,2,FALSE),"")</f>
        <v/>
      </c>
      <c r="D1843" s="7"/>
      <c r="E1843" s="6"/>
      <c r="F1843" s="6" t="str">
        <f t="shared" si="86"/>
        <v/>
      </c>
      <c r="G1843" s="6"/>
      <c r="H1843" s="6"/>
      <c r="I1843" s="6"/>
      <c r="J1843" s="7"/>
      <c r="K1843" s="5" t="str" cm="1">
        <f t="array" ref="K1843">IF(OR(A1843="",B1843="",D1843="",E1843=""),"",A1843&amp;"_"&amp;SUBSTITUTE(B1843," ","-")&amp;"_"&amp;D1843&amp;"_"&amp;SUBSTITUTE(SUBSTITUTE(E1843," ",""),"€","Euro")&amp;"_"&amp;IF(F1843="","Unknown",F1843)&amp;IF(F1843="Commemorative",IF(G1843="","","_"&amp;SUBSTITUTE(SUBSTITUTE(SUBSTITUTE(G1843," ","-"),"/","-"),CHAR(39),"")),"")&amp;IF(I1843="Duplicate","_Dub"&amp;IF(SUMPRODUCT(($B$2:B1843=B1843)*($D$2:D1843=D1843)*($E$2:E1843=E1843)*($F$2:F1843=F1843)*($G$2:G1843=G1843)*($I$2:I1843="Duplicate"))&lt;=1,"",SUMPRODUCT(($B$2:B1843=B1843)*($D$2:D1843=D1843)*($E$2:E1843=E1843)*($F$2:F1843=F1843)*($G$2:G1843=G1843)*($I$2:I1843="Duplicate"))-1),"")&amp;".jpeg")</f>
        <v/>
      </c>
      <c r="L1843" s="6"/>
      <c r="M1843" s="5" t="str">
        <f>IFERROR(VLOOKUP(E1843,Specifications!$A$2:$D$9,2,FALSE),"")</f>
        <v/>
      </c>
      <c r="N1843" s="5" t="str">
        <f>IFERROR(VLOOKUP(E1843,Specifications!$A$2:$D$9,3,FALSE),"")</f>
        <v/>
      </c>
      <c r="O1843" s="5" t="str">
        <f>IFERROR(VLOOKUP(E1843,Specifications!$A$2:$D$9,4,FALSE),"")</f>
        <v/>
      </c>
      <c r="P1843" s="8" t="str">
        <f t="shared" si="87"/>
        <v/>
      </c>
      <c r="Q1843" s="9"/>
    </row>
    <row r="1844" spans="1:17" ht="15">
      <c r="A1844" s="5" t="str">
        <f t="shared" si="85"/>
        <v/>
      </c>
      <c r="B1844" s="6"/>
      <c r="C1844" s="5" t="str">
        <f>IFERROR(VLOOKUP(B1844,Lists!$A$2:$B$25,2,FALSE),"")</f>
        <v/>
      </c>
      <c r="D1844" s="7"/>
      <c r="E1844" s="6"/>
      <c r="F1844" s="6" t="str">
        <f t="shared" si="86"/>
        <v/>
      </c>
      <c r="G1844" s="6"/>
      <c r="H1844" s="6"/>
      <c r="I1844" s="6"/>
      <c r="J1844" s="7"/>
      <c r="K1844" s="5" t="str" cm="1">
        <f t="array" ref="K1844">IF(OR(A1844="",B1844="",D1844="",E1844=""),"",A1844&amp;"_"&amp;SUBSTITUTE(B1844," ","-")&amp;"_"&amp;D1844&amp;"_"&amp;SUBSTITUTE(SUBSTITUTE(E1844," ",""),"€","Euro")&amp;"_"&amp;IF(F1844="","Unknown",F1844)&amp;IF(F1844="Commemorative",IF(G1844="","","_"&amp;SUBSTITUTE(SUBSTITUTE(SUBSTITUTE(G1844," ","-"),"/","-"),CHAR(39),"")),"")&amp;IF(I1844="Duplicate","_Dub"&amp;IF(SUMPRODUCT(($B$2:B1844=B1844)*($D$2:D1844=D1844)*($E$2:E1844=E1844)*($F$2:F1844=F1844)*($G$2:G1844=G1844)*($I$2:I1844="Duplicate"))&lt;=1,"",SUMPRODUCT(($B$2:B1844=B1844)*($D$2:D1844=D1844)*($E$2:E1844=E1844)*($F$2:F1844=F1844)*($G$2:G1844=G1844)*($I$2:I1844="Duplicate"))-1),"")&amp;".jpeg")</f>
        <v/>
      </c>
      <c r="L1844" s="6"/>
      <c r="M1844" s="5" t="str">
        <f>IFERROR(VLOOKUP(E1844,Specifications!$A$2:$D$9,2,FALSE),"")</f>
        <v/>
      </c>
      <c r="N1844" s="5" t="str">
        <f>IFERROR(VLOOKUP(E1844,Specifications!$A$2:$D$9,3,FALSE),"")</f>
        <v/>
      </c>
      <c r="O1844" s="5" t="str">
        <f>IFERROR(VLOOKUP(E1844,Specifications!$A$2:$D$9,4,FALSE),"")</f>
        <v/>
      </c>
      <c r="P1844" s="8" t="str">
        <f t="shared" si="87"/>
        <v/>
      </c>
      <c r="Q1844" s="9"/>
    </row>
    <row r="1845" spans="1:17" ht="15">
      <c r="A1845" s="5" t="str">
        <f t="shared" si="85"/>
        <v/>
      </c>
      <c r="B1845" s="6"/>
      <c r="C1845" s="5" t="str">
        <f>IFERROR(VLOOKUP(B1845,Lists!$A$2:$B$25,2,FALSE),"")</f>
        <v/>
      </c>
      <c r="D1845" s="7"/>
      <c r="E1845" s="6"/>
      <c r="F1845" s="6" t="str">
        <f t="shared" si="86"/>
        <v/>
      </c>
      <c r="G1845" s="6"/>
      <c r="H1845" s="6"/>
      <c r="I1845" s="6"/>
      <c r="J1845" s="7"/>
      <c r="K1845" s="5" t="str" cm="1">
        <f t="array" ref="K1845">IF(OR(A1845="",B1845="",D1845="",E1845=""),"",A1845&amp;"_"&amp;SUBSTITUTE(B1845," ","-")&amp;"_"&amp;D1845&amp;"_"&amp;SUBSTITUTE(SUBSTITUTE(E1845," ",""),"€","Euro")&amp;"_"&amp;IF(F1845="","Unknown",F1845)&amp;IF(F1845="Commemorative",IF(G1845="","","_"&amp;SUBSTITUTE(SUBSTITUTE(SUBSTITUTE(G1845," ","-"),"/","-"),CHAR(39),"")),"")&amp;IF(I1845="Duplicate","_Dub"&amp;IF(SUMPRODUCT(($B$2:B1845=B1845)*($D$2:D1845=D1845)*($E$2:E1845=E1845)*($F$2:F1845=F1845)*($G$2:G1845=G1845)*($I$2:I1845="Duplicate"))&lt;=1,"",SUMPRODUCT(($B$2:B1845=B1845)*($D$2:D1845=D1845)*($E$2:E1845=E1845)*($F$2:F1845=F1845)*($G$2:G1845=G1845)*($I$2:I1845="Duplicate"))-1),"")&amp;".jpeg")</f>
        <v/>
      </c>
      <c r="L1845" s="6"/>
      <c r="M1845" s="5" t="str">
        <f>IFERROR(VLOOKUP(E1845,Specifications!$A$2:$D$9,2,FALSE),"")</f>
        <v/>
      </c>
      <c r="N1845" s="5" t="str">
        <f>IFERROR(VLOOKUP(E1845,Specifications!$A$2:$D$9,3,FALSE),"")</f>
        <v/>
      </c>
      <c r="O1845" s="5" t="str">
        <f>IFERROR(VLOOKUP(E1845,Specifications!$A$2:$D$9,4,FALSE),"")</f>
        <v/>
      </c>
      <c r="P1845" s="8" t="str">
        <f t="shared" si="87"/>
        <v/>
      </c>
      <c r="Q1845" s="9"/>
    </row>
    <row r="1846" spans="1:17" ht="15">
      <c r="A1846" s="5" t="str">
        <f t="shared" si="85"/>
        <v/>
      </c>
      <c r="B1846" s="6"/>
      <c r="C1846" s="5" t="str">
        <f>IFERROR(VLOOKUP(B1846,Lists!$A$2:$B$25,2,FALSE),"")</f>
        <v/>
      </c>
      <c r="D1846" s="7"/>
      <c r="E1846" s="6"/>
      <c r="F1846" s="6" t="str">
        <f t="shared" si="86"/>
        <v/>
      </c>
      <c r="G1846" s="6"/>
      <c r="H1846" s="6"/>
      <c r="I1846" s="6"/>
      <c r="J1846" s="7"/>
      <c r="K1846" s="5" t="str" cm="1">
        <f t="array" ref="K1846">IF(OR(A1846="",B1846="",D1846="",E1846=""),"",A1846&amp;"_"&amp;SUBSTITUTE(B1846," ","-")&amp;"_"&amp;D1846&amp;"_"&amp;SUBSTITUTE(SUBSTITUTE(E1846," ",""),"€","Euro")&amp;"_"&amp;IF(F1846="","Unknown",F1846)&amp;IF(F1846="Commemorative",IF(G1846="","","_"&amp;SUBSTITUTE(SUBSTITUTE(SUBSTITUTE(G1846," ","-"),"/","-"),CHAR(39),"")),"")&amp;IF(I1846="Duplicate","_Dub"&amp;IF(SUMPRODUCT(($B$2:B1846=B1846)*($D$2:D1846=D1846)*($E$2:E1846=E1846)*($F$2:F1846=F1846)*($G$2:G1846=G1846)*($I$2:I1846="Duplicate"))&lt;=1,"",SUMPRODUCT(($B$2:B1846=B1846)*($D$2:D1846=D1846)*($E$2:E1846=E1846)*($F$2:F1846=F1846)*($G$2:G1846=G1846)*($I$2:I1846="Duplicate"))-1),"")&amp;".jpeg")</f>
        <v/>
      </c>
      <c r="L1846" s="6"/>
      <c r="M1846" s="5" t="str">
        <f>IFERROR(VLOOKUP(E1846,Specifications!$A$2:$D$9,2,FALSE),"")</f>
        <v/>
      </c>
      <c r="N1846" s="5" t="str">
        <f>IFERROR(VLOOKUP(E1846,Specifications!$A$2:$D$9,3,FALSE),"")</f>
        <v/>
      </c>
      <c r="O1846" s="5" t="str">
        <f>IFERROR(VLOOKUP(E1846,Specifications!$A$2:$D$9,4,FALSE),"")</f>
        <v/>
      </c>
      <c r="P1846" s="8" t="str">
        <f t="shared" si="87"/>
        <v/>
      </c>
      <c r="Q1846" s="9"/>
    </row>
    <row r="1847" spans="1:17" ht="15">
      <c r="A1847" s="5" t="str">
        <f t="shared" si="85"/>
        <v/>
      </c>
      <c r="B1847" s="6"/>
      <c r="C1847" s="5" t="str">
        <f>IFERROR(VLOOKUP(B1847,Lists!$A$2:$B$25,2,FALSE),"")</f>
        <v/>
      </c>
      <c r="D1847" s="7"/>
      <c r="E1847" s="6"/>
      <c r="F1847" s="6" t="str">
        <f t="shared" si="86"/>
        <v/>
      </c>
      <c r="G1847" s="6"/>
      <c r="H1847" s="6"/>
      <c r="I1847" s="6"/>
      <c r="J1847" s="7"/>
      <c r="K1847" s="5" t="str" cm="1">
        <f t="array" ref="K1847">IF(OR(A1847="",B1847="",D1847="",E1847=""),"",A1847&amp;"_"&amp;SUBSTITUTE(B1847," ","-")&amp;"_"&amp;D1847&amp;"_"&amp;SUBSTITUTE(SUBSTITUTE(E1847," ",""),"€","Euro")&amp;"_"&amp;IF(F1847="","Unknown",F1847)&amp;IF(F1847="Commemorative",IF(G1847="","","_"&amp;SUBSTITUTE(SUBSTITUTE(SUBSTITUTE(G1847," ","-"),"/","-"),CHAR(39),"")),"")&amp;IF(I1847="Duplicate","_Dub"&amp;IF(SUMPRODUCT(($B$2:B1847=B1847)*($D$2:D1847=D1847)*($E$2:E1847=E1847)*($F$2:F1847=F1847)*($G$2:G1847=G1847)*($I$2:I1847="Duplicate"))&lt;=1,"",SUMPRODUCT(($B$2:B1847=B1847)*($D$2:D1847=D1847)*($E$2:E1847=E1847)*($F$2:F1847=F1847)*($G$2:G1847=G1847)*($I$2:I1847="Duplicate"))-1),"")&amp;".jpeg")</f>
        <v/>
      </c>
      <c r="L1847" s="6"/>
      <c r="M1847" s="5" t="str">
        <f>IFERROR(VLOOKUP(E1847,Specifications!$A$2:$D$9,2,FALSE),"")</f>
        <v/>
      </c>
      <c r="N1847" s="5" t="str">
        <f>IFERROR(VLOOKUP(E1847,Specifications!$A$2:$D$9,3,FALSE),"")</f>
        <v/>
      </c>
      <c r="O1847" s="5" t="str">
        <f>IFERROR(VLOOKUP(E1847,Specifications!$A$2:$D$9,4,FALSE),"")</f>
        <v/>
      </c>
      <c r="P1847" s="8" t="str">
        <f t="shared" si="87"/>
        <v/>
      </c>
      <c r="Q1847" s="9"/>
    </row>
    <row r="1848" spans="1:17" ht="15">
      <c r="A1848" s="5" t="str">
        <f t="shared" si="85"/>
        <v/>
      </c>
      <c r="B1848" s="6"/>
      <c r="C1848" s="5" t="str">
        <f>IFERROR(VLOOKUP(B1848,Lists!$A$2:$B$25,2,FALSE),"")</f>
        <v/>
      </c>
      <c r="D1848" s="7"/>
      <c r="E1848" s="6"/>
      <c r="F1848" s="6" t="str">
        <f t="shared" si="86"/>
        <v/>
      </c>
      <c r="G1848" s="6"/>
      <c r="H1848" s="6"/>
      <c r="I1848" s="6"/>
      <c r="J1848" s="7"/>
      <c r="K1848" s="5" t="str" cm="1">
        <f t="array" ref="K1848">IF(OR(A1848="",B1848="",D1848="",E1848=""),"",A1848&amp;"_"&amp;SUBSTITUTE(B1848," ","-")&amp;"_"&amp;D1848&amp;"_"&amp;SUBSTITUTE(SUBSTITUTE(E1848," ",""),"€","Euro")&amp;"_"&amp;IF(F1848="","Unknown",F1848)&amp;IF(F1848="Commemorative",IF(G1848="","","_"&amp;SUBSTITUTE(SUBSTITUTE(SUBSTITUTE(G1848," ","-"),"/","-"),CHAR(39),"")),"")&amp;IF(I1848="Duplicate","_Dub"&amp;IF(SUMPRODUCT(($B$2:B1848=B1848)*($D$2:D1848=D1848)*($E$2:E1848=E1848)*($F$2:F1848=F1848)*($G$2:G1848=G1848)*($I$2:I1848="Duplicate"))&lt;=1,"",SUMPRODUCT(($B$2:B1848=B1848)*($D$2:D1848=D1848)*($E$2:E1848=E1848)*($F$2:F1848=F1848)*($G$2:G1848=G1848)*($I$2:I1848="Duplicate"))-1),"")&amp;".jpeg")</f>
        <v/>
      </c>
      <c r="L1848" s="6"/>
      <c r="M1848" s="5" t="str">
        <f>IFERROR(VLOOKUP(E1848,Specifications!$A$2:$D$9,2,FALSE),"")</f>
        <v/>
      </c>
      <c r="N1848" s="5" t="str">
        <f>IFERROR(VLOOKUP(E1848,Specifications!$A$2:$D$9,3,FALSE),"")</f>
        <v/>
      </c>
      <c r="O1848" s="5" t="str">
        <f>IFERROR(VLOOKUP(E1848,Specifications!$A$2:$D$9,4,FALSE),"")</f>
        <v/>
      </c>
      <c r="P1848" s="8" t="str">
        <f t="shared" si="87"/>
        <v/>
      </c>
      <c r="Q1848" s="9"/>
    </row>
    <row r="1849" spans="1:17" ht="15">
      <c r="A1849" s="5" t="str">
        <f t="shared" si="85"/>
        <v/>
      </c>
      <c r="B1849" s="6"/>
      <c r="C1849" s="5" t="str">
        <f>IFERROR(VLOOKUP(B1849,Lists!$A$2:$B$25,2,FALSE),"")</f>
        <v/>
      </c>
      <c r="D1849" s="7"/>
      <c r="E1849" s="6"/>
      <c r="F1849" s="6" t="str">
        <f t="shared" si="86"/>
        <v/>
      </c>
      <c r="G1849" s="6"/>
      <c r="H1849" s="6"/>
      <c r="I1849" s="6"/>
      <c r="J1849" s="7"/>
      <c r="K1849" s="5" t="str" cm="1">
        <f t="array" ref="K1849">IF(OR(A1849="",B1849="",D1849="",E1849=""),"",A1849&amp;"_"&amp;SUBSTITUTE(B1849," ","-")&amp;"_"&amp;D1849&amp;"_"&amp;SUBSTITUTE(SUBSTITUTE(E1849," ",""),"€","Euro")&amp;"_"&amp;IF(F1849="","Unknown",F1849)&amp;IF(F1849="Commemorative",IF(G1849="","","_"&amp;SUBSTITUTE(SUBSTITUTE(SUBSTITUTE(G1849," ","-"),"/","-"),CHAR(39),"")),"")&amp;IF(I1849="Duplicate","_Dub"&amp;IF(SUMPRODUCT(($B$2:B1849=B1849)*($D$2:D1849=D1849)*($E$2:E1849=E1849)*($F$2:F1849=F1849)*($G$2:G1849=G1849)*($I$2:I1849="Duplicate"))&lt;=1,"",SUMPRODUCT(($B$2:B1849=B1849)*($D$2:D1849=D1849)*($E$2:E1849=E1849)*($F$2:F1849=F1849)*($G$2:G1849=G1849)*($I$2:I1849="Duplicate"))-1),"")&amp;".jpeg")</f>
        <v/>
      </c>
      <c r="L1849" s="6"/>
      <c r="M1849" s="5" t="str">
        <f>IFERROR(VLOOKUP(E1849,Specifications!$A$2:$D$9,2,FALSE),"")</f>
        <v/>
      </c>
      <c r="N1849" s="5" t="str">
        <f>IFERROR(VLOOKUP(E1849,Specifications!$A$2:$D$9,3,FALSE),"")</f>
        <v/>
      </c>
      <c r="O1849" s="5" t="str">
        <f>IFERROR(VLOOKUP(E1849,Specifications!$A$2:$D$9,4,FALSE),"")</f>
        <v/>
      </c>
      <c r="P1849" s="8" t="str">
        <f t="shared" si="87"/>
        <v/>
      </c>
      <c r="Q1849" s="9"/>
    </row>
    <row r="1850" spans="1:17" ht="15">
      <c r="A1850" s="5" t="str">
        <f t="shared" si="85"/>
        <v/>
      </c>
      <c r="B1850" s="6"/>
      <c r="C1850" s="5" t="str">
        <f>IFERROR(VLOOKUP(B1850,Lists!$A$2:$B$25,2,FALSE),"")</f>
        <v/>
      </c>
      <c r="D1850" s="7"/>
      <c r="E1850" s="6"/>
      <c r="F1850" s="6" t="str">
        <f t="shared" si="86"/>
        <v/>
      </c>
      <c r="G1850" s="6"/>
      <c r="H1850" s="6"/>
      <c r="I1850" s="6"/>
      <c r="J1850" s="7"/>
      <c r="K1850" s="5" t="str" cm="1">
        <f t="array" ref="K1850">IF(OR(A1850="",B1850="",D1850="",E1850=""),"",A1850&amp;"_"&amp;SUBSTITUTE(B1850," ","-")&amp;"_"&amp;D1850&amp;"_"&amp;SUBSTITUTE(SUBSTITUTE(E1850," ",""),"€","Euro")&amp;"_"&amp;IF(F1850="","Unknown",F1850)&amp;IF(F1850="Commemorative",IF(G1850="","","_"&amp;SUBSTITUTE(SUBSTITUTE(SUBSTITUTE(G1850," ","-"),"/","-"),CHAR(39),"")),"")&amp;IF(I1850="Duplicate","_Dub"&amp;IF(SUMPRODUCT(($B$2:B1850=B1850)*($D$2:D1850=D1850)*($E$2:E1850=E1850)*($F$2:F1850=F1850)*($G$2:G1850=G1850)*($I$2:I1850="Duplicate"))&lt;=1,"",SUMPRODUCT(($B$2:B1850=B1850)*($D$2:D1850=D1850)*($E$2:E1850=E1850)*($F$2:F1850=F1850)*($G$2:G1850=G1850)*($I$2:I1850="Duplicate"))-1),"")&amp;".jpeg")</f>
        <v/>
      </c>
      <c r="L1850" s="6"/>
      <c r="M1850" s="5" t="str">
        <f>IFERROR(VLOOKUP(E1850,Specifications!$A$2:$D$9,2,FALSE),"")</f>
        <v/>
      </c>
      <c r="N1850" s="5" t="str">
        <f>IFERROR(VLOOKUP(E1850,Specifications!$A$2:$D$9,3,FALSE),"")</f>
        <v/>
      </c>
      <c r="O1850" s="5" t="str">
        <f>IFERROR(VLOOKUP(E1850,Specifications!$A$2:$D$9,4,FALSE),"")</f>
        <v/>
      </c>
      <c r="P1850" s="8" t="str">
        <f t="shared" si="87"/>
        <v/>
      </c>
      <c r="Q1850" s="9"/>
    </row>
    <row r="1851" spans="1:17" ht="15">
      <c r="A1851" s="5" t="str">
        <f t="shared" si="85"/>
        <v/>
      </c>
      <c r="B1851" s="6"/>
      <c r="C1851" s="5" t="str">
        <f>IFERROR(VLOOKUP(B1851,Lists!$A$2:$B$25,2,FALSE),"")</f>
        <v/>
      </c>
      <c r="D1851" s="7"/>
      <c r="E1851" s="6"/>
      <c r="F1851" s="6" t="str">
        <f t="shared" si="86"/>
        <v/>
      </c>
      <c r="G1851" s="6"/>
      <c r="H1851" s="6"/>
      <c r="I1851" s="6"/>
      <c r="J1851" s="7"/>
      <c r="K1851" s="5" t="str" cm="1">
        <f t="array" ref="K1851">IF(OR(A1851="",B1851="",D1851="",E1851=""),"",A1851&amp;"_"&amp;SUBSTITUTE(B1851," ","-")&amp;"_"&amp;D1851&amp;"_"&amp;SUBSTITUTE(SUBSTITUTE(E1851," ",""),"€","Euro")&amp;"_"&amp;IF(F1851="","Unknown",F1851)&amp;IF(F1851="Commemorative",IF(G1851="","","_"&amp;SUBSTITUTE(SUBSTITUTE(SUBSTITUTE(G1851," ","-"),"/","-"),CHAR(39),"")),"")&amp;IF(I1851="Duplicate","_Dub"&amp;IF(SUMPRODUCT(($B$2:B1851=B1851)*($D$2:D1851=D1851)*($E$2:E1851=E1851)*($F$2:F1851=F1851)*($G$2:G1851=G1851)*($I$2:I1851="Duplicate"))&lt;=1,"",SUMPRODUCT(($B$2:B1851=B1851)*($D$2:D1851=D1851)*($E$2:E1851=E1851)*($F$2:F1851=F1851)*($G$2:G1851=G1851)*($I$2:I1851="Duplicate"))-1),"")&amp;".jpeg")</f>
        <v/>
      </c>
      <c r="L1851" s="6"/>
      <c r="M1851" s="5" t="str">
        <f>IFERROR(VLOOKUP(E1851,Specifications!$A$2:$D$9,2,FALSE),"")</f>
        <v/>
      </c>
      <c r="N1851" s="5" t="str">
        <f>IFERROR(VLOOKUP(E1851,Specifications!$A$2:$D$9,3,FALSE),"")</f>
        <v/>
      </c>
      <c r="O1851" s="5" t="str">
        <f>IFERROR(VLOOKUP(E1851,Specifications!$A$2:$D$9,4,FALSE),"")</f>
        <v/>
      </c>
      <c r="P1851" s="8" t="str">
        <f t="shared" si="87"/>
        <v/>
      </c>
      <c r="Q1851" s="9"/>
    </row>
    <row r="1852" spans="1:17" ht="15">
      <c r="A1852" s="5" t="str">
        <f t="shared" si="85"/>
        <v/>
      </c>
      <c r="B1852" s="6"/>
      <c r="C1852" s="5" t="str">
        <f>IFERROR(VLOOKUP(B1852,Lists!$A$2:$B$25,2,FALSE),"")</f>
        <v/>
      </c>
      <c r="D1852" s="7"/>
      <c r="E1852" s="6"/>
      <c r="F1852" s="6" t="str">
        <f t="shared" si="86"/>
        <v/>
      </c>
      <c r="G1852" s="6"/>
      <c r="H1852" s="6"/>
      <c r="I1852" s="6"/>
      <c r="J1852" s="7"/>
      <c r="K1852" s="5" t="str" cm="1">
        <f t="array" ref="K1852">IF(OR(A1852="",B1852="",D1852="",E1852=""),"",A1852&amp;"_"&amp;SUBSTITUTE(B1852," ","-")&amp;"_"&amp;D1852&amp;"_"&amp;SUBSTITUTE(SUBSTITUTE(E1852," ",""),"€","Euro")&amp;"_"&amp;IF(F1852="","Unknown",F1852)&amp;IF(F1852="Commemorative",IF(G1852="","","_"&amp;SUBSTITUTE(SUBSTITUTE(SUBSTITUTE(G1852," ","-"),"/","-"),CHAR(39),"")),"")&amp;IF(I1852="Duplicate","_Dub"&amp;IF(SUMPRODUCT(($B$2:B1852=B1852)*($D$2:D1852=D1852)*($E$2:E1852=E1852)*($F$2:F1852=F1852)*($G$2:G1852=G1852)*($I$2:I1852="Duplicate"))&lt;=1,"",SUMPRODUCT(($B$2:B1852=B1852)*($D$2:D1852=D1852)*($E$2:E1852=E1852)*($F$2:F1852=F1852)*($G$2:G1852=G1852)*($I$2:I1852="Duplicate"))-1),"")&amp;".jpeg")</f>
        <v/>
      </c>
      <c r="L1852" s="6"/>
      <c r="M1852" s="5" t="str">
        <f>IFERROR(VLOOKUP(E1852,Specifications!$A$2:$D$9,2,FALSE),"")</f>
        <v/>
      </c>
      <c r="N1852" s="5" t="str">
        <f>IFERROR(VLOOKUP(E1852,Specifications!$A$2:$D$9,3,FALSE),"")</f>
        <v/>
      </c>
      <c r="O1852" s="5" t="str">
        <f>IFERROR(VLOOKUP(E1852,Specifications!$A$2:$D$9,4,FALSE),"")</f>
        <v/>
      </c>
      <c r="P1852" s="8" t="str">
        <f t="shared" si="87"/>
        <v/>
      </c>
      <c r="Q1852" s="9"/>
    </row>
    <row r="1853" spans="1:17" ht="15">
      <c r="A1853" s="5" t="str">
        <f t="shared" si="85"/>
        <v/>
      </c>
      <c r="B1853" s="6"/>
      <c r="C1853" s="5" t="str">
        <f>IFERROR(VLOOKUP(B1853,Lists!$A$2:$B$25,2,FALSE),"")</f>
        <v/>
      </c>
      <c r="D1853" s="7"/>
      <c r="E1853" s="6"/>
      <c r="F1853" s="6" t="str">
        <f t="shared" si="86"/>
        <v/>
      </c>
      <c r="G1853" s="6"/>
      <c r="H1853" s="6"/>
      <c r="I1853" s="6"/>
      <c r="J1853" s="7"/>
      <c r="K1853" s="5" t="str" cm="1">
        <f t="array" ref="K1853">IF(OR(A1853="",B1853="",D1853="",E1853=""),"",A1853&amp;"_"&amp;SUBSTITUTE(B1853," ","-")&amp;"_"&amp;D1853&amp;"_"&amp;SUBSTITUTE(SUBSTITUTE(E1853," ",""),"€","Euro")&amp;"_"&amp;IF(F1853="","Unknown",F1853)&amp;IF(F1853="Commemorative",IF(G1853="","","_"&amp;SUBSTITUTE(SUBSTITUTE(SUBSTITUTE(G1853," ","-"),"/","-"),CHAR(39),"")),"")&amp;IF(I1853="Duplicate","_Dub"&amp;IF(SUMPRODUCT(($B$2:B1853=B1853)*($D$2:D1853=D1853)*($E$2:E1853=E1853)*($F$2:F1853=F1853)*($G$2:G1853=G1853)*($I$2:I1853="Duplicate"))&lt;=1,"",SUMPRODUCT(($B$2:B1853=B1853)*($D$2:D1853=D1853)*($E$2:E1853=E1853)*($F$2:F1853=F1853)*($G$2:G1853=G1853)*($I$2:I1853="Duplicate"))-1),"")&amp;".jpeg")</f>
        <v/>
      </c>
      <c r="L1853" s="6"/>
      <c r="M1853" s="5" t="str">
        <f>IFERROR(VLOOKUP(E1853,Specifications!$A$2:$D$9,2,FALSE),"")</f>
        <v/>
      </c>
      <c r="N1853" s="5" t="str">
        <f>IFERROR(VLOOKUP(E1853,Specifications!$A$2:$D$9,3,FALSE),"")</f>
        <v/>
      </c>
      <c r="O1853" s="5" t="str">
        <f>IFERROR(VLOOKUP(E1853,Specifications!$A$2:$D$9,4,FALSE),"")</f>
        <v/>
      </c>
      <c r="P1853" s="8" t="str">
        <f t="shared" si="87"/>
        <v/>
      </c>
      <c r="Q1853" s="9"/>
    </row>
    <row r="1854" spans="1:17" ht="15">
      <c r="A1854" s="5" t="str">
        <f t="shared" si="85"/>
        <v/>
      </c>
      <c r="B1854" s="6"/>
      <c r="C1854" s="5" t="str">
        <f>IFERROR(VLOOKUP(B1854,Lists!$A$2:$B$25,2,FALSE),"")</f>
        <v/>
      </c>
      <c r="D1854" s="7"/>
      <c r="E1854" s="6"/>
      <c r="F1854" s="6" t="str">
        <f t="shared" si="86"/>
        <v/>
      </c>
      <c r="G1854" s="6"/>
      <c r="H1854" s="6"/>
      <c r="I1854" s="6"/>
      <c r="J1854" s="7"/>
      <c r="K1854" s="5" t="str" cm="1">
        <f t="array" ref="K1854">IF(OR(A1854="",B1854="",D1854="",E1854=""),"",A1854&amp;"_"&amp;SUBSTITUTE(B1854," ","-")&amp;"_"&amp;D1854&amp;"_"&amp;SUBSTITUTE(SUBSTITUTE(E1854," ",""),"€","Euro")&amp;"_"&amp;IF(F1854="","Unknown",F1854)&amp;IF(F1854="Commemorative",IF(G1854="","","_"&amp;SUBSTITUTE(SUBSTITUTE(SUBSTITUTE(G1854," ","-"),"/","-"),CHAR(39),"")),"")&amp;IF(I1854="Duplicate","_Dub"&amp;IF(SUMPRODUCT(($B$2:B1854=B1854)*($D$2:D1854=D1854)*($E$2:E1854=E1854)*($F$2:F1854=F1854)*($G$2:G1854=G1854)*($I$2:I1854="Duplicate"))&lt;=1,"",SUMPRODUCT(($B$2:B1854=B1854)*($D$2:D1854=D1854)*($E$2:E1854=E1854)*($F$2:F1854=F1854)*($G$2:G1854=G1854)*($I$2:I1854="Duplicate"))-1),"")&amp;".jpeg")</f>
        <v/>
      </c>
      <c r="L1854" s="6"/>
      <c r="M1854" s="5" t="str">
        <f>IFERROR(VLOOKUP(E1854,Specifications!$A$2:$D$9,2,FALSE),"")</f>
        <v/>
      </c>
      <c r="N1854" s="5" t="str">
        <f>IFERROR(VLOOKUP(E1854,Specifications!$A$2:$D$9,3,FALSE),"")</f>
        <v/>
      </c>
      <c r="O1854" s="5" t="str">
        <f>IFERROR(VLOOKUP(E1854,Specifications!$A$2:$D$9,4,FALSE),"")</f>
        <v/>
      </c>
      <c r="P1854" s="8" t="str">
        <f t="shared" si="87"/>
        <v/>
      </c>
      <c r="Q1854" s="9"/>
    </row>
    <row r="1855" spans="1:17" ht="15">
      <c r="A1855" s="5" t="str">
        <f t="shared" si="85"/>
        <v/>
      </c>
      <c r="B1855" s="6"/>
      <c r="C1855" s="5" t="str">
        <f>IFERROR(VLOOKUP(B1855,Lists!$A$2:$B$25,2,FALSE),"")</f>
        <v/>
      </c>
      <c r="D1855" s="7"/>
      <c r="E1855" s="6"/>
      <c r="F1855" s="6" t="str">
        <f t="shared" si="86"/>
        <v/>
      </c>
      <c r="G1855" s="6"/>
      <c r="H1855" s="6"/>
      <c r="I1855" s="6"/>
      <c r="J1855" s="7"/>
      <c r="K1855" s="5" t="str" cm="1">
        <f t="array" ref="K1855">IF(OR(A1855="",B1855="",D1855="",E1855=""),"",A1855&amp;"_"&amp;SUBSTITUTE(B1855," ","-")&amp;"_"&amp;D1855&amp;"_"&amp;SUBSTITUTE(SUBSTITUTE(E1855," ",""),"€","Euro")&amp;"_"&amp;IF(F1855="","Unknown",F1855)&amp;IF(F1855="Commemorative",IF(G1855="","","_"&amp;SUBSTITUTE(SUBSTITUTE(SUBSTITUTE(G1855," ","-"),"/","-"),CHAR(39),"")),"")&amp;IF(I1855="Duplicate","_Dub"&amp;IF(SUMPRODUCT(($B$2:B1855=B1855)*($D$2:D1855=D1855)*($E$2:E1855=E1855)*($F$2:F1855=F1855)*($G$2:G1855=G1855)*($I$2:I1855="Duplicate"))&lt;=1,"",SUMPRODUCT(($B$2:B1855=B1855)*($D$2:D1855=D1855)*($E$2:E1855=E1855)*($F$2:F1855=F1855)*($G$2:G1855=G1855)*($I$2:I1855="Duplicate"))-1),"")&amp;".jpeg")</f>
        <v/>
      </c>
      <c r="L1855" s="6"/>
      <c r="M1855" s="5" t="str">
        <f>IFERROR(VLOOKUP(E1855,Specifications!$A$2:$D$9,2,FALSE),"")</f>
        <v/>
      </c>
      <c r="N1855" s="5" t="str">
        <f>IFERROR(VLOOKUP(E1855,Specifications!$A$2:$D$9,3,FALSE),"")</f>
        <v/>
      </c>
      <c r="O1855" s="5" t="str">
        <f>IFERROR(VLOOKUP(E1855,Specifications!$A$2:$D$9,4,FALSE),"")</f>
        <v/>
      </c>
      <c r="P1855" s="8" t="str">
        <f t="shared" si="87"/>
        <v/>
      </c>
      <c r="Q1855" s="9"/>
    </row>
    <row r="1856" spans="1:17" ht="15">
      <c r="A1856" s="5" t="str">
        <f t="shared" si="85"/>
        <v/>
      </c>
      <c r="B1856" s="6"/>
      <c r="C1856" s="5" t="str">
        <f>IFERROR(VLOOKUP(B1856,Lists!$A$2:$B$25,2,FALSE),"")</f>
        <v/>
      </c>
      <c r="D1856" s="7"/>
      <c r="E1856" s="6"/>
      <c r="F1856" s="6" t="str">
        <f t="shared" si="86"/>
        <v/>
      </c>
      <c r="G1856" s="6"/>
      <c r="H1856" s="6"/>
      <c r="I1856" s="6"/>
      <c r="J1856" s="7"/>
      <c r="K1856" s="5" t="str" cm="1">
        <f t="array" ref="K1856">IF(OR(A1856="",B1856="",D1856="",E1856=""),"",A1856&amp;"_"&amp;SUBSTITUTE(B1856," ","-")&amp;"_"&amp;D1856&amp;"_"&amp;SUBSTITUTE(SUBSTITUTE(E1856," ",""),"€","Euro")&amp;"_"&amp;IF(F1856="","Unknown",F1856)&amp;IF(F1856="Commemorative",IF(G1856="","","_"&amp;SUBSTITUTE(SUBSTITUTE(SUBSTITUTE(G1856," ","-"),"/","-"),CHAR(39),"")),"")&amp;IF(I1856="Duplicate","_Dub"&amp;IF(SUMPRODUCT(($B$2:B1856=B1856)*($D$2:D1856=D1856)*($E$2:E1856=E1856)*($F$2:F1856=F1856)*($G$2:G1856=G1856)*($I$2:I1856="Duplicate"))&lt;=1,"",SUMPRODUCT(($B$2:B1856=B1856)*($D$2:D1856=D1856)*($E$2:E1856=E1856)*($F$2:F1856=F1856)*($G$2:G1856=G1856)*($I$2:I1856="Duplicate"))-1),"")&amp;".jpeg")</f>
        <v/>
      </c>
      <c r="L1856" s="6"/>
      <c r="M1856" s="5" t="str">
        <f>IFERROR(VLOOKUP(E1856,Specifications!$A$2:$D$9,2,FALSE),"")</f>
        <v/>
      </c>
      <c r="N1856" s="5" t="str">
        <f>IFERROR(VLOOKUP(E1856,Specifications!$A$2:$D$9,3,FALSE),"")</f>
        <v/>
      </c>
      <c r="O1856" s="5" t="str">
        <f>IFERROR(VLOOKUP(E1856,Specifications!$A$2:$D$9,4,FALSE),"")</f>
        <v/>
      </c>
      <c r="P1856" s="8" t="str">
        <f t="shared" si="87"/>
        <v/>
      </c>
      <c r="Q1856" s="9"/>
    </row>
    <row r="1857" spans="1:17" ht="15">
      <c r="A1857" s="5" t="str">
        <f t="shared" si="85"/>
        <v/>
      </c>
      <c r="B1857" s="6"/>
      <c r="C1857" s="5" t="str">
        <f>IFERROR(VLOOKUP(B1857,Lists!$A$2:$B$25,2,FALSE),"")</f>
        <v/>
      </c>
      <c r="D1857" s="7"/>
      <c r="E1857" s="6"/>
      <c r="F1857" s="6" t="str">
        <f t="shared" si="86"/>
        <v/>
      </c>
      <c r="G1857" s="6"/>
      <c r="H1857" s="6"/>
      <c r="I1857" s="6"/>
      <c r="J1857" s="7"/>
      <c r="K1857" s="5" t="str" cm="1">
        <f t="array" ref="K1857">IF(OR(A1857="",B1857="",D1857="",E1857=""),"",A1857&amp;"_"&amp;SUBSTITUTE(B1857," ","-")&amp;"_"&amp;D1857&amp;"_"&amp;SUBSTITUTE(SUBSTITUTE(E1857," ",""),"€","Euro")&amp;"_"&amp;IF(F1857="","Unknown",F1857)&amp;IF(F1857="Commemorative",IF(G1857="","","_"&amp;SUBSTITUTE(SUBSTITUTE(SUBSTITUTE(G1857," ","-"),"/","-"),CHAR(39),"")),"")&amp;IF(I1857="Duplicate","_Dub"&amp;IF(SUMPRODUCT(($B$2:B1857=B1857)*($D$2:D1857=D1857)*($E$2:E1857=E1857)*($F$2:F1857=F1857)*($G$2:G1857=G1857)*($I$2:I1857="Duplicate"))&lt;=1,"",SUMPRODUCT(($B$2:B1857=B1857)*($D$2:D1857=D1857)*($E$2:E1857=E1857)*($F$2:F1857=F1857)*($G$2:G1857=G1857)*($I$2:I1857="Duplicate"))-1),"")&amp;".jpeg")</f>
        <v/>
      </c>
      <c r="L1857" s="6"/>
      <c r="M1857" s="5" t="str">
        <f>IFERROR(VLOOKUP(E1857,Specifications!$A$2:$D$9,2,FALSE),"")</f>
        <v/>
      </c>
      <c r="N1857" s="5" t="str">
        <f>IFERROR(VLOOKUP(E1857,Specifications!$A$2:$D$9,3,FALSE),"")</f>
        <v/>
      </c>
      <c r="O1857" s="5" t="str">
        <f>IFERROR(VLOOKUP(E1857,Specifications!$A$2:$D$9,4,FALSE),"")</f>
        <v/>
      </c>
      <c r="P1857" s="8" t="str">
        <f t="shared" si="87"/>
        <v/>
      </c>
      <c r="Q1857" s="9"/>
    </row>
    <row r="1858" spans="1:17" ht="15">
      <c r="A1858" s="5" t="str">
        <f t="shared" ref="A1858:A1921" si="88">IF(B1858="","",TEXT(ROW()-1,"000"))</f>
        <v/>
      </c>
      <c r="B1858" s="6"/>
      <c r="C1858" s="5" t="str">
        <f>IFERROR(VLOOKUP(B1858,Lists!$A$2:$B$25,2,FALSE),"")</f>
        <v/>
      </c>
      <c r="D1858" s="7"/>
      <c r="E1858" s="6"/>
      <c r="F1858" s="6" t="str">
        <f t="shared" ref="F1858:F1921" si="89">IF(E1858="","",IF(E1858="2 €","", "Regular"))</f>
        <v/>
      </c>
      <c r="G1858" s="6"/>
      <c r="H1858" s="6"/>
      <c r="I1858" s="6"/>
      <c r="J1858" s="7"/>
      <c r="K1858" s="5" t="str" cm="1">
        <f t="array" ref="K1858">IF(OR(A1858="",B1858="",D1858="",E1858=""),"",A1858&amp;"_"&amp;SUBSTITUTE(B1858," ","-")&amp;"_"&amp;D1858&amp;"_"&amp;SUBSTITUTE(SUBSTITUTE(E1858," ",""),"€","Euro")&amp;"_"&amp;IF(F1858="","Unknown",F1858)&amp;IF(F1858="Commemorative",IF(G1858="","","_"&amp;SUBSTITUTE(SUBSTITUTE(SUBSTITUTE(G1858," ","-"),"/","-"),CHAR(39),"")),"")&amp;IF(I1858="Duplicate","_Dub"&amp;IF(SUMPRODUCT(($B$2:B1858=B1858)*($D$2:D1858=D1858)*($E$2:E1858=E1858)*($F$2:F1858=F1858)*($G$2:G1858=G1858)*($I$2:I1858="Duplicate"))&lt;=1,"",SUMPRODUCT(($B$2:B1858=B1858)*($D$2:D1858=D1858)*($E$2:E1858=E1858)*($F$2:F1858=F1858)*($G$2:G1858=G1858)*($I$2:I1858="Duplicate"))-1),"")&amp;".jpeg")</f>
        <v/>
      </c>
      <c r="L1858" s="6"/>
      <c r="M1858" s="5" t="str">
        <f>IFERROR(VLOOKUP(E1858,Specifications!$A$2:$D$9,2,FALSE),"")</f>
        <v/>
      </c>
      <c r="N1858" s="5" t="str">
        <f>IFERROR(VLOOKUP(E1858,Specifications!$A$2:$D$9,3,FALSE),"")</f>
        <v/>
      </c>
      <c r="O1858" s="5" t="str">
        <f>IFERROR(VLOOKUP(E1858,Specifications!$A$2:$D$9,4,FALSE),"")</f>
        <v/>
      </c>
      <c r="P1858" s="8" t="str">
        <f t="shared" ref="P1858:P1921" si="90">IF(OR(B1858="",E1858="",F1858=""),"",IF(F1858="Regular","Regular "&amp;E1858&amp;" circulation coin of "&amp;B1858&amp;".",IF(F1858="Commemorative",IF(G1858="","",E1858&amp;" commemorative coin of "&amp;B1858&amp;" – "&amp;G1858&amp;"."),"")))</f>
        <v/>
      </c>
      <c r="Q1858" s="9"/>
    </row>
    <row r="1859" spans="1:17" ht="15">
      <c r="A1859" s="5" t="str">
        <f t="shared" si="88"/>
        <v/>
      </c>
      <c r="B1859" s="6"/>
      <c r="C1859" s="5" t="str">
        <f>IFERROR(VLOOKUP(B1859,Lists!$A$2:$B$25,2,FALSE),"")</f>
        <v/>
      </c>
      <c r="D1859" s="7"/>
      <c r="E1859" s="6"/>
      <c r="F1859" s="6" t="str">
        <f t="shared" si="89"/>
        <v/>
      </c>
      <c r="G1859" s="6"/>
      <c r="H1859" s="6"/>
      <c r="I1859" s="6"/>
      <c r="J1859" s="7"/>
      <c r="K1859" s="5" t="str" cm="1">
        <f t="array" ref="K1859">IF(OR(A1859="",B1859="",D1859="",E1859=""),"",A1859&amp;"_"&amp;SUBSTITUTE(B1859," ","-")&amp;"_"&amp;D1859&amp;"_"&amp;SUBSTITUTE(SUBSTITUTE(E1859," ",""),"€","Euro")&amp;"_"&amp;IF(F1859="","Unknown",F1859)&amp;IF(F1859="Commemorative",IF(G1859="","","_"&amp;SUBSTITUTE(SUBSTITUTE(SUBSTITUTE(G1859," ","-"),"/","-"),CHAR(39),"")),"")&amp;IF(I1859="Duplicate","_Dub"&amp;IF(SUMPRODUCT(($B$2:B1859=B1859)*($D$2:D1859=D1859)*($E$2:E1859=E1859)*($F$2:F1859=F1859)*($G$2:G1859=G1859)*($I$2:I1859="Duplicate"))&lt;=1,"",SUMPRODUCT(($B$2:B1859=B1859)*($D$2:D1859=D1859)*($E$2:E1859=E1859)*($F$2:F1859=F1859)*($G$2:G1859=G1859)*($I$2:I1859="Duplicate"))-1),"")&amp;".jpeg")</f>
        <v/>
      </c>
      <c r="L1859" s="6"/>
      <c r="M1859" s="5" t="str">
        <f>IFERROR(VLOOKUP(E1859,Specifications!$A$2:$D$9,2,FALSE),"")</f>
        <v/>
      </c>
      <c r="N1859" s="5" t="str">
        <f>IFERROR(VLOOKUP(E1859,Specifications!$A$2:$D$9,3,FALSE),"")</f>
        <v/>
      </c>
      <c r="O1859" s="5" t="str">
        <f>IFERROR(VLOOKUP(E1859,Specifications!$A$2:$D$9,4,FALSE),"")</f>
        <v/>
      </c>
      <c r="P1859" s="8" t="str">
        <f t="shared" si="90"/>
        <v/>
      </c>
      <c r="Q1859" s="9"/>
    </row>
    <row r="1860" spans="1:17" ht="15">
      <c r="A1860" s="5" t="str">
        <f t="shared" si="88"/>
        <v/>
      </c>
      <c r="B1860" s="6"/>
      <c r="C1860" s="5" t="str">
        <f>IFERROR(VLOOKUP(B1860,Lists!$A$2:$B$25,2,FALSE),"")</f>
        <v/>
      </c>
      <c r="D1860" s="7"/>
      <c r="E1860" s="6"/>
      <c r="F1860" s="6" t="str">
        <f t="shared" si="89"/>
        <v/>
      </c>
      <c r="G1860" s="6"/>
      <c r="H1860" s="6"/>
      <c r="I1860" s="6"/>
      <c r="J1860" s="7"/>
      <c r="K1860" s="5" t="str" cm="1">
        <f t="array" ref="K1860">IF(OR(A1860="",B1860="",D1860="",E1860=""),"",A1860&amp;"_"&amp;SUBSTITUTE(B1860," ","-")&amp;"_"&amp;D1860&amp;"_"&amp;SUBSTITUTE(SUBSTITUTE(E1860," ",""),"€","Euro")&amp;"_"&amp;IF(F1860="","Unknown",F1860)&amp;IF(F1860="Commemorative",IF(G1860="","","_"&amp;SUBSTITUTE(SUBSTITUTE(SUBSTITUTE(G1860," ","-"),"/","-"),CHAR(39),"")),"")&amp;IF(I1860="Duplicate","_Dub"&amp;IF(SUMPRODUCT(($B$2:B1860=B1860)*($D$2:D1860=D1860)*($E$2:E1860=E1860)*($F$2:F1860=F1860)*($G$2:G1860=G1860)*($I$2:I1860="Duplicate"))&lt;=1,"",SUMPRODUCT(($B$2:B1860=B1860)*($D$2:D1860=D1860)*($E$2:E1860=E1860)*($F$2:F1860=F1860)*($G$2:G1860=G1860)*($I$2:I1860="Duplicate"))-1),"")&amp;".jpeg")</f>
        <v/>
      </c>
      <c r="L1860" s="6"/>
      <c r="M1860" s="5" t="str">
        <f>IFERROR(VLOOKUP(E1860,Specifications!$A$2:$D$9,2,FALSE),"")</f>
        <v/>
      </c>
      <c r="N1860" s="5" t="str">
        <f>IFERROR(VLOOKUP(E1860,Specifications!$A$2:$D$9,3,FALSE),"")</f>
        <v/>
      </c>
      <c r="O1860" s="5" t="str">
        <f>IFERROR(VLOOKUP(E1860,Specifications!$A$2:$D$9,4,FALSE),"")</f>
        <v/>
      </c>
      <c r="P1860" s="8" t="str">
        <f t="shared" si="90"/>
        <v/>
      </c>
      <c r="Q1860" s="9"/>
    </row>
    <row r="1861" spans="1:17" ht="15">
      <c r="A1861" s="5" t="str">
        <f t="shared" si="88"/>
        <v/>
      </c>
      <c r="B1861" s="6"/>
      <c r="C1861" s="5" t="str">
        <f>IFERROR(VLOOKUP(B1861,Lists!$A$2:$B$25,2,FALSE),"")</f>
        <v/>
      </c>
      <c r="D1861" s="7"/>
      <c r="E1861" s="6"/>
      <c r="F1861" s="6" t="str">
        <f t="shared" si="89"/>
        <v/>
      </c>
      <c r="G1861" s="6"/>
      <c r="H1861" s="6"/>
      <c r="I1861" s="6"/>
      <c r="J1861" s="7"/>
      <c r="K1861" s="5" t="str" cm="1">
        <f t="array" ref="K1861">IF(OR(A1861="",B1861="",D1861="",E1861=""),"",A1861&amp;"_"&amp;SUBSTITUTE(B1861," ","-")&amp;"_"&amp;D1861&amp;"_"&amp;SUBSTITUTE(SUBSTITUTE(E1861," ",""),"€","Euro")&amp;"_"&amp;IF(F1861="","Unknown",F1861)&amp;IF(F1861="Commemorative",IF(G1861="","","_"&amp;SUBSTITUTE(SUBSTITUTE(SUBSTITUTE(G1861," ","-"),"/","-"),CHAR(39),"")),"")&amp;IF(I1861="Duplicate","_Dub"&amp;IF(SUMPRODUCT(($B$2:B1861=B1861)*($D$2:D1861=D1861)*($E$2:E1861=E1861)*($F$2:F1861=F1861)*($G$2:G1861=G1861)*($I$2:I1861="Duplicate"))&lt;=1,"",SUMPRODUCT(($B$2:B1861=B1861)*($D$2:D1861=D1861)*($E$2:E1861=E1861)*($F$2:F1861=F1861)*($G$2:G1861=G1861)*($I$2:I1861="Duplicate"))-1),"")&amp;".jpeg")</f>
        <v/>
      </c>
      <c r="L1861" s="6"/>
      <c r="M1861" s="5" t="str">
        <f>IFERROR(VLOOKUP(E1861,Specifications!$A$2:$D$9,2,FALSE),"")</f>
        <v/>
      </c>
      <c r="N1861" s="5" t="str">
        <f>IFERROR(VLOOKUP(E1861,Specifications!$A$2:$D$9,3,FALSE),"")</f>
        <v/>
      </c>
      <c r="O1861" s="5" t="str">
        <f>IFERROR(VLOOKUP(E1861,Specifications!$A$2:$D$9,4,FALSE),"")</f>
        <v/>
      </c>
      <c r="P1861" s="8" t="str">
        <f t="shared" si="90"/>
        <v/>
      </c>
      <c r="Q1861" s="9"/>
    </row>
    <row r="1862" spans="1:17" ht="15">
      <c r="A1862" s="5" t="str">
        <f t="shared" si="88"/>
        <v/>
      </c>
      <c r="B1862" s="6"/>
      <c r="C1862" s="5" t="str">
        <f>IFERROR(VLOOKUP(B1862,Lists!$A$2:$B$25,2,FALSE),"")</f>
        <v/>
      </c>
      <c r="D1862" s="7"/>
      <c r="E1862" s="6"/>
      <c r="F1862" s="6" t="str">
        <f t="shared" si="89"/>
        <v/>
      </c>
      <c r="G1862" s="6"/>
      <c r="H1862" s="6"/>
      <c r="I1862" s="6"/>
      <c r="J1862" s="7"/>
      <c r="K1862" s="5" t="str" cm="1">
        <f t="array" ref="K1862">IF(OR(A1862="",B1862="",D1862="",E1862=""),"",A1862&amp;"_"&amp;SUBSTITUTE(B1862," ","-")&amp;"_"&amp;D1862&amp;"_"&amp;SUBSTITUTE(SUBSTITUTE(E1862," ",""),"€","Euro")&amp;"_"&amp;IF(F1862="","Unknown",F1862)&amp;IF(F1862="Commemorative",IF(G1862="","","_"&amp;SUBSTITUTE(SUBSTITUTE(SUBSTITUTE(G1862," ","-"),"/","-"),CHAR(39),"")),"")&amp;IF(I1862="Duplicate","_Dub"&amp;IF(SUMPRODUCT(($B$2:B1862=B1862)*($D$2:D1862=D1862)*($E$2:E1862=E1862)*($F$2:F1862=F1862)*($G$2:G1862=G1862)*($I$2:I1862="Duplicate"))&lt;=1,"",SUMPRODUCT(($B$2:B1862=B1862)*($D$2:D1862=D1862)*($E$2:E1862=E1862)*($F$2:F1862=F1862)*($G$2:G1862=G1862)*($I$2:I1862="Duplicate"))-1),"")&amp;".jpeg")</f>
        <v/>
      </c>
      <c r="L1862" s="6"/>
      <c r="M1862" s="5" t="str">
        <f>IFERROR(VLOOKUP(E1862,Specifications!$A$2:$D$9,2,FALSE),"")</f>
        <v/>
      </c>
      <c r="N1862" s="5" t="str">
        <f>IFERROR(VLOOKUP(E1862,Specifications!$A$2:$D$9,3,FALSE),"")</f>
        <v/>
      </c>
      <c r="O1862" s="5" t="str">
        <f>IFERROR(VLOOKUP(E1862,Specifications!$A$2:$D$9,4,FALSE),"")</f>
        <v/>
      </c>
      <c r="P1862" s="8" t="str">
        <f t="shared" si="90"/>
        <v/>
      </c>
      <c r="Q1862" s="9"/>
    </row>
    <row r="1863" spans="1:17" ht="15">
      <c r="A1863" s="5" t="str">
        <f t="shared" si="88"/>
        <v/>
      </c>
      <c r="B1863" s="6"/>
      <c r="C1863" s="5" t="str">
        <f>IFERROR(VLOOKUP(B1863,Lists!$A$2:$B$25,2,FALSE),"")</f>
        <v/>
      </c>
      <c r="D1863" s="7"/>
      <c r="E1863" s="6"/>
      <c r="F1863" s="6" t="str">
        <f t="shared" si="89"/>
        <v/>
      </c>
      <c r="G1863" s="6"/>
      <c r="H1863" s="6"/>
      <c r="I1863" s="6"/>
      <c r="J1863" s="7"/>
      <c r="K1863" s="5" t="str" cm="1">
        <f t="array" ref="K1863">IF(OR(A1863="",B1863="",D1863="",E1863=""),"",A1863&amp;"_"&amp;SUBSTITUTE(B1863," ","-")&amp;"_"&amp;D1863&amp;"_"&amp;SUBSTITUTE(SUBSTITUTE(E1863," ",""),"€","Euro")&amp;"_"&amp;IF(F1863="","Unknown",F1863)&amp;IF(F1863="Commemorative",IF(G1863="","","_"&amp;SUBSTITUTE(SUBSTITUTE(SUBSTITUTE(G1863," ","-"),"/","-"),CHAR(39),"")),"")&amp;IF(I1863="Duplicate","_Dub"&amp;IF(SUMPRODUCT(($B$2:B1863=B1863)*($D$2:D1863=D1863)*($E$2:E1863=E1863)*($F$2:F1863=F1863)*($G$2:G1863=G1863)*($I$2:I1863="Duplicate"))&lt;=1,"",SUMPRODUCT(($B$2:B1863=B1863)*($D$2:D1863=D1863)*($E$2:E1863=E1863)*($F$2:F1863=F1863)*($G$2:G1863=G1863)*($I$2:I1863="Duplicate"))-1),"")&amp;".jpeg")</f>
        <v/>
      </c>
      <c r="L1863" s="6"/>
      <c r="M1863" s="5" t="str">
        <f>IFERROR(VLOOKUP(E1863,Specifications!$A$2:$D$9,2,FALSE),"")</f>
        <v/>
      </c>
      <c r="N1863" s="5" t="str">
        <f>IFERROR(VLOOKUP(E1863,Specifications!$A$2:$D$9,3,FALSE),"")</f>
        <v/>
      </c>
      <c r="O1863" s="5" t="str">
        <f>IFERROR(VLOOKUP(E1863,Specifications!$A$2:$D$9,4,FALSE),"")</f>
        <v/>
      </c>
      <c r="P1863" s="8" t="str">
        <f t="shared" si="90"/>
        <v/>
      </c>
      <c r="Q1863" s="9"/>
    </row>
    <row r="1864" spans="1:17" ht="15">
      <c r="A1864" s="5" t="str">
        <f t="shared" si="88"/>
        <v/>
      </c>
      <c r="B1864" s="6"/>
      <c r="C1864" s="5" t="str">
        <f>IFERROR(VLOOKUP(B1864,Lists!$A$2:$B$25,2,FALSE),"")</f>
        <v/>
      </c>
      <c r="D1864" s="7"/>
      <c r="E1864" s="6"/>
      <c r="F1864" s="6" t="str">
        <f t="shared" si="89"/>
        <v/>
      </c>
      <c r="G1864" s="6"/>
      <c r="H1864" s="6"/>
      <c r="I1864" s="6"/>
      <c r="J1864" s="7"/>
      <c r="K1864" s="5" t="str" cm="1">
        <f t="array" ref="K1864">IF(OR(A1864="",B1864="",D1864="",E1864=""),"",A1864&amp;"_"&amp;SUBSTITUTE(B1864," ","-")&amp;"_"&amp;D1864&amp;"_"&amp;SUBSTITUTE(SUBSTITUTE(E1864," ",""),"€","Euro")&amp;"_"&amp;IF(F1864="","Unknown",F1864)&amp;IF(F1864="Commemorative",IF(G1864="","","_"&amp;SUBSTITUTE(SUBSTITUTE(SUBSTITUTE(G1864," ","-"),"/","-"),CHAR(39),"")),"")&amp;IF(I1864="Duplicate","_Dub"&amp;IF(SUMPRODUCT(($B$2:B1864=B1864)*($D$2:D1864=D1864)*($E$2:E1864=E1864)*($F$2:F1864=F1864)*($G$2:G1864=G1864)*($I$2:I1864="Duplicate"))&lt;=1,"",SUMPRODUCT(($B$2:B1864=B1864)*($D$2:D1864=D1864)*($E$2:E1864=E1864)*($F$2:F1864=F1864)*($G$2:G1864=G1864)*($I$2:I1864="Duplicate"))-1),"")&amp;".jpeg")</f>
        <v/>
      </c>
      <c r="L1864" s="6"/>
      <c r="M1864" s="5" t="str">
        <f>IFERROR(VLOOKUP(E1864,Specifications!$A$2:$D$9,2,FALSE),"")</f>
        <v/>
      </c>
      <c r="N1864" s="5" t="str">
        <f>IFERROR(VLOOKUP(E1864,Specifications!$A$2:$D$9,3,FALSE),"")</f>
        <v/>
      </c>
      <c r="O1864" s="5" t="str">
        <f>IFERROR(VLOOKUP(E1864,Specifications!$A$2:$D$9,4,FALSE),"")</f>
        <v/>
      </c>
      <c r="P1864" s="8" t="str">
        <f t="shared" si="90"/>
        <v/>
      </c>
      <c r="Q1864" s="9"/>
    </row>
    <row r="1865" spans="1:17" ht="15">
      <c r="A1865" s="5" t="str">
        <f t="shared" si="88"/>
        <v/>
      </c>
      <c r="B1865" s="6"/>
      <c r="C1865" s="5" t="str">
        <f>IFERROR(VLOOKUP(B1865,Lists!$A$2:$B$25,2,FALSE),"")</f>
        <v/>
      </c>
      <c r="D1865" s="7"/>
      <c r="E1865" s="6"/>
      <c r="F1865" s="6" t="str">
        <f t="shared" si="89"/>
        <v/>
      </c>
      <c r="G1865" s="6"/>
      <c r="H1865" s="6"/>
      <c r="I1865" s="6"/>
      <c r="J1865" s="7"/>
      <c r="K1865" s="5" t="str" cm="1">
        <f t="array" ref="K1865">IF(OR(A1865="",B1865="",D1865="",E1865=""),"",A1865&amp;"_"&amp;SUBSTITUTE(B1865," ","-")&amp;"_"&amp;D1865&amp;"_"&amp;SUBSTITUTE(SUBSTITUTE(E1865," ",""),"€","Euro")&amp;"_"&amp;IF(F1865="","Unknown",F1865)&amp;IF(F1865="Commemorative",IF(G1865="","","_"&amp;SUBSTITUTE(SUBSTITUTE(SUBSTITUTE(G1865," ","-"),"/","-"),CHAR(39),"")),"")&amp;IF(I1865="Duplicate","_Dub"&amp;IF(SUMPRODUCT(($B$2:B1865=B1865)*($D$2:D1865=D1865)*($E$2:E1865=E1865)*($F$2:F1865=F1865)*($G$2:G1865=G1865)*($I$2:I1865="Duplicate"))&lt;=1,"",SUMPRODUCT(($B$2:B1865=B1865)*($D$2:D1865=D1865)*($E$2:E1865=E1865)*($F$2:F1865=F1865)*($G$2:G1865=G1865)*($I$2:I1865="Duplicate"))-1),"")&amp;".jpeg")</f>
        <v/>
      </c>
      <c r="L1865" s="6"/>
      <c r="M1865" s="5" t="str">
        <f>IFERROR(VLOOKUP(E1865,Specifications!$A$2:$D$9,2,FALSE),"")</f>
        <v/>
      </c>
      <c r="N1865" s="5" t="str">
        <f>IFERROR(VLOOKUP(E1865,Specifications!$A$2:$D$9,3,FALSE),"")</f>
        <v/>
      </c>
      <c r="O1865" s="5" t="str">
        <f>IFERROR(VLOOKUP(E1865,Specifications!$A$2:$D$9,4,FALSE),"")</f>
        <v/>
      </c>
      <c r="P1865" s="8" t="str">
        <f t="shared" si="90"/>
        <v/>
      </c>
      <c r="Q1865" s="9"/>
    </row>
    <row r="1866" spans="1:17" ht="15">
      <c r="A1866" s="5" t="str">
        <f t="shared" si="88"/>
        <v/>
      </c>
      <c r="B1866" s="6"/>
      <c r="C1866" s="5" t="str">
        <f>IFERROR(VLOOKUP(B1866,Lists!$A$2:$B$25,2,FALSE),"")</f>
        <v/>
      </c>
      <c r="D1866" s="7"/>
      <c r="E1866" s="6"/>
      <c r="F1866" s="6" t="str">
        <f t="shared" si="89"/>
        <v/>
      </c>
      <c r="G1866" s="6"/>
      <c r="H1866" s="6"/>
      <c r="I1866" s="6"/>
      <c r="J1866" s="7"/>
      <c r="K1866" s="5" t="str" cm="1">
        <f t="array" ref="K1866">IF(OR(A1866="",B1866="",D1866="",E1866=""),"",A1866&amp;"_"&amp;SUBSTITUTE(B1866," ","-")&amp;"_"&amp;D1866&amp;"_"&amp;SUBSTITUTE(SUBSTITUTE(E1866," ",""),"€","Euro")&amp;"_"&amp;IF(F1866="","Unknown",F1866)&amp;IF(F1866="Commemorative",IF(G1866="","","_"&amp;SUBSTITUTE(SUBSTITUTE(SUBSTITUTE(G1866," ","-"),"/","-"),CHAR(39),"")),"")&amp;IF(I1866="Duplicate","_Dub"&amp;IF(SUMPRODUCT(($B$2:B1866=B1866)*($D$2:D1866=D1866)*($E$2:E1866=E1866)*($F$2:F1866=F1866)*($G$2:G1866=G1866)*($I$2:I1866="Duplicate"))&lt;=1,"",SUMPRODUCT(($B$2:B1866=B1866)*($D$2:D1866=D1866)*($E$2:E1866=E1866)*($F$2:F1866=F1866)*($G$2:G1866=G1866)*($I$2:I1866="Duplicate"))-1),"")&amp;".jpeg")</f>
        <v/>
      </c>
      <c r="L1866" s="6"/>
      <c r="M1866" s="5" t="str">
        <f>IFERROR(VLOOKUP(E1866,Specifications!$A$2:$D$9,2,FALSE),"")</f>
        <v/>
      </c>
      <c r="N1866" s="5" t="str">
        <f>IFERROR(VLOOKUP(E1866,Specifications!$A$2:$D$9,3,FALSE),"")</f>
        <v/>
      </c>
      <c r="O1866" s="5" t="str">
        <f>IFERROR(VLOOKUP(E1866,Specifications!$A$2:$D$9,4,FALSE),"")</f>
        <v/>
      </c>
      <c r="P1866" s="8" t="str">
        <f t="shared" si="90"/>
        <v/>
      </c>
      <c r="Q1866" s="9"/>
    </row>
    <row r="1867" spans="1:17" ht="15">
      <c r="A1867" s="5" t="str">
        <f t="shared" si="88"/>
        <v/>
      </c>
      <c r="B1867" s="6"/>
      <c r="C1867" s="5" t="str">
        <f>IFERROR(VLOOKUP(B1867,Lists!$A$2:$B$25,2,FALSE),"")</f>
        <v/>
      </c>
      <c r="D1867" s="7"/>
      <c r="E1867" s="6"/>
      <c r="F1867" s="6" t="str">
        <f t="shared" si="89"/>
        <v/>
      </c>
      <c r="G1867" s="6"/>
      <c r="H1867" s="6"/>
      <c r="I1867" s="6"/>
      <c r="J1867" s="7"/>
      <c r="K1867" s="5" t="str" cm="1">
        <f t="array" ref="K1867">IF(OR(A1867="",B1867="",D1867="",E1867=""),"",A1867&amp;"_"&amp;SUBSTITUTE(B1867," ","-")&amp;"_"&amp;D1867&amp;"_"&amp;SUBSTITUTE(SUBSTITUTE(E1867," ",""),"€","Euro")&amp;"_"&amp;IF(F1867="","Unknown",F1867)&amp;IF(F1867="Commemorative",IF(G1867="","","_"&amp;SUBSTITUTE(SUBSTITUTE(SUBSTITUTE(G1867," ","-"),"/","-"),CHAR(39),"")),"")&amp;IF(I1867="Duplicate","_Dub"&amp;IF(SUMPRODUCT(($B$2:B1867=B1867)*($D$2:D1867=D1867)*($E$2:E1867=E1867)*($F$2:F1867=F1867)*($G$2:G1867=G1867)*($I$2:I1867="Duplicate"))&lt;=1,"",SUMPRODUCT(($B$2:B1867=B1867)*($D$2:D1867=D1867)*($E$2:E1867=E1867)*($F$2:F1867=F1867)*($G$2:G1867=G1867)*($I$2:I1867="Duplicate"))-1),"")&amp;".jpeg")</f>
        <v/>
      </c>
      <c r="L1867" s="6"/>
      <c r="M1867" s="5" t="str">
        <f>IFERROR(VLOOKUP(E1867,Specifications!$A$2:$D$9,2,FALSE),"")</f>
        <v/>
      </c>
      <c r="N1867" s="5" t="str">
        <f>IFERROR(VLOOKUP(E1867,Specifications!$A$2:$D$9,3,FALSE),"")</f>
        <v/>
      </c>
      <c r="O1867" s="5" t="str">
        <f>IFERROR(VLOOKUP(E1867,Specifications!$A$2:$D$9,4,FALSE),"")</f>
        <v/>
      </c>
      <c r="P1867" s="8" t="str">
        <f t="shared" si="90"/>
        <v/>
      </c>
      <c r="Q1867" s="9"/>
    </row>
    <row r="1868" spans="1:17" ht="15">
      <c r="A1868" s="5" t="str">
        <f t="shared" si="88"/>
        <v/>
      </c>
      <c r="B1868" s="6"/>
      <c r="C1868" s="5" t="str">
        <f>IFERROR(VLOOKUP(B1868,Lists!$A$2:$B$25,2,FALSE),"")</f>
        <v/>
      </c>
      <c r="D1868" s="7"/>
      <c r="E1868" s="6"/>
      <c r="F1868" s="6" t="str">
        <f t="shared" si="89"/>
        <v/>
      </c>
      <c r="G1868" s="6"/>
      <c r="H1868" s="6"/>
      <c r="I1868" s="6"/>
      <c r="J1868" s="7"/>
      <c r="K1868" s="5" t="str" cm="1">
        <f t="array" ref="K1868">IF(OR(A1868="",B1868="",D1868="",E1868=""),"",A1868&amp;"_"&amp;SUBSTITUTE(B1868," ","-")&amp;"_"&amp;D1868&amp;"_"&amp;SUBSTITUTE(SUBSTITUTE(E1868," ",""),"€","Euro")&amp;"_"&amp;IF(F1868="","Unknown",F1868)&amp;IF(F1868="Commemorative",IF(G1868="","","_"&amp;SUBSTITUTE(SUBSTITUTE(SUBSTITUTE(G1868," ","-"),"/","-"),CHAR(39),"")),"")&amp;IF(I1868="Duplicate","_Dub"&amp;IF(SUMPRODUCT(($B$2:B1868=B1868)*($D$2:D1868=D1868)*($E$2:E1868=E1868)*($F$2:F1868=F1868)*($G$2:G1868=G1868)*($I$2:I1868="Duplicate"))&lt;=1,"",SUMPRODUCT(($B$2:B1868=B1868)*($D$2:D1868=D1868)*($E$2:E1868=E1868)*($F$2:F1868=F1868)*($G$2:G1868=G1868)*($I$2:I1868="Duplicate"))-1),"")&amp;".jpeg")</f>
        <v/>
      </c>
      <c r="L1868" s="6"/>
      <c r="M1868" s="5" t="str">
        <f>IFERROR(VLOOKUP(E1868,Specifications!$A$2:$D$9,2,FALSE),"")</f>
        <v/>
      </c>
      <c r="N1868" s="5" t="str">
        <f>IFERROR(VLOOKUP(E1868,Specifications!$A$2:$D$9,3,FALSE),"")</f>
        <v/>
      </c>
      <c r="O1868" s="5" t="str">
        <f>IFERROR(VLOOKUP(E1868,Specifications!$A$2:$D$9,4,FALSE),"")</f>
        <v/>
      </c>
      <c r="P1868" s="8" t="str">
        <f t="shared" si="90"/>
        <v/>
      </c>
      <c r="Q1868" s="9"/>
    </row>
    <row r="1869" spans="1:17" ht="15">
      <c r="A1869" s="5" t="str">
        <f t="shared" si="88"/>
        <v/>
      </c>
      <c r="B1869" s="6"/>
      <c r="C1869" s="5" t="str">
        <f>IFERROR(VLOOKUP(B1869,Lists!$A$2:$B$25,2,FALSE),"")</f>
        <v/>
      </c>
      <c r="D1869" s="7"/>
      <c r="E1869" s="6"/>
      <c r="F1869" s="6" t="str">
        <f t="shared" si="89"/>
        <v/>
      </c>
      <c r="G1869" s="6"/>
      <c r="H1869" s="6"/>
      <c r="I1869" s="6"/>
      <c r="J1869" s="7"/>
      <c r="K1869" s="5" t="str" cm="1">
        <f t="array" ref="K1869">IF(OR(A1869="",B1869="",D1869="",E1869=""),"",A1869&amp;"_"&amp;SUBSTITUTE(B1869," ","-")&amp;"_"&amp;D1869&amp;"_"&amp;SUBSTITUTE(SUBSTITUTE(E1869," ",""),"€","Euro")&amp;"_"&amp;IF(F1869="","Unknown",F1869)&amp;IF(F1869="Commemorative",IF(G1869="","","_"&amp;SUBSTITUTE(SUBSTITUTE(SUBSTITUTE(G1869," ","-"),"/","-"),CHAR(39),"")),"")&amp;IF(I1869="Duplicate","_Dub"&amp;IF(SUMPRODUCT(($B$2:B1869=B1869)*($D$2:D1869=D1869)*($E$2:E1869=E1869)*($F$2:F1869=F1869)*($G$2:G1869=G1869)*($I$2:I1869="Duplicate"))&lt;=1,"",SUMPRODUCT(($B$2:B1869=B1869)*($D$2:D1869=D1869)*($E$2:E1869=E1869)*($F$2:F1869=F1869)*($G$2:G1869=G1869)*($I$2:I1869="Duplicate"))-1),"")&amp;".jpeg")</f>
        <v/>
      </c>
      <c r="L1869" s="6"/>
      <c r="M1869" s="5" t="str">
        <f>IFERROR(VLOOKUP(E1869,Specifications!$A$2:$D$9,2,FALSE),"")</f>
        <v/>
      </c>
      <c r="N1869" s="5" t="str">
        <f>IFERROR(VLOOKUP(E1869,Specifications!$A$2:$D$9,3,FALSE),"")</f>
        <v/>
      </c>
      <c r="O1869" s="5" t="str">
        <f>IFERROR(VLOOKUP(E1869,Specifications!$A$2:$D$9,4,FALSE),"")</f>
        <v/>
      </c>
      <c r="P1869" s="8" t="str">
        <f t="shared" si="90"/>
        <v/>
      </c>
      <c r="Q1869" s="9"/>
    </row>
    <row r="1870" spans="1:17" ht="15">
      <c r="A1870" s="5" t="str">
        <f t="shared" si="88"/>
        <v/>
      </c>
      <c r="B1870" s="6"/>
      <c r="C1870" s="5" t="str">
        <f>IFERROR(VLOOKUP(B1870,Lists!$A$2:$B$25,2,FALSE),"")</f>
        <v/>
      </c>
      <c r="D1870" s="7"/>
      <c r="E1870" s="6"/>
      <c r="F1870" s="6" t="str">
        <f t="shared" si="89"/>
        <v/>
      </c>
      <c r="G1870" s="6"/>
      <c r="H1870" s="6"/>
      <c r="I1870" s="6"/>
      <c r="J1870" s="7"/>
      <c r="K1870" s="5" t="str" cm="1">
        <f t="array" ref="K1870">IF(OR(A1870="",B1870="",D1870="",E1870=""),"",A1870&amp;"_"&amp;SUBSTITUTE(B1870," ","-")&amp;"_"&amp;D1870&amp;"_"&amp;SUBSTITUTE(SUBSTITUTE(E1870," ",""),"€","Euro")&amp;"_"&amp;IF(F1870="","Unknown",F1870)&amp;IF(F1870="Commemorative",IF(G1870="","","_"&amp;SUBSTITUTE(SUBSTITUTE(SUBSTITUTE(G1870," ","-"),"/","-"),CHAR(39),"")),"")&amp;IF(I1870="Duplicate","_Dub"&amp;IF(SUMPRODUCT(($B$2:B1870=B1870)*($D$2:D1870=D1870)*($E$2:E1870=E1870)*($F$2:F1870=F1870)*($G$2:G1870=G1870)*($I$2:I1870="Duplicate"))&lt;=1,"",SUMPRODUCT(($B$2:B1870=B1870)*($D$2:D1870=D1870)*($E$2:E1870=E1870)*($F$2:F1870=F1870)*($G$2:G1870=G1870)*($I$2:I1870="Duplicate"))-1),"")&amp;".jpeg")</f>
        <v/>
      </c>
      <c r="L1870" s="6"/>
      <c r="M1870" s="5" t="str">
        <f>IFERROR(VLOOKUP(E1870,Specifications!$A$2:$D$9,2,FALSE),"")</f>
        <v/>
      </c>
      <c r="N1870" s="5" t="str">
        <f>IFERROR(VLOOKUP(E1870,Specifications!$A$2:$D$9,3,FALSE),"")</f>
        <v/>
      </c>
      <c r="O1870" s="5" t="str">
        <f>IFERROR(VLOOKUP(E1870,Specifications!$A$2:$D$9,4,FALSE),"")</f>
        <v/>
      </c>
      <c r="P1870" s="8" t="str">
        <f t="shared" si="90"/>
        <v/>
      </c>
      <c r="Q1870" s="9"/>
    </row>
    <row r="1871" spans="1:17" ht="15">
      <c r="A1871" s="5" t="str">
        <f t="shared" si="88"/>
        <v/>
      </c>
      <c r="B1871" s="6"/>
      <c r="C1871" s="5" t="str">
        <f>IFERROR(VLOOKUP(B1871,Lists!$A$2:$B$25,2,FALSE),"")</f>
        <v/>
      </c>
      <c r="D1871" s="7"/>
      <c r="E1871" s="6"/>
      <c r="F1871" s="6" t="str">
        <f t="shared" si="89"/>
        <v/>
      </c>
      <c r="G1871" s="6"/>
      <c r="H1871" s="6"/>
      <c r="I1871" s="6"/>
      <c r="J1871" s="7"/>
      <c r="K1871" s="5" t="str" cm="1">
        <f t="array" ref="K1871">IF(OR(A1871="",B1871="",D1871="",E1871=""),"",A1871&amp;"_"&amp;SUBSTITUTE(B1871," ","-")&amp;"_"&amp;D1871&amp;"_"&amp;SUBSTITUTE(SUBSTITUTE(E1871," ",""),"€","Euro")&amp;"_"&amp;IF(F1871="","Unknown",F1871)&amp;IF(F1871="Commemorative",IF(G1871="","","_"&amp;SUBSTITUTE(SUBSTITUTE(SUBSTITUTE(G1871," ","-"),"/","-"),CHAR(39),"")),"")&amp;IF(I1871="Duplicate","_Dub"&amp;IF(SUMPRODUCT(($B$2:B1871=B1871)*($D$2:D1871=D1871)*($E$2:E1871=E1871)*($F$2:F1871=F1871)*($G$2:G1871=G1871)*($I$2:I1871="Duplicate"))&lt;=1,"",SUMPRODUCT(($B$2:B1871=B1871)*($D$2:D1871=D1871)*($E$2:E1871=E1871)*($F$2:F1871=F1871)*($G$2:G1871=G1871)*($I$2:I1871="Duplicate"))-1),"")&amp;".jpeg")</f>
        <v/>
      </c>
      <c r="L1871" s="6"/>
      <c r="M1871" s="5" t="str">
        <f>IFERROR(VLOOKUP(E1871,Specifications!$A$2:$D$9,2,FALSE),"")</f>
        <v/>
      </c>
      <c r="N1871" s="5" t="str">
        <f>IFERROR(VLOOKUP(E1871,Specifications!$A$2:$D$9,3,FALSE),"")</f>
        <v/>
      </c>
      <c r="O1871" s="5" t="str">
        <f>IFERROR(VLOOKUP(E1871,Specifications!$A$2:$D$9,4,FALSE),"")</f>
        <v/>
      </c>
      <c r="P1871" s="8" t="str">
        <f t="shared" si="90"/>
        <v/>
      </c>
      <c r="Q1871" s="9"/>
    </row>
    <row r="1872" spans="1:17" ht="15">
      <c r="A1872" s="5" t="str">
        <f t="shared" si="88"/>
        <v/>
      </c>
      <c r="B1872" s="6"/>
      <c r="C1872" s="5" t="str">
        <f>IFERROR(VLOOKUP(B1872,Lists!$A$2:$B$25,2,FALSE),"")</f>
        <v/>
      </c>
      <c r="D1872" s="7"/>
      <c r="E1872" s="6"/>
      <c r="F1872" s="6" t="str">
        <f t="shared" si="89"/>
        <v/>
      </c>
      <c r="G1872" s="6"/>
      <c r="H1872" s="6"/>
      <c r="I1872" s="6"/>
      <c r="J1872" s="7"/>
      <c r="K1872" s="5" t="str" cm="1">
        <f t="array" ref="K1872">IF(OR(A1872="",B1872="",D1872="",E1872=""),"",A1872&amp;"_"&amp;SUBSTITUTE(B1872," ","-")&amp;"_"&amp;D1872&amp;"_"&amp;SUBSTITUTE(SUBSTITUTE(E1872," ",""),"€","Euro")&amp;"_"&amp;IF(F1872="","Unknown",F1872)&amp;IF(F1872="Commemorative",IF(G1872="","","_"&amp;SUBSTITUTE(SUBSTITUTE(SUBSTITUTE(G1872," ","-"),"/","-"),CHAR(39),"")),"")&amp;IF(I1872="Duplicate","_Dub"&amp;IF(SUMPRODUCT(($B$2:B1872=B1872)*($D$2:D1872=D1872)*($E$2:E1872=E1872)*($F$2:F1872=F1872)*($G$2:G1872=G1872)*($I$2:I1872="Duplicate"))&lt;=1,"",SUMPRODUCT(($B$2:B1872=B1872)*($D$2:D1872=D1872)*($E$2:E1872=E1872)*($F$2:F1872=F1872)*($G$2:G1872=G1872)*($I$2:I1872="Duplicate"))-1),"")&amp;".jpeg")</f>
        <v/>
      </c>
      <c r="L1872" s="6"/>
      <c r="M1872" s="5" t="str">
        <f>IFERROR(VLOOKUP(E1872,Specifications!$A$2:$D$9,2,FALSE),"")</f>
        <v/>
      </c>
      <c r="N1872" s="5" t="str">
        <f>IFERROR(VLOOKUP(E1872,Specifications!$A$2:$D$9,3,FALSE),"")</f>
        <v/>
      </c>
      <c r="O1872" s="5" t="str">
        <f>IFERROR(VLOOKUP(E1872,Specifications!$A$2:$D$9,4,FALSE),"")</f>
        <v/>
      </c>
      <c r="P1872" s="8" t="str">
        <f t="shared" si="90"/>
        <v/>
      </c>
      <c r="Q1872" s="9"/>
    </row>
    <row r="1873" spans="1:17" ht="15">
      <c r="A1873" s="5" t="str">
        <f t="shared" si="88"/>
        <v/>
      </c>
      <c r="B1873" s="6"/>
      <c r="C1873" s="5" t="str">
        <f>IFERROR(VLOOKUP(B1873,Lists!$A$2:$B$25,2,FALSE),"")</f>
        <v/>
      </c>
      <c r="D1873" s="7"/>
      <c r="E1873" s="6"/>
      <c r="F1873" s="6" t="str">
        <f t="shared" si="89"/>
        <v/>
      </c>
      <c r="G1873" s="6"/>
      <c r="H1873" s="6"/>
      <c r="I1873" s="6"/>
      <c r="J1873" s="7"/>
      <c r="K1873" s="5" t="str" cm="1">
        <f t="array" ref="K1873">IF(OR(A1873="",B1873="",D1873="",E1873=""),"",A1873&amp;"_"&amp;SUBSTITUTE(B1873," ","-")&amp;"_"&amp;D1873&amp;"_"&amp;SUBSTITUTE(SUBSTITUTE(E1873," ",""),"€","Euro")&amp;"_"&amp;IF(F1873="","Unknown",F1873)&amp;IF(F1873="Commemorative",IF(G1873="","","_"&amp;SUBSTITUTE(SUBSTITUTE(SUBSTITUTE(G1873," ","-"),"/","-"),CHAR(39),"")),"")&amp;IF(I1873="Duplicate","_Dub"&amp;IF(SUMPRODUCT(($B$2:B1873=B1873)*($D$2:D1873=D1873)*($E$2:E1873=E1873)*($F$2:F1873=F1873)*($G$2:G1873=G1873)*($I$2:I1873="Duplicate"))&lt;=1,"",SUMPRODUCT(($B$2:B1873=B1873)*($D$2:D1873=D1873)*($E$2:E1873=E1873)*($F$2:F1873=F1873)*($G$2:G1873=G1873)*($I$2:I1873="Duplicate"))-1),"")&amp;".jpeg")</f>
        <v/>
      </c>
      <c r="L1873" s="6"/>
      <c r="M1873" s="5" t="str">
        <f>IFERROR(VLOOKUP(E1873,Specifications!$A$2:$D$9,2,FALSE),"")</f>
        <v/>
      </c>
      <c r="N1873" s="5" t="str">
        <f>IFERROR(VLOOKUP(E1873,Specifications!$A$2:$D$9,3,FALSE),"")</f>
        <v/>
      </c>
      <c r="O1873" s="5" t="str">
        <f>IFERROR(VLOOKUP(E1873,Specifications!$A$2:$D$9,4,FALSE),"")</f>
        <v/>
      </c>
      <c r="P1873" s="8" t="str">
        <f t="shared" si="90"/>
        <v/>
      </c>
      <c r="Q1873" s="9"/>
    </row>
    <row r="1874" spans="1:17" ht="15">
      <c r="A1874" s="5" t="str">
        <f t="shared" si="88"/>
        <v/>
      </c>
      <c r="B1874" s="6"/>
      <c r="C1874" s="5" t="str">
        <f>IFERROR(VLOOKUP(B1874,Lists!$A$2:$B$25,2,FALSE),"")</f>
        <v/>
      </c>
      <c r="D1874" s="7"/>
      <c r="E1874" s="6"/>
      <c r="F1874" s="6" t="str">
        <f t="shared" si="89"/>
        <v/>
      </c>
      <c r="G1874" s="6"/>
      <c r="H1874" s="6"/>
      <c r="I1874" s="6"/>
      <c r="J1874" s="7"/>
      <c r="K1874" s="5" t="str" cm="1">
        <f t="array" ref="K1874">IF(OR(A1874="",B1874="",D1874="",E1874=""),"",A1874&amp;"_"&amp;SUBSTITUTE(B1874," ","-")&amp;"_"&amp;D1874&amp;"_"&amp;SUBSTITUTE(SUBSTITUTE(E1874," ",""),"€","Euro")&amp;"_"&amp;IF(F1874="","Unknown",F1874)&amp;IF(F1874="Commemorative",IF(G1874="","","_"&amp;SUBSTITUTE(SUBSTITUTE(SUBSTITUTE(G1874," ","-"),"/","-"),CHAR(39),"")),"")&amp;IF(I1874="Duplicate","_Dub"&amp;IF(SUMPRODUCT(($B$2:B1874=B1874)*($D$2:D1874=D1874)*($E$2:E1874=E1874)*($F$2:F1874=F1874)*($G$2:G1874=G1874)*($I$2:I1874="Duplicate"))&lt;=1,"",SUMPRODUCT(($B$2:B1874=B1874)*($D$2:D1874=D1874)*($E$2:E1874=E1874)*($F$2:F1874=F1874)*($G$2:G1874=G1874)*($I$2:I1874="Duplicate"))-1),"")&amp;".jpeg")</f>
        <v/>
      </c>
      <c r="L1874" s="6"/>
      <c r="M1874" s="5" t="str">
        <f>IFERROR(VLOOKUP(E1874,Specifications!$A$2:$D$9,2,FALSE),"")</f>
        <v/>
      </c>
      <c r="N1874" s="5" t="str">
        <f>IFERROR(VLOOKUP(E1874,Specifications!$A$2:$D$9,3,FALSE),"")</f>
        <v/>
      </c>
      <c r="O1874" s="5" t="str">
        <f>IFERROR(VLOOKUP(E1874,Specifications!$A$2:$D$9,4,FALSE),"")</f>
        <v/>
      </c>
      <c r="P1874" s="8" t="str">
        <f t="shared" si="90"/>
        <v/>
      </c>
      <c r="Q1874" s="9"/>
    </row>
    <row r="1875" spans="1:17" ht="15">
      <c r="A1875" s="5" t="str">
        <f t="shared" si="88"/>
        <v/>
      </c>
      <c r="B1875" s="6"/>
      <c r="C1875" s="5" t="str">
        <f>IFERROR(VLOOKUP(B1875,Lists!$A$2:$B$25,2,FALSE),"")</f>
        <v/>
      </c>
      <c r="D1875" s="7"/>
      <c r="E1875" s="6"/>
      <c r="F1875" s="6" t="str">
        <f t="shared" si="89"/>
        <v/>
      </c>
      <c r="G1875" s="6"/>
      <c r="H1875" s="6"/>
      <c r="I1875" s="6"/>
      <c r="J1875" s="7"/>
      <c r="K1875" s="5" t="str" cm="1">
        <f t="array" ref="K1875">IF(OR(A1875="",B1875="",D1875="",E1875=""),"",A1875&amp;"_"&amp;SUBSTITUTE(B1875," ","-")&amp;"_"&amp;D1875&amp;"_"&amp;SUBSTITUTE(SUBSTITUTE(E1875," ",""),"€","Euro")&amp;"_"&amp;IF(F1875="","Unknown",F1875)&amp;IF(F1875="Commemorative",IF(G1875="","","_"&amp;SUBSTITUTE(SUBSTITUTE(SUBSTITUTE(G1875," ","-"),"/","-"),CHAR(39),"")),"")&amp;IF(I1875="Duplicate","_Dub"&amp;IF(SUMPRODUCT(($B$2:B1875=B1875)*($D$2:D1875=D1875)*($E$2:E1875=E1875)*($F$2:F1875=F1875)*($G$2:G1875=G1875)*($I$2:I1875="Duplicate"))&lt;=1,"",SUMPRODUCT(($B$2:B1875=B1875)*($D$2:D1875=D1875)*($E$2:E1875=E1875)*($F$2:F1875=F1875)*($G$2:G1875=G1875)*($I$2:I1875="Duplicate"))-1),"")&amp;".jpeg")</f>
        <v/>
      </c>
      <c r="L1875" s="6"/>
      <c r="M1875" s="5" t="str">
        <f>IFERROR(VLOOKUP(E1875,Specifications!$A$2:$D$9,2,FALSE),"")</f>
        <v/>
      </c>
      <c r="N1875" s="5" t="str">
        <f>IFERROR(VLOOKUP(E1875,Specifications!$A$2:$D$9,3,FALSE),"")</f>
        <v/>
      </c>
      <c r="O1875" s="5" t="str">
        <f>IFERROR(VLOOKUP(E1875,Specifications!$A$2:$D$9,4,FALSE),"")</f>
        <v/>
      </c>
      <c r="P1875" s="8" t="str">
        <f t="shared" si="90"/>
        <v/>
      </c>
      <c r="Q1875" s="9"/>
    </row>
    <row r="1876" spans="1:17" ht="15">
      <c r="A1876" s="5" t="str">
        <f t="shared" si="88"/>
        <v/>
      </c>
      <c r="B1876" s="6"/>
      <c r="C1876" s="5" t="str">
        <f>IFERROR(VLOOKUP(B1876,Lists!$A$2:$B$25,2,FALSE),"")</f>
        <v/>
      </c>
      <c r="D1876" s="7"/>
      <c r="E1876" s="6"/>
      <c r="F1876" s="6" t="str">
        <f t="shared" si="89"/>
        <v/>
      </c>
      <c r="G1876" s="6"/>
      <c r="H1876" s="6"/>
      <c r="I1876" s="6"/>
      <c r="J1876" s="7"/>
      <c r="K1876" s="5" t="str" cm="1">
        <f t="array" ref="K1876">IF(OR(A1876="",B1876="",D1876="",E1876=""),"",A1876&amp;"_"&amp;SUBSTITUTE(B1876," ","-")&amp;"_"&amp;D1876&amp;"_"&amp;SUBSTITUTE(SUBSTITUTE(E1876," ",""),"€","Euro")&amp;"_"&amp;IF(F1876="","Unknown",F1876)&amp;IF(F1876="Commemorative",IF(G1876="","","_"&amp;SUBSTITUTE(SUBSTITUTE(SUBSTITUTE(G1876," ","-"),"/","-"),CHAR(39),"")),"")&amp;IF(I1876="Duplicate","_Dub"&amp;IF(SUMPRODUCT(($B$2:B1876=B1876)*($D$2:D1876=D1876)*($E$2:E1876=E1876)*($F$2:F1876=F1876)*($G$2:G1876=G1876)*($I$2:I1876="Duplicate"))&lt;=1,"",SUMPRODUCT(($B$2:B1876=B1876)*($D$2:D1876=D1876)*($E$2:E1876=E1876)*($F$2:F1876=F1876)*($G$2:G1876=G1876)*($I$2:I1876="Duplicate"))-1),"")&amp;".jpeg")</f>
        <v/>
      </c>
      <c r="L1876" s="6"/>
      <c r="M1876" s="5" t="str">
        <f>IFERROR(VLOOKUP(E1876,Specifications!$A$2:$D$9,2,FALSE),"")</f>
        <v/>
      </c>
      <c r="N1876" s="5" t="str">
        <f>IFERROR(VLOOKUP(E1876,Specifications!$A$2:$D$9,3,FALSE),"")</f>
        <v/>
      </c>
      <c r="O1876" s="5" t="str">
        <f>IFERROR(VLOOKUP(E1876,Specifications!$A$2:$D$9,4,FALSE),"")</f>
        <v/>
      </c>
      <c r="P1876" s="8" t="str">
        <f t="shared" si="90"/>
        <v/>
      </c>
      <c r="Q1876" s="9"/>
    </row>
    <row r="1877" spans="1:17" ht="15">
      <c r="A1877" s="5" t="str">
        <f t="shared" si="88"/>
        <v/>
      </c>
      <c r="B1877" s="6"/>
      <c r="C1877" s="5" t="str">
        <f>IFERROR(VLOOKUP(B1877,Lists!$A$2:$B$25,2,FALSE),"")</f>
        <v/>
      </c>
      <c r="D1877" s="7"/>
      <c r="E1877" s="6"/>
      <c r="F1877" s="6" t="str">
        <f t="shared" si="89"/>
        <v/>
      </c>
      <c r="G1877" s="6"/>
      <c r="H1877" s="6"/>
      <c r="I1877" s="6"/>
      <c r="J1877" s="7"/>
      <c r="K1877" s="5" t="str" cm="1">
        <f t="array" ref="K1877">IF(OR(A1877="",B1877="",D1877="",E1877=""),"",A1877&amp;"_"&amp;SUBSTITUTE(B1877," ","-")&amp;"_"&amp;D1877&amp;"_"&amp;SUBSTITUTE(SUBSTITUTE(E1877," ",""),"€","Euro")&amp;"_"&amp;IF(F1877="","Unknown",F1877)&amp;IF(F1877="Commemorative",IF(G1877="","","_"&amp;SUBSTITUTE(SUBSTITUTE(SUBSTITUTE(G1877," ","-"),"/","-"),CHAR(39),"")),"")&amp;IF(I1877="Duplicate","_Dub"&amp;IF(SUMPRODUCT(($B$2:B1877=B1877)*($D$2:D1877=D1877)*($E$2:E1877=E1877)*($F$2:F1877=F1877)*($G$2:G1877=G1877)*($I$2:I1877="Duplicate"))&lt;=1,"",SUMPRODUCT(($B$2:B1877=B1877)*($D$2:D1877=D1877)*($E$2:E1877=E1877)*($F$2:F1877=F1877)*($G$2:G1877=G1877)*($I$2:I1877="Duplicate"))-1),"")&amp;".jpeg")</f>
        <v/>
      </c>
      <c r="L1877" s="6"/>
      <c r="M1877" s="5" t="str">
        <f>IFERROR(VLOOKUP(E1877,Specifications!$A$2:$D$9,2,FALSE),"")</f>
        <v/>
      </c>
      <c r="N1877" s="5" t="str">
        <f>IFERROR(VLOOKUP(E1877,Specifications!$A$2:$D$9,3,FALSE),"")</f>
        <v/>
      </c>
      <c r="O1877" s="5" t="str">
        <f>IFERROR(VLOOKUP(E1877,Specifications!$A$2:$D$9,4,FALSE),"")</f>
        <v/>
      </c>
      <c r="P1877" s="8" t="str">
        <f t="shared" si="90"/>
        <v/>
      </c>
      <c r="Q1877" s="9"/>
    </row>
    <row r="1878" spans="1:17" ht="15">
      <c r="A1878" s="5" t="str">
        <f t="shared" si="88"/>
        <v/>
      </c>
      <c r="B1878" s="6"/>
      <c r="C1878" s="5" t="str">
        <f>IFERROR(VLOOKUP(B1878,Lists!$A$2:$B$25,2,FALSE),"")</f>
        <v/>
      </c>
      <c r="D1878" s="7"/>
      <c r="E1878" s="6"/>
      <c r="F1878" s="6" t="str">
        <f t="shared" si="89"/>
        <v/>
      </c>
      <c r="G1878" s="6"/>
      <c r="H1878" s="6"/>
      <c r="I1878" s="6"/>
      <c r="J1878" s="7"/>
      <c r="K1878" s="5" t="str" cm="1">
        <f t="array" ref="K1878">IF(OR(A1878="",B1878="",D1878="",E1878=""),"",A1878&amp;"_"&amp;SUBSTITUTE(B1878," ","-")&amp;"_"&amp;D1878&amp;"_"&amp;SUBSTITUTE(SUBSTITUTE(E1878," ",""),"€","Euro")&amp;"_"&amp;IF(F1878="","Unknown",F1878)&amp;IF(F1878="Commemorative",IF(G1878="","","_"&amp;SUBSTITUTE(SUBSTITUTE(SUBSTITUTE(G1878," ","-"),"/","-"),CHAR(39),"")),"")&amp;IF(I1878="Duplicate","_Dub"&amp;IF(SUMPRODUCT(($B$2:B1878=B1878)*($D$2:D1878=D1878)*($E$2:E1878=E1878)*($F$2:F1878=F1878)*($G$2:G1878=G1878)*($I$2:I1878="Duplicate"))&lt;=1,"",SUMPRODUCT(($B$2:B1878=B1878)*($D$2:D1878=D1878)*($E$2:E1878=E1878)*($F$2:F1878=F1878)*($G$2:G1878=G1878)*($I$2:I1878="Duplicate"))-1),"")&amp;".jpeg")</f>
        <v/>
      </c>
      <c r="L1878" s="6"/>
      <c r="M1878" s="5" t="str">
        <f>IFERROR(VLOOKUP(E1878,Specifications!$A$2:$D$9,2,FALSE),"")</f>
        <v/>
      </c>
      <c r="N1878" s="5" t="str">
        <f>IFERROR(VLOOKUP(E1878,Specifications!$A$2:$D$9,3,FALSE),"")</f>
        <v/>
      </c>
      <c r="O1878" s="5" t="str">
        <f>IFERROR(VLOOKUP(E1878,Specifications!$A$2:$D$9,4,FALSE),"")</f>
        <v/>
      </c>
      <c r="P1878" s="8" t="str">
        <f t="shared" si="90"/>
        <v/>
      </c>
      <c r="Q1878" s="9"/>
    </row>
    <row r="1879" spans="1:17" ht="15">
      <c r="A1879" s="5" t="str">
        <f t="shared" si="88"/>
        <v/>
      </c>
      <c r="B1879" s="6"/>
      <c r="C1879" s="5" t="str">
        <f>IFERROR(VLOOKUP(B1879,Lists!$A$2:$B$25,2,FALSE),"")</f>
        <v/>
      </c>
      <c r="D1879" s="7"/>
      <c r="E1879" s="6"/>
      <c r="F1879" s="6" t="str">
        <f t="shared" si="89"/>
        <v/>
      </c>
      <c r="G1879" s="6"/>
      <c r="H1879" s="6"/>
      <c r="I1879" s="6"/>
      <c r="J1879" s="7"/>
      <c r="K1879" s="5" t="str" cm="1">
        <f t="array" ref="K1879">IF(OR(A1879="",B1879="",D1879="",E1879=""),"",A1879&amp;"_"&amp;SUBSTITUTE(B1879," ","-")&amp;"_"&amp;D1879&amp;"_"&amp;SUBSTITUTE(SUBSTITUTE(E1879," ",""),"€","Euro")&amp;"_"&amp;IF(F1879="","Unknown",F1879)&amp;IF(F1879="Commemorative",IF(G1879="","","_"&amp;SUBSTITUTE(SUBSTITUTE(SUBSTITUTE(G1879," ","-"),"/","-"),CHAR(39),"")),"")&amp;IF(I1879="Duplicate","_Dub"&amp;IF(SUMPRODUCT(($B$2:B1879=B1879)*($D$2:D1879=D1879)*($E$2:E1879=E1879)*($F$2:F1879=F1879)*($G$2:G1879=G1879)*($I$2:I1879="Duplicate"))&lt;=1,"",SUMPRODUCT(($B$2:B1879=B1879)*($D$2:D1879=D1879)*($E$2:E1879=E1879)*($F$2:F1879=F1879)*($G$2:G1879=G1879)*($I$2:I1879="Duplicate"))-1),"")&amp;".jpeg")</f>
        <v/>
      </c>
      <c r="L1879" s="6"/>
      <c r="M1879" s="5" t="str">
        <f>IFERROR(VLOOKUP(E1879,Specifications!$A$2:$D$9,2,FALSE),"")</f>
        <v/>
      </c>
      <c r="N1879" s="5" t="str">
        <f>IFERROR(VLOOKUP(E1879,Specifications!$A$2:$D$9,3,FALSE),"")</f>
        <v/>
      </c>
      <c r="O1879" s="5" t="str">
        <f>IFERROR(VLOOKUP(E1879,Specifications!$A$2:$D$9,4,FALSE),"")</f>
        <v/>
      </c>
      <c r="P1879" s="8" t="str">
        <f t="shared" si="90"/>
        <v/>
      </c>
      <c r="Q1879" s="9"/>
    </row>
    <row r="1880" spans="1:17" ht="15">
      <c r="A1880" s="5" t="str">
        <f t="shared" si="88"/>
        <v/>
      </c>
      <c r="B1880" s="6"/>
      <c r="C1880" s="5" t="str">
        <f>IFERROR(VLOOKUP(B1880,Lists!$A$2:$B$25,2,FALSE),"")</f>
        <v/>
      </c>
      <c r="D1880" s="7"/>
      <c r="E1880" s="6"/>
      <c r="F1880" s="6" t="str">
        <f t="shared" si="89"/>
        <v/>
      </c>
      <c r="G1880" s="6"/>
      <c r="H1880" s="6"/>
      <c r="I1880" s="6"/>
      <c r="J1880" s="7"/>
      <c r="K1880" s="5" t="str" cm="1">
        <f t="array" ref="K1880">IF(OR(A1880="",B1880="",D1880="",E1880=""),"",A1880&amp;"_"&amp;SUBSTITUTE(B1880," ","-")&amp;"_"&amp;D1880&amp;"_"&amp;SUBSTITUTE(SUBSTITUTE(E1880," ",""),"€","Euro")&amp;"_"&amp;IF(F1880="","Unknown",F1880)&amp;IF(F1880="Commemorative",IF(G1880="","","_"&amp;SUBSTITUTE(SUBSTITUTE(SUBSTITUTE(G1880," ","-"),"/","-"),CHAR(39),"")),"")&amp;IF(I1880="Duplicate","_Dub"&amp;IF(SUMPRODUCT(($B$2:B1880=B1880)*($D$2:D1880=D1880)*($E$2:E1880=E1880)*($F$2:F1880=F1880)*($G$2:G1880=G1880)*($I$2:I1880="Duplicate"))&lt;=1,"",SUMPRODUCT(($B$2:B1880=B1880)*($D$2:D1880=D1880)*($E$2:E1880=E1880)*($F$2:F1880=F1880)*($G$2:G1880=G1880)*($I$2:I1880="Duplicate"))-1),"")&amp;".jpeg")</f>
        <v/>
      </c>
      <c r="L1880" s="6"/>
      <c r="M1880" s="5" t="str">
        <f>IFERROR(VLOOKUP(E1880,Specifications!$A$2:$D$9,2,FALSE),"")</f>
        <v/>
      </c>
      <c r="N1880" s="5" t="str">
        <f>IFERROR(VLOOKUP(E1880,Specifications!$A$2:$D$9,3,FALSE),"")</f>
        <v/>
      </c>
      <c r="O1880" s="5" t="str">
        <f>IFERROR(VLOOKUP(E1880,Specifications!$A$2:$D$9,4,FALSE),"")</f>
        <v/>
      </c>
      <c r="P1880" s="8" t="str">
        <f t="shared" si="90"/>
        <v/>
      </c>
      <c r="Q1880" s="9"/>
    </row>
    <row r="1881" spans="1:17" ht="15">
      <c r="A1881" s="5" t="str">
        <f t="shared" si="88"/>
        <v/>
      </c>
      <c r="B1881" s="6"/>
      <c r="C1881" s="5" t="str">
        <f>IFERROR(VLOOKUP(B1881,Lists!$A$2:$B$25,2,FALSE),"")</f>
        <v/>
      </c>
      <c r="D1881" s="7"/>
      <c r="E1881" s="6"/>
      <c r="F1881" s="6" t="str">
        <f t="shared" si="89"/>
        <v/>
      </c>
      <c r="G1881" s="6"/>
      <c r="H1881" s="6"/>
      <c r="I1881" s="6"/>
      <c r="J1881" s="7"/>
      <c r="K1881" s="5" t="str" cm="1">
        <f t="array" ref="K1881">IF(OR(A1881="",B1881="",D1881="",E1881=""),"",A1881&amp;"_"&amp;SUBSTITUTE(B1881," ","-")&amp;"_"&amp;D1881&amp;"_"&amp;SUBSTITUTE(SUBSTITUTE(E1881," ",""),"€","Euro")&amp;"_"&amp;IF(F1881="","Unknown",F1881)&amp;IF(F1881="Commemorative",IF(G1881="","","_"&amp;SUBSTITUTE(SUBSTITUTE(SUBSTITUTE(G1881," ","-"),"/","-"),CHAR(39),"")),"")&amp;IF(I1881="Duplicate","_Dub"&amp;IF(SUMPRODUCT(($B$2:B1881=B1881)*($D$2:D1881=D1881)*($E$2:E1881=E1881)*($F$2:F1881=F1881)*($G$2:G1881=G1881)*($I$2:I1881="Duplicate"))&lt;=1,"",SUMPRODUCT(($B$2:B1881=B1881)*($D$2:D1881=D1881)*($E$2:E1881=E1881)*($F$2:F1881=F1881)*($G$2:G1881=G1881)*($I$2:I1881="Duplicate"))-1),"")&amp;".jpeg")</f>
        <v/>
      </c>
      <c r="L1881" s="6"/>
      <c r="M1881" s="5" t="str">
        <f>IFERROR(VLOOKUP(E1881,Specifications!$A$2:$D$9,2,FALSE),"")</f>
        <v/>
      </c>
      <c r="N1881" s="5" t="str">
        <f>IFERROR(VLOOKUP(E1881,Specifications!$A$2:$D$9,3,FALSE),"")</f>
        <v/>
      </c>
      <c r="O1881" s="5" t="str">
        <f>IFERROR(VLOOKUP(E1881,Specifications!$A$2:$D$9,4,FALSE),"")</f>
        <v/>
      </c>
      <c r="P1881" s="8" t="str">
        <f t="shared" si="90"/>
        <v/>
      </c>
      <c r="Q1881" s="9"/>
    </row>
    <row r="1882" spans="1:17" ht="15">
      <c r="A1882" s="5" t="str">
        <f t="shared" si="88"/>
        <v/>
      </c>
      <c r="B1882" s="6"/>
      <c r="C1882" s="5" t="str">
        <f>IFERROR(VLOOKUP(B1882,Lists!$A$2:$B$25,2,FALSE),"")</f>
        <v/>
      </c>
      <c r="D1882" s="7"/>
      <c r="E1882" s="6"/>
      <c r="F1882" s="6" t="str">
        <f t="shared" si="89"/>
        <v/>
      </c>
      <c r="G1882" s="6"/>
      <c r="H1882" s="6"/>
      <c r="I1882" s="6"/>
      <c r="J1882" s="7"/>
      <c r="K1882" s="5" t="str" cm="1">
        <f t="array" ref="K1882">IF(OR(A1882="",B1882="",D1882="",E1882=""),"",A1882&amp;"_"&amp;SUBSTITUTE(B1882," ","-")&amp;"_"&amp;D1882&amp;"_"&amp;SUBSTITUTE(SUBSTITUTE(E1882," ",""),"€","Euro")&amp;"_"&amp;IF(F1882="","Unknown",F1882)&amp;IF(F1882="Commemorative",IF(G1882="","","_"&amp;SUBSTITUTE(SUBSTITUTE(SUBSTITUTE(G1882," ","-"),"/","-"),CHAR(39),"")),"")&amp;IF(I1882="Duplicate","_Dub"&amp;IF(SUMPRODUCT(($B$2:B1882=B1882)*($D$2:D1882=D1882)*($E$2:E1882=E1882)*($F$2:F1882=F1882)*($G$2:G1882=G1882)*($I$2:I1882="Duplicate"))&lt;=1,"",SUMPRODUCT(($B$2:B1882=B1882)*($D$2:D1882=D1882)*($E$2:E1882=E1882)*($F$2:F1882=F1882)*($G$2:G1882=G1882)*($I$2:I1882="Duplicate"))-1),"")&amp;".jpeg")</f>
        <v/>
      </c>
      <c r="L1882" s="6"/>
      <c r="M1882" s="5" t="str">
        <f>IFERROR(VLOOKUP(E1882,Specifications!$A$2:$D$9,2,FALSE),"")</f>
        <v/>
      </c>
      <c r="N1882" s="5" t="str">
        <f>IFERROR(VLOOKUP(E1882,Specifications!$A$2:$D$9,3,FALSE),"")</f>
        <v/>
      </c>
      <c r="O1882" s="5" t="str">
        <f>IFERROR(VLOOKUP(E1882,Specifications!$A$2:$D$9,4,FALSE),"")</f>
        <v/>
      </c>
      <c r="P1882" s="8" t="str">
        <f t="shared" si="90"/>
        <v/>
      </c>
      <c r="Q1882" s="9"/>
    </row>
    <row r="1883" spans="1:17" ht="15">
      <c r="A1883" s="5" t="str">
        <f t="shared" si="88"/>
        <v/>
      </c>
      <c r="B1883" s="6"/>
      <c r="C1883" s="5" t="str">
        <f>IFERROR(VLOOKUP(B1883,Lists!$A$2:$B$25,2,FALSE),"")</f>
        <v/>
      </c>
      <c r="D1883" s="7"/>
      <c r="E1883" s="6"/>
      <c r="F1883" s="6" t="str">
        <f t="shared" si="89"/>
        <v/>
      </c>
      <c r="G1883" s="6"/>
      <c r="H1883" s="6"/>
      <c r="I1883" s="6"/>
      <c r="J1883" s="7"/>
      <c r="K1883" s="5" t="str" cm="1">
        <f t="array" ref="K1883">IF(OR(A1883="",B1883="",D1883="",E1883=""),"",A1883&amp;"_"&amp;SUBSTITUTE(B1883," ","-")&amp;"_"&amp;D1883&amp;"_"&amp;SUBSTITUTE(SUBSTITUTE(E1883," ",""),"€","Euro")&amp;"_"&amp;IF(F1883="","Unknown",F1883)&amp;IF(F1883="Commemorative",IF(G1883="","","_"&amp;SUBSTITUTE(SUBSTITUTE(SUBSTITUTE(G1883," ","-"),"/","-"),CHAR(39),"")),"")&amp;IF(I1883="Duplicate","_Dub"&amp;IF(SUMPRODUCT(($B$2:B1883=B1883)*($D$2:D1883=D1883)*($E$2:E1883=E1883)*($F$2:F1883=F1883)*($G$2:G1883=G1883)*($I$2:I1883="Duplicate"))&lt;=1,"",SUMPRODUCT(($B$2:B1883=B1883)*($D$2:D1883=D1883)*($E$2:E1883=E1883)*($F$2:F1883=F1883)*($G$2:G1883=G1883)*($I$2:I1883="Duplicate"))-1),"")&amp;".jpeg")</f>
        <v/>
      </c>
      <c r="L1883" s="6"/>
      <c r="M1883" s="5" t="str">
        <f>IFERROR(VLOOKUP(E1883,Specifications!$A$2:$D$9,2,FALSE),"")</f>
        <v/>
      </c>
      <c r="N1883" s="5" t="str">
        <f>IFERROR(VLOOKUP(E1883,Specifications!$A$2:$D$9,3,FALSE),"")</f>
        <v/>
      </c>
      <c r="O1883" s="5" t="str">
        <f>IFERROR(VLOOKUP(E1883,Specifications!$A$2:$D$9,4,FALSE),"")</f>
        <v/>
      </c>
      <c r="P1883" s="8" t="str">
        <f t="shared" si="90"/>
        <v/>
      </c>
      <c r="Q1883" s="9"/>
    </row>
    <row r="1884" spans="1:17" ht="15">
      <c r="A1884" s="5" t="str">
        <f t="shared" si="88"/>
        <v/>
      </c>
      <c r="B1884" s="6"/>
      <c r="C1884" s="5" t="str">
        <f>IFERROR(VLOOKUP(B1884,Lists!$A$2:$B$25,2,FALSE),"")</f>
        <v/>
      </c>
      <c r="D1884" s="7"/>
      <c r="E1884" s="6"/>
      <c r="F1884" s="6" t="str">
        <f t="shared" si="89"/>
        <v/>
      </c>
      <c r="G1884" s="6"/>
      <c r="H1884" s="6"/>
      <c r="I1884" s="6"/>
      <c r="J1884" s="7"/>
      <c r="K1884" s="5" t="str" cm="1">
        <f t="array" ref="K1884">IF(OR(A1884="",B1884="",D1884="",E1884=""),"",A1884&amp;"_"&amp;SUBSTITUTE(B1884," ","-")&amp;"_"&amp;D1884&amp;"_"&amp;SUBSTITUTE(SUBSTITUTE(E1884," ",""),"€","Euro")&amp;"_"&amp;IF(F1884="","Unknown",F1884)&amp;IF(F1884="Commemorative",IF(G1884="","","_"&amp;SUBSTITUTE(SUBSTITUTE(SUBSTITUTE(G1884," ","-"),"/","-"),CHAR(39),"")),"")&amp;IF(I1884="Duplicate","_Dub"&amp;IF(SUMPRODUCT(($B$2:B1884=B1884)*($D$2:D1884=D1884)*($E$2:E1884=E1884)*($F$2:F1884=F1884)*($G$2:G1884=G1884)*($I$2:I1884="Duplicate"))&lt;=1,"",SUMPRODUCT(($B$2:B1884=B1884)*($D$2:D1884=D1884)*($E$2:E1884=E1884)*($F$2:F1884=F1884)*($G$2:G1884=G1884)*($I$2:I1884="Duplicate"))-1),"")&amp;".jpeg")</f>
        <v/>
      </c>
      <c r="L1884" s="6"/>
      <c r="M1884" s="5" t="str">
        <f>IFERROR(VLOOKUP(E1884,Specifications!$A$2:$D$9,2,FALSE),"")</f>
        <v/>
      </c>
      <c r="N1884" s="5" t="str">
        <f>IFERROR(VLOOKUP(E1884,Specifications!$A$2:$D$9,3,FALSE),"")</f>
        <v/>
      </c>
      <c r="O1884" s="5" t="str">
        <f>IFERROR(VLOOKUP(E1884,Specifications!$A$2:$D$9,4,FALSE),"")</f>
        <v/>
      </c>
      <c r="P1884" s="8" t="str">
        <f t="shared" si="90"/>
        <v/>
      </c>
      <c r="Q1884" s="9"/>
    </row>
    <row r="1885" spans="1:17" ht="15">
      <c r="A1885" s="5" t="str">
        <f t="shared" si="88"/>
        <v/>
      </c>
      <c r="B1885" s="6"/>
      <c r="C1885" s="5" t="str">
        <f>IFERROR(VLOOKUP(B1885,Lists!$A$2:$B$25,2,FALSE),"")</f>
        <v/>
      </c>
      <c r="D1885" s="7"/>
      <c r="E1885" s="6"/>
      <c r="F1885" s="6" t="str">
        <f t="shared" si="89"/>
        <v/>
      </c>
      <c r="G1885" s="6"/>
      <c r="H1885" s="6"/>
      <c r="I1885" s="6"/>
      <c r="J1885" s="7"/>
      <c r="K1885" s="5" t="str" cm="1">
        <f t="array" ref="K1885">IF(OR(A1885="",B1885="",D1885="",E1885=""),"",A1885&amp;"_"&amp;SUBSTITUTE(B1885," ","-")&amp;"_"&amp;D1885&amp;"_"&amp;SUBSTITUTE(SUBSTITUTE(E1885," ",""),"€","Euro")&amp;"_"&amp;IF(F1885="","Unknown",F1885)&amp;IF(F1885="Commemorative",IF(G1885="","","_"&amp;SUBSTITUTE(SUBSTITUTE(SUBSTITUTE(G1885," ","-"),"/","-"),CHAR(39),"")),"")&amp;IF(I1885="Duplicate","_Dub"&amp;IF(SUMPRODUCT(($B$2:B1885=B1885)*($D$2:D1885=D1885)*($E$2:E1885=E1885)*($F$2:F1885=F1885)*($G$2:G1885=G1885)*($I$2:I1885="Duplicate"))&lt;=1,"",SUMPRODUCT(($B$2:B1885=B1885)*($D$2:D1885=D1885)*($E$2:E1885=E1885)*($F$2:F1885=F1885)*($G$2:G1885=G1885)*($I$2:I1885="Duplicate"))-1),"")&amp;".jpeg")</f>
        <v/>
      </c>
      <c r="L1885" s="6"/>
      <c r="M1885" s="5" t="str">
        <f>IFERROR(VLOOKUP(E1885,Specifications!$A$2:$D$9,2,FALSE),"")</f>
        <v/>
      </c>
      <c r="N1885" s="5" t="str">
        <f>IFERROR(VLOOKUP(E1885,Specifications!$A$2:$D$9,3,FALSE),"")</f>
        <v/>
      </c>
      <c r="O1885" s="5" t="str">
        <f>IFERROR(VLOOKUP(E1885,Specifications!$A$2:$D$9,4,FALSE),"")</f>
        <v/>
      </c>
      <c r="P1885" s="8" t="str">
        <f t="shared" si="90"/>
        <v/>
      </c>
      <c r="Q1885" s="9"/>
    </row>
    <row r="1886" spans="1:17" ht="15">
      <c r="A1886" s="5" t="str">
        <f t="shared" si="88"/>
        <v/>
      </c>
      <c r="B1886" s="6"/>
      <c r="C1886" s="5" t="str">
        <f>IFERROR(VLOOKUP(B1886,Lists!$A$2:$B$25,2,FALSE),"")</f>
        <v/>
      </c>
      <c r="D1886" s="7"/>
      <c r="E1886" s="6"/>
      <c r="F1886" s="6" t="str">
        <f t="shared" si="89"/>
        <v/>
      </c>
      <c r="G1886" s="6"/>
      <c r="H1886" s="6"/>
      <c r="I1886" s="6"/>
      <c r="J1886" s="7"/>
      <c r="K1886" s="5" t="str" cm="1">
        <f t="array" ref="K1886">IF(OR(A1886="",B1886="",D1886="",E1886=""),"",A1886&amp;"_"&amp;SUBSTITUTE(B1886," ","-")&amp;"_"&amp;D1886&amp;"_"&amp;SUBSTITUTE(SUBSTITUTE(E1886," ",""),"€","Euro")&amp;"_"&amp;IF(F1886="","Unknown",F1886)&amp;IF(F1886="Commemorative",IF(G1886="","","_"&amp;SUBSTITUTE(SUBSTITUTE(SUBSTITUTE(G1886," ","-"),"/","-"),CHAR(39),"")),"")&amp;IF(I1886="Duplicate","_Dub"&amp;IF(SUMPRODUCT(($B$2:B1886=B1886)*($D$2:D1886=D1886)*($E$2:E1886=E1886)*($F$2:F1886=F1886)*($G$2:G1886=G1886)*($I$2:I1886="Duplicate"))&lt;=1,"",SUMPRODUCT(($B$2:B1886=B1886)*($D$2:D1886=D1886)*($E$2:E1886=E1886)*($F$2:F1886=F1886)*($G$2:G1886=G1886)*($I$2:I1886="Duplicate"))-1),"")&amp;".jpeg")</f>
        <v/>
      </c>
      <c r="L1886" s="6"/>
      <c r="M1886" s="5" t="str">
        <f>IFERROR(VLOOKUP(E1886,Specifications!$A$2:$D$9,2,FALSE),"")</f>
        <v/>
      </c>
      <c r="N1886" s="5" t="str">
        <f>IFERROR(VLOOKUP(E1886,Specifications!$A$2:$D$9,3,FALSE),"")</f>
        <v/>
      </c>
      <c r="O1886" s="5" t="str">
        <f>IFERROR(VLOOKUP(E1886,Specifications!$A$2:$D$9,4,FALSE),"")</f>
        <v/>
      </c>
      <c r="P1886" s="8" t="str">
        <f t="shared" si="90"/>
        <v/>
      </c>
      <c r="Q1886" s="9"/>
    </row>
    <row r="1887" spans="1:17" ht="15">
      <c r="A1887" s="5" t="str">
        <f t="shared" si="88"/>
        <v/>
      </c>
      <c r="B1887" s="6"/>
      <c r="C1887" s="5" t="str">
        <f>IFERROR(VLOOKUP(B1887,Lists!$A$2:$B$25,2,FALSE),"")</f>
        <v/>
      </c>
      <c r="D1887" s="7"/>
      <c r="E1887" s="6"/>
      <c r="F1887" s="6" t="str">
        <f t="shared" si="89"/>
        <v/>
      </c>
      <c r="G1887" s="6"/>
      <c r="H1887" s="6"/>
      <c r="I1887" s="6"/>
      <c r="J1887" s="7"/>
      <c r="K1887" s="5" t="str" cm="1">
        <f t="array" ref="K1887">IF(OR(A1887="",B1887="",D1887="",E1887=""),"",A1887&amp;"_"&amp;SUBSTITUTE(B1887," ","-")&amp;"_"&amp;D1887&amp;"_"&amp;SUBSTITUTE(SUBSTITUTE(E1887," ",""),"€","Euro")&amp;"_"&amp;IF(F1887="","Unknown",F1887)&amp;IF(F1887="Commemorative",IF(G1887="","","_"&amp;SUBSTITUTE(SUBSTITUTE(SUBSTITUTE(G1887," ","-"),"/","-"),CHAR(39),"")),"")&amp;IF(I1887="Duplicate","_Dub"&amp;IF(SUMPRODUCT(($B$2:B1887=B1887)*($D$2:D1887=D1887)*($E$2:E1887=E1887)*($F$2:F1887=F1887)*($G$2:G1887=G1887)*($I$2:I1887="Duplicate"))&lt;=1,"",SUMPRODUCT(($B$2:B1887=B1887)*($D$2:D1887=D1887)*($E$2:E1887=E1887)*($F$2:F1887=F1887)*($G$2:G1887=G1887)*($I$2:I1887="Duplicate"))-1),"")&amp;".jpeg")</f>
        <v/>
      </c>
      <c r="L1887" s="6"/>
      <c r="M1887" s="5" t="str">
        <f>IFERROR(VLOOKUP(E1887,Specifications!$A$2:$D$9,2,FALSE),"")</f>
        <v/>
      </c>
      <c r="N1887" s="5" t="str">
        <f>IFERROR(VLOOKUP(E1887,Specifications!$A$2:$D$9,3,FALSE),"")</f>
        <v/>
      </c>
      <c r="O1887" s="5" t="str">
        <f>IFERROR(VLOOKUP(E1887,Specifications!$A$2:$D$9,4,FALSE),"")</f>
        <v/>
      </c>
      <c r="P1887" s="8" t="str">
        <f t="shared" si="90"/>
        <v/>
      </c>
      <c r="Q1887" s="9"/>
    </row>
    <row r="1888" spans="1:17" ht="15">
      <c r="A1888" s="5" t="str">
        <f t="shared" si="88"/>
        <v/>
      </c>
      <c r="B1888" s="6"/>
      <c r="C1888" s="5" t="str">
        <f>IFERROR(VLOOKUP(B1888,Lists!$A$2:$B$25,2,FALSE),"")</f>
        <v/>
      </c>
      <c r="D1888" s="7"/>
      <c r="E1888" s="6"/>
      <c r="F1888" s="6" t="str">
        <f t="shared" si="89"/>
        <v/>
      </c>
      <c r="G1888" s="6"/>
      <c r="H1888" s="6"/>
      <c r="I1888" s="6"/>
      <c r="J1888" s="7"/>
      <c r="K1888" s="5" t="str" cm="1">
        <f t="array" ref="K1888">IF(OR(A1888="",B1888="",D1888="",E1888=""),"",A1888&amp;"_"&amp;SUBSTITUTE(B1888," ","-")&amp;"_"&amp;D1888&amp;"_"&amp;SUBSTITUTE(SUBSTITUTE(E1888," ",""),"€","Euro")&amp;"_"&amp;IF(F1888="","Unknown",F1888)&amp;IF(F1888="Commemorative",IF(G1888="","","_"&amp;SUBSTITUTE(SUBSTITUTE(SUBSTITUTE(G1888," ","-"),"/","-"),CHAR(39),"")),"")&amp;IF(I1888="Duplicate","_Dub"&amp;IF(SUMPRODUCT(($B$2:B1888=B1888)*($D$2:D1888=D1888)*($E$2:E1888=E1888)*($F$2:F1888=F1888)*($G$2:G1888=G1888)*($I$2:I1888="Duplicate"))&lt;=1,"",SUMPRODUCT(($B$2:B1888=B1888)*($D$2:D1888=D1888)*($E$2:E1888=E1888)*($F$2:F1888=F1888)*($G$2:G1888=G1888)*($I$2:I1888="Duplicate"))-1),"")&amp;".jpeg")</f>
        <v/>
      </c>
      <c r="L1888" s="6"/>
      <c r="M1888" s="5" t="str">
        <f>IFERROR(VLOOKUP(E1888,Specifications!$A$2:$D$9,2,FALSE),"")</f>
        <v/>
      </c>
      <c r="N1888" s="5" t="str">
        <f>IFERROR(VLOOKUP(E1888,Specifications!$A$2:$D$9,3,FALSE),"")</f>
        <v/>
      </c>
      <c r="O1888" s="5" t="str">
        <f>IFERROR(VLOOKUP(E1888,Specifications!$A$2:$D$9,4,FALSE),"")</f>
        <v/>
      </c>
      <c r="P1888" s="8" t="str">
        <f t="shared" si="90"/>
        <v/>
      </c>
      <c r="Q1888" s="9"/>
    </row>
    <row r="1889" spans="1:17" ht="15">
      <c r="A1889" s="5" t="str">
        <f t="shared" si="88"/>
        <v/>
      </c>
      <c r="B1889" s="6"/>
      <c r="C1889" s="5" t="str">
        <f>IFERROR(VLOOKUP(B1889,Lists!$A$2:$B$25,2,FALSE),"")</f>
        <v/>
      </c>
      <c r="D1889" s="7"/>
      <c r="E1889" s="6"/>
      <c r="F1889" s="6" t="str">
        <f t="shared" si="89"/>
        <v/>
      </c>
      <c r="G1889" s="6"/>
      <c r="H1889" s="6"/>
      <c r="I1889" s="6"/>
      <c r="J1889" s="7"/>
      <c r="K1889" s="5" t="str" cm="1">
        <f t="array" ref="K1889">IF(OR(A1889="",B1889="",D1889="",E1889=""),"",A1889&amp;"_"&amp;SUBSTITUTE(B1889," ","-")&amp;"_"&amp;D1889&amp;"_"&amp;SUBSTITUTE(SUBSTITUTE(E1889," ",""),"€","Euro")&amp;"_"&amp;IF(F1889="","Unknown",F1889)&amp;IF(F1889="Commemorative",IF(G1889="","","_"&amp;SUBSTITUTE(SUBSTITUTE(SUBSTITUTE(G1889," ","-"),"/","-"),CHAR(39),"")),"")&amp;IF(I1889="Duplicate","_Dub"&amp;IF(SUMPRODUCT(($B$2:B1889=B1889)*($D$2:D1889=D1889)*($E$2:E1889=E1889)*($F$2:F1889=F1889)*($G$2:G1889=G1889)*($I$2:I1889="Duplicate"))&lt;=1,"",SUMPRODUCT(($B$2:B1889=B1889)*($D$2:D1889=D1889)*($E$2:E1889=E1889)*($F$2:F1889=F1889)*($G$2:G1889=G1889)*($I$2:I1889="Duplicate"))-1),"")&amp;".jpeg")</f>
        <v/>
      </c>
      <c r="L1889" s="6"/>
      <c r="M1889" s="5" t="str">
        <f>IFERROR(VLOOKUP(E1889,Specifications!$A$2:$D$9,2,FALSE),"")</f>
        <v/>
      </c>
      <c r="N1889" s="5" t="str">
        <f>IFERROR(VLOOKUP(E1889,Specifications!$A$2:$D$9,3,FALSE),"")</f>
        <v/>
      </c>
      <c r="O1889" s="5" t="str">
        <f>IFERROR(VLOOKUP(E1889,Specifications!$A$2:$D$9,4,FALSE),"")</f>
        <v/>
      </c>
      <c r="P1889" s="8" t="str">
        <f t="shared" si="90"/>
        <v/>
      </c>
      <c r="Q1889" s="9"/>
    </row>
    <row r="1890" spans="1:17" ht="15">
      <c r="A1890" s="5" t="str">
        <f t="shared" si="88"/>
        <v/>
      </c>
      <c r="B1890" s="6"/>
      <c r="C1890" s="5" t="str">
        <f>IFERROR(VLOOKUP(B1890,Lists!$A$2:$B$25,2,FALSE),"")</f>
        <v/>
      </c>
      <c r="D1890" s="7"/>
      <c r="E1890" s="6"/>
      <c r="F1890" s="6" t="str">
        <f t="shared" si="89"/>
        <v/>
      </c>
      <c r="G1890" s="6"/>
      <c r="H1890" s="6"/>
      <c r="I1890" s="6"/>
      <c r="J1890" s="7"/>
      <c r="K1890" s="5" t="str" cm="1">
        <f t="array" ref="K1890">IF(OR(A1890="",B1890="",D1890="",E1890=""),"",A1890&amp;"_"&amp;SUBSTITUTE(B1890," ","-")&amp;"_"&amp;D1890&amp;"_"&amp;SUBSTITUTE(SUBSTITUTE(E1890," ",""),"€","Euro")&amp;"_"&amp;IF(F1890="","Unknown",F1890)&amp;IF(F1890="Commemorative",IF(G1890="","","_"&amp;SUBSTITUTE(SUBSTITUTE(SUBSTITUTE(G1890," ","-"),"/","-"),CHAR(39),"")),"")&amp;IF(I1890="Duplicate","_Dub"&amp;IF(SUMPRODUCT(($B$2:B1890=B1890)*($D$2:D1890=D1890)*($E$2:E1890=E1890)*($F$2:F1890=F1890)*($G$2:G1890=G1890)*($I$2:I1890="Duplicate"))&lt;=1,"",SUMPRODUCT(($B$2:B1890=B1890)*($D$2:D1890=D1890)*($E$2:E1890=E1890)*($F$2:F1890=F1890)*($G$2:G1890=G1890)*($I$2:I1890="Duplicate"))-1),"")&amp;".jpeg")</f>
        <v/>
      </c>
      <c r="L1890" s="6"/>
      <c r="M1890" s="5" t="str">
        <f>IFERROR(VLOOKUP(E1890,Specifications!$A$2:$D$9,2,FALSE),"")</f>
        <v/>
      </c>
      <c r="N1890" s="5" t="str">
        <f>IFERROR(VLOOKUP(E1890,Specifications!$A$2:$D$9,3,FALSE),"")</f>
        <v/>
      </c>
      <c r="O1890" s="5" t="str">
        <f>IFERROR(VLOOKUP(E1890,Specifications!$A$2:$D$9,4,FALSE),"")</f>
        <v/>
      </c>
      <c r="P1890" s="8" t="str">
        <f t="shared" si="90"/>
        <v/>
      </c>
      <c r="Q1890" s="9"/>
    </row>
    <row r="1891" spans="1:17" ht="15">
      <c r="A1891" s="5" t="str">
        <f t="shared" si="88"/>
        <v/>
      </c>
      <c r="B1891" s="6"/>
      <c r="C1891" s="5" t="str">
        <f>IFERROR(VLOOKUP(B1891,Lists!$A$2:$B$25,2,FALSE),"")</f>
        <v/>
      </c>
      <c r="D1891" s="7"/>
      <c r="E1891" s="6"/>
      <c r="F1891" s="6" t="str">
        <f t="shared" si="89"/>
        <v/>
      </c>
      <c r="G1891" s="6"/>
      <c r="H1891" s="6"/>
      <c r="I1891" s="6"/>
      <c r="J1891" s="7"/>
      <c r="K1891" s="5" t="str" cm="1">
        <f t="array" ref="K1891">IF(OR(A1891="",B1891="",D1891="",E1891=""),"",A1891&amp;"_"&amp;SUBSTITUTE(B1891," ","-")&amp;"_"&amp;D1891&amp;"_"&amp;SUBSTITUTE(SUBSTITUTE(E1891," ",""),"€","Euro")&amp;"_"&amp;IF(F1891="","Unknown",F1891)&amp;IF(F1891="Commemorative",IF(G1891="","","_"&amp;SUBSTITUTE(SUBSTITUTE(SUBSTITUTE(G1891," ","-"),"/","-"),CHAR(39),"")),"")&amp;IF(I1891="Duplicate","_Dub"&amp;IF(SUMPRODUCT(($B$2:B1891=B1891)*($D$2:D1891=D1891)*($E$2:E1891=E1891)*($F$2:F1891=F1891)*($G$2:G1891=G1891)*($I$2:I1891="Duplicate"))&lt;=1,"",SUMPRODUCT(($B$2:B1891=B1891)*($D$2:D1891=D1891)*($E$2:E1891=E1891)*($F$2:F1891=F1891)*($G$2:G1891=G1891)*($I$2:I1891="Duplicate"))-1),"")&amp;".jpeg")</f>
        <v/>
      </c>
      <c r="L1891" s="6"/>
      <c r="M1891" s="5" t="str">
        <f>IFERROR(VLOOKUP(E1891,Specifications!$A$2:$D$9,2,FALSE),"")</f>
        <v/>
      </c>
      <c r="N1891" s="5" t="str">
        <f>IFERROR(VLOOKUP(E1891,Specifications!$A$2:$D$9,3,FALSE),"")</f>
        <v/>
      </c>
      <c r="O1891" s="5" t="str">
        <f>IFERROR(VLOOKUP(E1891,Specifications!$A$2:$D$9,4,FALSE),"")</f>
        <v/>
      </c>
      <c r="P1891" s="8" t="str">
        <f t="shared" si="90"/>
        <v/>
      </c>
      <c r="Q1891" s="9"/>
    </row>
    <row r="1892" spans="1:17" ht="15">
      <c r="A1892" s="5" t="str">
        <f t="shared" si="88"/>
        <v/>
      </c>
      <c r="B1892" s="6"/>
      <c r="C1892" s="5" t="str">
        <f>IFERROR(VLOOKUP(B1892,Lists!$A$2:$B$25,2,FALSE),"")</f>
        <v/>
      </c>
      <c r="D1892" s="7"/>
      <c r="E1892" s="6"/>
      <c r="F1892" s="6" t="str">
        <f t="shared" si="89"/>
        <v/>
      </c>
      <c r="G1892" s="6"/>
      <c r="H1892" s="6"/>
      <c r="I1892" s="6"/>
      <c r="J1892" s="7"/>
      <c r="K1892" s="5" t="str" cm="1">
        <f t="array" ref="K1892">IF(OR(A1892="",B1892="",D1892="",E1892=""),"",A1892&amp;"_"&amp;SUBSTITUTE(B1892," ","-")&amp;"_"&amp;D1892&amp;"_"&amp;SUBSTITUTE(SUBSTITUTE(E1892," ",""),"€","Euro")&amp;"_"&amp;IF(F1892="","Unknown",F1892)&amp;IF(F1892="Commemorative",IF(G1892="","","_"&amp;SUBSTITUTE(SUBSTITUTE(SUBSTITUTE(G1892," ","-"),"/","-"),CHAR(39),"")),"")&amp;IF(I1892="Duplicate","_Dub"&amp;IF(SUMPRODUCT(($B$2:B1892=B1892)*($D$2:D1892=D1892)*($E$2:E1892=E1892)*($F$2:F1892=F1892)*($G$2:G1892=G1892)*($I$2:I1892="Duplicate"))&lt;=1,"",SUMPRODUCT(($B$2:B1892=B1892)*($D$2:D1892=D1892)*($E$2:E1892=E1892)*($F$2:F1892=F1892)*($G$2:G1892=G1892)*($I$2:I1892="Duplicate"))-1),"")&amp;".jpeg")</f>
        <v/>
      </c>
      <c r="L1892" s="6"/>
      <c r="M1892" s="5" t="str">
        <f>IFERROR(VLOOKUP(E1892,Specifications!$A$2:$D$9,2,FALSE),"")</f>
        <v/>
      </c>
      <c r="N1892" s="5" t="str">
        <f>IFERROR(VLOOKUP(E1892,Specifications!$A$2:$D$9,3,FALSE),"")</f>
        <v/>
      </c>
      <c r="O1892" s="5" t="str">
        <f>IFERROR(VLOOKUP(E1892,Specifications!$A$2:$D$9,4,FALSE),"")</f>
        <v/>
      </c>
      <c r="P1892" s="8" t="str">
        <f t="shared" si="90"/>
        <v/>
      </c>
      <c r="Q1892" s="9"/>
    </row>
    <row r="1893" spans="1:17" ht="15">
      <c r="A1893" s="5" t="str">
        <f t="shared" si="88"/>
        <v/>
      </c>
      <c r="B1893" s="6"/>
      <c r="C1893" s="5" t="str">
        <f>IFERROR(VLOOKUP(B1893,Lists!$A$2:$B$25,2,FALSE),"")</f>
        <v/>
      </c>
      <c r="D1893" s="7"/>
      <c r="E1893" s="6"/>
      <c r="F1893" s="6" t="str">
        <f t="shared" si="89"/>
        <v/>
      </c>
      <c r="G1893" s="6"/>
      <c r="H1893" s="6"/>
      <c r="I1893" s="6"/>
      <c r="J1893" s="7"/>
      <c r="K1893" s="5" t="str" cm="1">
        <f t="array" ref="K1893">IF(OR(A1893="",B1893="",D1893="",E1893=""),"",A1893&amp;"_"&amp;SUBSTITUTE(B1893," ","-")&amp;"_"&amp;D1893&amp;"_"&amp;SUBSTITUTE(SUBSTITUTE(E1893," ",""),"€","Euro")&amp;"_"&amp;IF(F1893="","Unknown",F1893)&amp;IF(F1893="Commemorative",IF(G1893="","","_"&amp;SUBSTITUTE(SUBSTITUTE(SUBSTITUTE(G1893," ","-"),"/","-"),CHAR(39),"")),"")&amp;IF(I1893="Duplicate","_Dub"&amp;IF(SUMPRODUCT(($B$2:B1893=B1893)*($D$2:D1893=D1893)*($E$2:E1893=E1893)*($F$2:F1893=F1893)*($G$2:G1893=G1893)*($I$2:I1893="Duplicate"))&lt;=1,"",SUMPRODUCT(($B$2:B1893=B1893)*($D$2:D1893=D1893)*($E$2:E1893=E1893)*($F$2:F1893=F1893)*($G$2:G1893=G1893)*($I$2:I1893="Duplicate"))-1),"")&amp;".jpeg")</f>
        <v/>
      </c>
      <c r="L1893" s="6"/>
      <c r="M1893" s="5" t="str">
        <f>IFERROR(VLOOKUP(E1893,Specifications!$A$2:$D$9,2,FALSE),"")</f>
        <v/>
      </c>
      <c r="N1893" s="5" t="str">
        <f>IFERROR(VLOOKUP(E1893,Specifications!$A$2:$D$9,3,FALSE),"")</f>
        <v/>
      </c>
      <c r="O1893" s="5" t="str">
        <f>IFERROR(VLOOKUP(E1893,Specifications!$A$2:$D$9,4,FALSE),"")</f>
        <v/>
      </c>
      <c r="P1893" s="8" t="str">
        <f t="shared" si="90"/>
        <v/>
      </c>
      <c r="Q1893" s="9"/>
    </row>
    <row r="1894" spans="1:17" ht="15">
      <c r="A1894" s="5" t="str">
        <f t="shared" si="88"/>
        <v/>
      </c>
      <c r="B1894" s="6"/>
      <c r="C1894" s="5" t="str">
        <f>IFERROR(VLOOKUP(B1894,Lists!$A$2:$B$25,2,FALSE),"")</f>
        <v/>
      </c>
      <c r="D1894" s="7"/>
      <c r="E1894" s="6"/>
      <c r="F1894" s="6" t="str">
        <f t="shared" si="89"/>
        <v/>
      </c>
      <c r="G1894" s="6"/>
      <c r="H1894" s="6"/>
      <c r="I1894" s="6"/>
      <c r="J1894" s="7"/>
      <c r="K1894" s="5" t="str" cm="1">
        <f t="array" ref="K1894">IF(OR(A1894="",B1894="",D1894="",E1894=""),"",A1894&amp;"_"&amp;SUBSTITUTE(B1894," ","-")&amp;"_"&amp;D1894&amp;"_"&amp;SUBSTITUTE(SUBSTITUTE(E1894," ",""),"€","Euro")&amp;"_"&amp;IF(F1894="","Unknown",F1894)&amp;IF(F1894="Commemorative",IF(G1894="","","_"&amp;SUBSTITUTE(SUBSTITUTE(SUBSTITUTE(G1894," ","-"),"/","-"),CHAR(39),"")),"")&amp;IF(I1894="Duplicate","_Dub"&amp;IF(SUMPRODUCT(($B$2:B1894=B1894)*($D$2:D1894=D1894)*($E$2:E1894=E1894)*($F$2:F1894=F1894)*($G$2:G1894=G1894)*($I$2:I1894="Duplicate"))&lt;=1,"",SUMPRODUCT(($B$2:B1894=B1894)*($D$2:D1894=D1894)*($E$2:E1894=E1894)*($F$2:F1894=F1894)*($G$2:G1894=G1894)*($I$2:I1894="Duplicate"))-1),"")&amp;".jpeg")</f>
        <v/>
      </c>
      <c r="L1894" s="6"/>
      <c r="M1894" s="5" t="str">
        <f>IFERROR(VLOOKUP(E1894,Specifications!$A$2:$D$9,2,FALSE),"")</f>
        <v/>
      </c>
      <c r="N1894" s="5" t="str">
        <f>IFERROR(VLOOKUP(E1894,Specifications!$A$2:$D$9,3,FALSE),"")</f>
        <v/>
      </c>
      <c r="O1894" s="5" t="str">
        <f>IFERROR(VLOOKUP(E1894,Specifications!$A$2:$D$9,4,FALSE),"")</f>
        <v/>
      </c>
      <c r="P1894" s="8" t="str">
        <f t="shared" si="90"/>
        <v/>
      </c>
      <c r="Q1894" s="9"/>
    </row>
    <row r="1895" spans="1:17" ht="15">
      <c r="A1895" s="5" t="str">
        <f t="shared" si="88"/>
        <v/>
      </c>
      <c r="B1895" s="6"/>
      <c r="C1895" s="5" t="str">
        <f>IFERROR(VLOOKUP(B1895,Lists!$A$2:$B$25,2,FALSE),"")</f>
        <v/>
      </c>
      <c r="D1895" s="7"/>
      <c r="E1895" s="6"/>
      <c r="F1895" s="6" t="str">
        <f t="shared" si="89"/>
        <v/>
      </c>
      <c r="G1895" s="6"/>
      <c r="H1895" s="6"/>
      <c r="I1895" s="6"/>
      <c r="J1895" s="7"/>
      <c r="K1895" s="5" t="str" cm="1">
        <f t="array" ref="K1895">IF(OR(A1895="",B1895="",D1895="",E1895=""),"",A1895&amp;"_"&amp;SUBSTITUTE(B1895," ","-")&amp;"_"&amp;D1895&amp;"_"&amp;SUBSTITUTE(SUBSTITUTE(E1895," ",""),"€","Euro")&amp;"_"&amp;IF(F1895="","Unknown",F1895)&amp;IF(F1895="Commemorative",IF(G1895="","","_"&amp;SUBSTITUTE(SUBSTITUTE(SUBSTITUTE(G1895," ","-"),"/","-"),CHAR(39),"")),"")&amp;IF(I1895="Duplicate","_Dub"&amp;IF(SUMPRODUCT(($B$2:B1895=B1895)*($D$2:D1895=D1895)*($E$2:E1895=E1895)*($F$2:F1895=F1895)*($G$2:G1895=G1895)*($I$2:I1895="Duplicate"))&lt;=1,"",SUMPRODUCT(($B$2:B1895=B1895)*($D$2:D1895=D1895)*($E$2:E1895=E1895)*($F$2:F1895=F1895)*($G$2:G1895=G1895)*($I$2:I1895="Duplicate"))-1),"")&amp;".jpeg")</f>
        <v/>
      </c>
      <c r="L1895" s="6"/>
      <c r="M1895" s="5" t="str">
        <f>IFERROR(VLOOKUP(E1895,Specifications!$A$2:$D$9,2,FALSE),"")</f>
        <v/>
      </c>
      <c r="N1895" s="5" t="str">
        <f>IFERROR(VLOOKUP(E1895,Specifications!$A$2:$D$9,3,FALSE),"")</f>
        <v/>
      </c>
      <c r="O1895" s="5" t="str">
        <f>IFERROR(VLOOKUP(E1895,Specifications!$A$2:$D$9,4,FALSE),"")</f>
        <v/>
      </c>
      <c r="P1895" s="8" t="str">
        <f t="shared" si="90"/>
        <v/>
      </c>
      <c r="Q1895" s="9"/>
    </row>
    <row r="1896" spans="1:17" ht="15">
      <c r="A1896" s="5" t="str">
        <f t="shared" si="88"/>
        <v/>
      </c>
      <c r="B1896" s="6"/>
      <c r="C1896" s="5" t="str">
        <f>IFERROR(VLOOKUP(B1896,Lists!$A$2:$B$25,2,FALSE),"")</f>
        <v/>
      </c>
      <c r="D1896" s="7"/>
      <c r="E1896" s="6"/>
      <c r="F1896" s="6" t="str">
        <f t="shared" si="89"/>
        <v/>
      </c>
      <c r="G1896" s="6"/>
      <c r="H1896" s="6"/>
      <c r="I1896" s="6"/>
      <c r="J1896" s="7"/>
      <c r="K1896" s="5" t="str" cm="1">
        <f t="array" ref="K1896">IF(OR(A1896="",B1896="",D1896="",E1896=""),"",A1896&amp;"_"&amp;SUBSTITUTE(B1896," ","-")&amp;"_"&amp;D1896&amp;"_"&amp;SUBSTITUTE(SUBSTITUTE(E1896," ",""),"€","Euro")&amp;"_"&amp;IF(F1896="","Unknown",F1896)&amp;IF(F1896="Commemorative",IF(G1896="","","_"&amp;SUBSTITUTE(SUBSTITUTE(SUBSTITUTE(G1896," ","-"),"/","-"),CHAR(39),"")),"")&amp;IF(I1896="Duplicate","_Dub"&amp;IF(SUMPRODUCT(($B$2:B1896=B1896)*($D$2:D1896=D1896)*($E$2:E1896=E1896)*($F$2:F1896=F1896)*($G$2:G1896=G1896)*($I$2:I1896="Duplicate"))&lt;=1,"",SUMPRODUCT(($B$2:B1896=B1896)*($D$2:D1896=D1896)*($E$2:E1896=E1896)*($F$2:F1896=F1896)*($G$2:G1896=G1896)*($I$2:I1896="Duplicate"))-1),"")&amp;".jpeg")</f>
        <v/>
      </c>
      <c r="L1896" s="6"/>
      <c r="M1896" s="5" t="str">
        <f>IFERROR(VLOOKUP(E1896,Specifications!$A$2:$D$9,2,FALSE),"")</f>
        <v/>
      </c>
      <c r="N1896" s="5" t="str">
        <f>IFERROR(VLOOKUP(E1896,Specifications!$A$2:$D$9,3,FALSE),"")</f>
        <v/>
      </c>
      <c r="O1896" s="5" t="str">
        <f>IFERROR(VLOOKUP(E1896,Specifications!$A$2:$D$9,4,FALSE),"")</f>
        <v/>
      </c>
      <c r="P1896" s="8" t="str">
        <f t="shared" si="90"/>
        <v/>
      </c>
      <c r="Q1896" s="9"/>
    </row>
    <row r="1897" spans="1:17" ht="15">
      <c r="A1897" s="5" t="str">
        <f t="shared" si="88"/>
        <v/>
      </c>
      <c r="B1897" s="6"/>
      <c r="C1897" s="5" t="str">
        <f>IFERROR(VLOOKUP(B1897,Lists!$A$2:$B$25,2,FALSE),"")</f>
        <v/>
      </c>
      <c r="D1897" s="7"/>
      <c r="E1897" s="6"/>
      <c r="F1897" s="6" t="str">
        <f t="shared" si="89"/>
        <v/>
      </c>
      <c r="G1897" s="6"/>
      <c r="H1897" s="6"/>
      <c r="I1897" s="6"/>
      <c r="J1897" s="7"/>
      <c r="K1897" s="5" t="str" cm="1">
        <f t="array" ref="K1897">IF(OR(A1897="",B1897="",D1897="",E1897=""),"",A1897&amp;"_"&amp;SUBSTITUTE(B1897," ","-")&amp;"_"&amp;D1897&amp;"_"&amp;SUBSTITUTE(SUBSTITUTE(E1897," ",""),"€","Euro")&amp;"_"&amp;IF(F1897="","Unknown",F1897)&amp;IF(F1897="Commemorative",IF(G1897="","","_"&amp;SUBSTITUTE(SUBSTITUTE(SUBSTITUTE(G1897," ","-"),"/","-"),CHAR(39),"")),"")&amp;IF(I1897="Duplicate","_Dub"&amp;IF(SUMPRODUCT(($B$2:B1897=B1897)*($D$2:D1897=D1897)*($E$2:E1897=E1897)*($F$2:F1897=F1897)*($G$2:G1897=G1897)*($I$2:I1897="Duplicate"))&lt;=1,"",SUMPRODUCT(($B$2:B1897=B1897)*($D$2:D1897=D1897)*($E$2:E1897=E1897)*($F$2:F1897=F1897)*($G$2:G1897=G1897)*($I$2:I1897="Duplicate"))-1),"")&amp;".jpeg")</f>
        <v/>
      </c>
      <c r="L1897" s="6"/>
      <c r="M1897" s="5" t="str">
        <f>IFERROR(VLOOKUP(E1897,Specifications!$A$2:$D$9,2,FALSE),"")</f>
        <v/>
      </c>
      <c r="N1897" s="5" t="str">
        <f>IFERROR(VLOOKUP(E1897,Specifications!$A$2:$D$9,3,FALSE),"")</f>
        <v/>
      </c>
      <c r="O1897" s="5" t="str">
        <f>IFERROR(VLOOKUP(E1897,Specifications!$A$2:$D$9,4,FALSE),"")</f>
        <v/>
      </c>
      <c r="P1897" s="8" t="str">
        <f t="shared" si="90"/>
        <v/>
      </c>
      <c r="Q1897" s="9"/>
    </row>
    <row r="1898" spans="1:17" ht="15">
      <c r="A1898" s="5" t="str">
        <f t="shared" si="88"/>
        <v/>
      </c>
      <c r="B1898" s="6"/>
      <c r="C1898" s="5" t="str">
        <f>IFERROR(VLOOKUP(B1898,Lists!$A$2:$B$25,2,FALSE),"")</f>
        <v/>
      </c>
      <c r="D1898" s="7"/>
      <c r="E1898" s="6"/>
      <c r="F1898" s="6" t="str">
        <f t="shared" si="89"/>
        <v/>
      </c>
      <c r="G1898" s="6"/>
      <c r="H1898" s="6"/>
      <c r="I1898" s="6"/>
      <c r="J1898" s="7"/>
      <c r="K1898" s="5" t="str" cm="1">
        <f t="array" ref="K1898">IF(OR(A1898="",B1898="",D1898="",E1898=""),"",A1898&amp;"_"&amp;SUBSTITUTE(B1898," ","-")&amp;"_"&amp;D1898&amp;"_"&amp;SUBSTITUTE(SUBSTITUTE(E1898," ",""),"€","Euro")&amp;"_"&amp;IF(F1898="","Unknown",F1898)&amp;IF(F1898="Commemorative",IF(G1898="","","_"&amp;SUBSTITUTE(SUBSTITUTE(SUBSTITUTE(G1898," ","-"),"/","-"),CHAR(39),"")),"")&amp;IF(I1898="Duplicate","_Dub"&amp;IF(SUMPRODUCT(($B$2:B1898=B1898)*($D$2:D1898=D1898)*($E$2:E1898=E1898)*($F$2:F1898=F1898)*($G$2:G1898=G1898)*($I$2:I1898="Duplicate"))&lt;=1,"",SUMPRODUCT(($B$2:B1898=B1898)*($D$2:D1898=D1898)*($E$2:E1898=E1898)*($F$2:F1898=F1898)*($G$2:G1898=G1898)*($I$2:I1898="Duplicate"))-1),"")&amp;".jpeg")</f>
        <v/>
      </c>
      <c r="L1898" s="6"/>
      <c r="M1898" s="5" t="str">
        <f>IFERROR(VLOOKUP(E1898,Specifications!$A$2:$D$9,2,FALSE),"")</f>
        <v/>
      </c>
      <c r="N1898" s="5" t="str">
        <f>IFERROR(VLOOKUP(E1898,Specifications!$A$2:$D$9,3,FALSE),"")</f>
        <v/>
      </c>
      <c r="O1898" s="5" t="str">
        <f>IFERROR(VLOOKUP(E1898,Specifications!$A$2:$D$9,4,FALSE),"")</f>
        <v/>
      </c>
      <c r="P1898" s="8" t="str">
        <f t="shared" si="90"/>
        <v/>
      </c>
      <c r="Q1898" s="9"/>
    </row>
    <row r="1899" spans="1:17" ht="15">
      <c r="A1899" s="5" t="str">
        <f t="shared" si="88"/>
        <v/>
      </c>
      <c r="B1899" s="6"/>
      <c r="C1899" s="5" t="str">
        <f>IFERROR(VLOOKUP(B1899,Lists!$A$2:$B$25,2,FALSE),"")</f>
        <v/>
      </c>
      <c r="D1899" s="7"/>
      <c r="E1899" s="6"/>
      <c r="F1899" s="6" t="str">
        <f t="shared" si="89"/>
        <v/>
      </c>
      <c r="G1899" s="6"/>
      <c r="H1899" s="6"/>
      <c r="I1899" s="6"/>
      <c r="J1899" s="7"/>
      <c r="K1899" s="5" t="str" cm="1">
        <f t="array" ref="K1899">IF(OR(A1899="",B1899="",D1899="",E1899=""),"",A1899&amp;"_"&amp;SUBSTITUTE(B1899," ","-")&amp;"_"&amp;D1899&amp;"_"&amp;SUBSTITUTE(SUBSTITUTE(E1899," ",""),"€","Euro")&amp;"_"&amp;IF(F1899="","Unknown",F1899)&amp;IF(F1899="Commemorative",IF(G1899="","","_"&amp;SUBSTITUTE(SUBSTITUTE(SUBSTITUTE(G1899," ","-"),"/","-"),CHAR(39),"")),"")&amp;IF(I1899="Duplicate","_Dub"&amp;IF(SUMPRODUCT(($B$2:B1899=B1899)*($D$2:D1899=D1899)*($E$2:E1899=E1899)*($F$2:F1899=F1899)*($G$2:G1899=G1899)*($I$2:I1899="Duplicate"))&lt;=1,"",SUMPRODUCT(($B$2:B1899=B1899)*($D$2:D1899=D1899)*($E$2:E1899=E1899)*($F$2:F1899=F1899)*($G$2:G1899=G1899)*($I$2:I1899="Duplicate"))-1),"")&amp;".jpeg")</f>
        <v/>
      </c>
      <c r="L1899" s="6"/>
      <c r="M1899" s="5" t="str">
        <f>IFERROR(VLOOKUP(E1899,Specifications!$A$2:$D$9,2,FALSE),"")</f>
        <v/>
      </c>
      <c r="N1899" s="5" t="str">
        <f>IFERROR(VLOOKUP(E1899,Specifications!$A$2:$D$9,3,FALSE),"")</f>
        <v/>
      </c>
      <c r="O1899" s="5" t="str">
        <f>IFERROR(VLOOKUP(E1899,Specifications!$A$2:$D$9,4,FALSE),"")</f>
        <v/>
      </c>
      <c r="P1899" s="8" t="str">
        <f t="shared" si="90"/>
        <v/>
      </c>
      <c r="Q1899" s="9"/>
    </row>
    <row r="1900" spans="1:17" ht="15">
      <c r="A1900" s="5" t="str">
        <f t="shared" si="88"/>
        <v/>
      </c>
      <c r="B1900" s="6"/>
      <c r="C1900" s="5" t="str">
        <f>IFERROR(VLOOKUP(B1900,Lists!$A$2:$B$25,2,FALSE),"")</f>
        <v/>
      </c>
      <c r="D1900" s="7"/>
      <c r="E1900" s="6"/>
      <c r="F1900" s="6" t="str">
        <f t="shared" si="89"/>
        <v/>
      </c>
      <c r="G1900" s="6"/>
      <c r="H1900" s="6"/>
      <c r="I1900" s="6"/>
      <c r="J1900" s="7"/>
      <c r="K1900" s="5" t="str" cm="1">
        <f t="array" ref="K1900">IF(OR(A1900="",B1900="",D1900="",E1900=""),"",A1900&amp;"_"&amp;SUBSTITUTE(B1900," ","-")&amp;"_"&amp;D1900&amp;"_"&amp;SUBSTITUTE(SUBSTITUTE(E1900," ",""),"€","Euro")&amp;"_"&amp;IF(F1900="","Unknown",F1900)&amp;IF(F1900="Commemorative",IF(G1900="","","_"&amp;SUBSTITUTE(SUBSTITUTE(SUBSTITUTE(G1900," ","-"),"/","-"),CHAR(39),"")),"")&amp;IF(I1900="Duplicate","_Dub"&amp;IF(SUMPRODUCT(($B$2:B1900=B1900)*($D$2:D1900=D1900)*($E$2:E1900=E1900)*($F$2:F1900=F1900)*($G$2:G1900=G1900)*($I$2:I1900="Duplicate"))&lt;=1,"",SUMPRODUCT(($B$2:B1900=B1900)*($D$2:D1900=D1900)*($E$2:E1900=E1900)*($F$2:F1900=F1900)*($G$2:G1900=G1900)*($I$2:I1900="Duplicate"))-1),"")&amp;".jpeg")</f>
        <v/>
      </c>
      <c r="L1900" s="6"/>
      <c r="M1900" s="5" t="str">
        <f>IFERROR(VLOOKUP(E1900,Specifications!$A$2:$D$9,2,FALSE),"")</f>
        <v/>
      </c>
      <c r="N1900" s="5" t="str">
        <f>IFERROR(VLOOKUP(E1900,Specifications!$A$2:$D$9,3,FALSE),"")</f>
        <v/>
      </c>
      <c r="O1900" s="5" t="str">
        <f>IFERROR(VLOOKUP(E1900,Specifications!$A$2:$D$9,4,FALSE),"")</f>
        <v/>
      </c>
      <c r="P1900" s="8" t="str">
        <f t="shared" si="90"/>
        <v/>
      </c>
      <c r="Q1900" s="9"/>
    </row>
    <row r="1901" spans="1:17" ht="15">
      <c r="A1901" s="5" t="str">
        <f t="shared" si="88"/>
        <v/>
      </c>
      <c r="B1901" s="6"/>
      <c r="C1901" s="5" t="str">
        <f>IFERROR(VLOOKUP(B1901,Lists!$A$2:$B$25,2,FALSE),"")</f>
        <v/>
      </c>
      <c r="D1901" s="7"/>
      <c r="E1901" s="6"/>
      <c r="F1901" s="6" t="str">
        <f t="shared" si="89"/>
        <v/>
      </c>
      <c r="G1901" s="6"/>
      <c r="H1901" s="6"/>
      <c r="I1901" s="6"/>
      <c r="J1901" s="7"/>
      <c r="K1901" s="5" t="str" cm="1">
        <f t="array" ref="K1901">IF(OR(A1901="",B1901="",D1901="",E1901=""),"",A1901&amp;"_"&amp;SUBSTITUTE(B1901," ","-")&amp;"_"&amp;D1901&amp;"_"&amp;SUBSTITUTE(SUBSTITUTE(E1901," ",""),"€","Euro")&amp;"_"&amp;IF(F1901="","Unknown",F1901)&amp;IF(F1901="Commemorative",IF(G1901="","","_"&amp;SUBSTITUTE(SUBSTITUTE(SUBSTITUTE(G1901," ","-"),"/","-"),CHAR(39),"")),"")&amp;IF(I1901="Duplicate","_Dub"&amp;IF(SUMPRODUCT(($B$2:B1901=B1901)*($D$2:D1901=D1901)*($E$2:E1901=E1901)*($F$2:F1901=F1901)*($G$2:G1901=G1901)*($I$2:I1901="Duplicate"))&lt;=1,"",SUMPRODUCT(($B$2:B1901=B1901)*($D$2:D1901=D1901)*($E$2:E1901=E1901)*($F$2:F1901=F1901)*($G$2:G1901=G1901)*($I$2:I1901="Duplicate"))-1),"")&amp;".jpeg")</f>
        <v/>
      </c>
      <c r="L1901" s="6"/>
      <c r="M1901" s="5" t="str">
        <f>IFERROR(VLOOKUP(E1901,Specifications!$A$2:$D$9,2,FALSE),"")</f>
        <v/>
      </c>
      <c r="N1901" s="5" t="str">
        <f>IFERROR(VLOOKUP(E1901,Specifications!$A$2:$D$9,3,FALSE),"")</f>
        <v/>
      </c>
      <c r="O1901" s="5" t="str">
        <f>IFERROR(VLOOKUP(E1901,Specifications!$A$2:$D$9,4,FALSE),"")</f>
        <v/>
      </c>
      <c r="P1901" s="8" t="str">
        <f t="shared" si="90"/>
        <v/>
      </c>
      <c r="Q1901" s="9"/>
    </row>
    <row r="1902" spans="1:17" ht="15">
      <c r="A1902" s="5" t="str">
        <f t="shared" si="88"/>
        <v/>
      </c>
      <c r="B1902" s="6"/>
      <c r="C1902" s="5" t="str">
        <f>IFERROR(VLOOKUP(B1902,Lists!$A$2:$B$25,2,FALSE),"")</f>
        <v/>
      </c>
      <c r="D1902" s="7"/>
      <c r="E1902" s="6"/>
      <c r="F1902" s="6" t="str">
        <f t="shared" si="89"/>
        <v/>
      </c>
      <c r="G1902" s="6"/>
      <c r="H1902" s="6"/>
      <c r="I1902" s="6"/>
      <c r="J1902" s="7"/>
      <c r="K1902" s="5" t="str" cm="1">
        <f t="array" ref="K1902">IF(OR(A1902="",B1902="",D1902="",E1902=""),"",A1902&amp;"_"&amp;SUBSTITUTE(B1902," ","-")&amp;"_"&amp;D1902&amp;"_"&amp;SUBSTITUTE(SUBSTITUTE(E1902," ",""),"€","Euro")&amp;"_"&amp;IF(F1902="","Unknown",F1902)&amp;IF(F1902="Commemorative",IF(G1902="","","_"&amp;SUBSTITUTE(SUBSTITUTE(SUBSTITUTE(G1902," ","-"),"/","-"),CHAR(39),"")),"")&amp;IF(I1902="Duplicate","_Dub"&amp;IF(SUMPRODUCT(($B$2:B1902=B1902)*($D$2:D1902=D1902)*($E$2:E1902=E1902)*($F$2:F1902=F1902)*($G$2:G1902=G1902)*($I$2:I1902="Duplicate"))&lt;=1,"",SUMPRODUCT(($B$2:B1902=B1902)*($D$2:D1902=D1902)*($E$2:E1902=E1902)*($F$2:F1902=F1902)*($G$2:G1902=G1902)*($I$2:I1902="Duplicate"))-1),"")&amp;".jpeg")</f>
        <v/>
      </c>
      <c r="L1902" s="6"/>
      <c r="M1902" s="5" t="str">
        <f>IFERROR(VLOOKUP(E1902,Specifications!$A$2:$D$9,2,FALSE),"")</f>
        <v/>
      </c>
      <c r="N1902" s="5" t="str">
        <f>IFERROR(VLOOKUP(E1902,Specifications!$A$2:$D$9,3,FALSE),"")</f>
        <v/>
      </c>
      <c r="O1902" s="5" t="str">
        <f>IFERROR(VLOOKUP(E1902,Specifications!$A$2:$D$9,4,FALSE),"")</f>
        <v/>
      </c>
      <c r="P1902" s="8" t="str">
        <f t="shared" si="90"/>
        <v/>
      </c>
      <c r="Q1902" s="9"/>
    </row>
    <row r="1903" spans="1:17" ht="15">
      <c r="A1903" s="5" t="str">
        <f t="shared" si="88"/>
        <v/>
      </c>
      <c r="B1903" s="6"/>
      <c r="C1903" s="5" t="str">
        <f>IFERROR(VLOOKUP(B1903,Lists!$A$2:$B$25,2,FALSE),"")</f>
        <v/>
      </c>
      <c r="D1903" s="7"/>
      <c r="E1903" s="6"/>
      <c r="F1903" s="6" t="str">
        <f t="shared" si="89"/>
        <v/>
      </c>
      <c r="G1903" s="6"/>
      <c r="H1903" s="6"/>
      <c r="I1903" s="6"/>
      <c r="J1903" s="7"/>
      <c r="K1903" s="5" t="str" cm="1">
        <f t="array" ref="K1903">IF(OR(A1903="",B1903="",D1903="",E1903=""),"",A1903&amp;"_"&amp;SUBSTITUTE(B1903," ","-")&amp;"_"&amp;D1903&amp;"_"&amp;SUBSTITUTE(SUBSTITUTE(E1903," ",""),"€","Euro")&amp;"_"&amp;IF(F1903="","Unknown",F1903)&amp;IF(F1903="Commemorative",IF(G1903="","","_"&amp;SUBSTITUTE(SUBSTITUTE(SUBSTITUTE(G1903," ","-"),"/","-"),CHAR(39),"")),"")&amp;IF(I1903="Duplicate","_Dub"&amp;IF(SUMPRODUCT(($B$2:B1903=B1903)*($D$2:D1903=D1903)*($E$2:E1903=E1903)*($F$2:F1903=F1903)*($G$2:G1903=G1903)*($I$2:I1903="Duplicate"))&lt;=1,"",SUMPRODUCT(($B$2:B1903=B1903)*($D$2:D1903=D1903)*($E$2:E1903=E1903)*($F$2:F1903=F1903)*($G$2:G1903=G1903)*($I$2:I1903="Duplicate"))-1),"")&amp;".jpeg")</f>
        <v/>
      </c>
      <c r="L1903" s="6"/>
      <c r="M1903" s="5" t="str">
        <f>IFERROR(VLOOKUP(E1903,Specifications!$A$2:$D$9,2,FALSE),"")</f>
        <v/>
      </c>
      <c r="N1903" s="5" t="str">
        <f>IFERROR(VLOOKUP(E1903,Specifications!$A$2:$D$9,3,FALSE),"")</f>
        <v/>
      </c>
      <c r="O1903" s="5" t="str">
        <f>IFERROR(VLOOKUP(E1903,Specifications!$A$2:$D$9,4,FALSE),"")</f>
        <v/>
      </c>
      <c r="P1903" s="8" t="str">
        <f t="shared" si="90"/>
        <v/>
      </c>
      <c r="Q1903" s="9"/>
    </row>
    <row r="1904" spans="1:17" ht="15">
      <c r="A1904" s="5" t="str">
        <f t="shared" si="88"/>
        <v/>
      </c>
      <c r="B1904" s="6"/>
      <c r="C1904" s="5" t="str">
        <f>IFERROR(VLOOKUP(B1904,Lists!$A$2:$B$25,2,FALSE),"")</f>
        <v/>
      </c>
      <c r="D1904" s="7"/>
      <c r="E1904" s="6"/>
      <c r="F1904" s="6" t="str">
        <f t="shared" si="89"/>
        <v/>
      </c>
      <c r="G1904" s="6"/>
      <c r="H1904" s="6"/>
      <c r="I1904" s="6"/>
      <c r="J1904" s="7"/>
      <c r="K1904" s="5" t="str" cm="1">
        <f t="array" ref="K1904">IF(OR(A1904="",B1904="",D1904="",E1904=""),"",A1904&amp;"_"&amp;SUBSTITUTE(B1904," ","-")&amp;"_"&amp;D1904&amp;"_"&amp;SUBSTITUTE(SUBSTITUTE(E1904," ",""),"€","Euro")&amp;"_"&amp;IF(F1904="","Unknown",F1904)&amp;IF(F1904="Commemorative",IF(G1904="","","_"&amp;SUBSTITUTE(SUBSTITUTE(SUBSTITUTE(G1904," ","-"),"/","-"),CHAR(39),"")),"")&amp;IF(I1904="Duplicate","_Dub"&amp;IF(SUMPRODUCT(($B$2:B1904=B1904)*($D$2:D1904=D1904)*($E$2:E1904=E1904)*($F$2:F1904=F1904)*($G$2:G1904=G1904)*($I$2:I1904="Duplicate"))&lt;=1,"",SUMPRODUCT(($B$2:B1904=B1904)*($D$2:D1904=D1904)*($E$2:E1904=E1904)*($F$2:F1904=F1904)*($G$2:G1904=G1904)*($I$2:I1904="Duplicate"))-1),"")&amp;".jpeg")</f>
        <v/>
      </c>
      <c r="L1904" s="6"/>
      <c r="M1904" s="5" t="str">
        <f>IFERROR(VLOOKUP(E1904,Specifications!$A$2:$D$9,2,FALSE),"")</f>
        <v/>
      </c>
      <c r="N1904" s="5" t="str">
        <f>IFERROR(VLOOKUP(E1904,Specifications!$A$2:$D$9,3,FALSE),"")</f>
        <v/>
      </c>
      <c r="O1904" s="5" t="str">
        <f>IFERROR(VLOOKUP(E1904,Specifications!$A$2:$D$9,4,FALSE),"")</f>
        <v/>
      </c>
      <c r="P1904" s="8" t="str">
        <f t="shared" si="90"/>
        <v/>
      </c>
      <c r="Q1904" s="9"/>
    </row>
    <row r="1905" spans="1:17" ht="15">
      <c r="A1905" s="5" t="str">
        <f t="shared" si="88"/>
        <v/>
      </c>
      <c r="B1905" s="6"/>
      <c r="C1905" s="5" t="str">
        <f>IFERROR(VLOOKUP(B1905,Lists!$A$2:$B$25,2,FALSE),"")</f>
        <v/>
      </c>
      <c r="D1905" s="7"/>
      <c r="E1905" s="6"/>
      <c r="F1905" s="6" t="str">
        <f t="shared" si="89"/>
        <v/>
      </c>
      <c r="G1905" s="6"/>
      <c r="H1905" s="6"/>
      <c r="I1905" s="6"/>
      <c r="J1905" s="7"/>
      <c r="K1905" s="5" t="str" cm="1">
        <f t="array" ref="K1905">IF(OR(A1905="",B1905="",D1905="",E1905=""),"",A1905&amp;"_"&amp;SUBSTITUTE(B1905," ","-")&amp;"_"&amp;D1905&amp;"_"&amp;SUBSTITUTE(SUBSTITUTE(E1905," ",""),"€","Euro")&amp;"_"&amp;IF(F1905="","Unknown",F1905)&amp;IF(F1905="Commemorative",IF(G1905="","","_"&amp;SUBSTITUTE(SUBSTITUTE(SUBSTITUTE(G1905," ","-"),"/","-"),CHAR(39),"")),"")&amp;IF(I1905="Duplicate","_Dub"&amp;IF(SUMPRODUCT(($B$2:B1905=B1905)*($D$2:D1905=D1905)*($E$2:E1905=E1905)*($F$2:F1905=F1905)*($G$2:G1905=G1905)*($I$2:I1905="Duplicate"))&lt;=1,"",SUMPRODUCT(($B$2:B1905=B1905)*($D$2:D1905=D1905)*($E$2:E1905=E1905)*($F$2:F1905=F1905)*($G$2:G1905=G1905)*($I$2:I1905="Duplicate"))-1),"")&amp;".jpeg")</f>
        <v/>
      </c>
      <c r="L1905" s="6"/>
      <c r="M1905" s="5" t="str">
        <f>IFERROR(VLOOKUP(E1905,Specifications!$A$2:$D$9,2,FALSE),"")</f>
        <v/>
      </c>
      <c r="N1905" s="5" t="str">
        <f>IFERROR(VLOOKUP(E1905,Specifications!$A$2:$D$9,3,FALSE),"")</f>
        <v/>
      </c>
      <c r="O1905" s="5" t="str">
        <f>IFERROR(VLOOKUP(E1905,Specifications!$A$2:$D$9,4,FALSE),"")</f>
        <v/>
      </c>
      <c r="P1905" s="8" t="str">
        <f t="shared" si="90"/>
        <v/>
      </c>
      <c r="Q1905" s="9"/>
    </row>
    <row r="1906" spans="1:17" ht="15">
      <c r="A1906" s="5" t="str">
        <f t="shared" si="88"/>
        <v/>
      </c>
      <c r="B1906" s="6"/>
      <c r="C1906" s="5" t="str">
        <f>IFERROR(VLOOKUP(B1906,Lists!$A$2:$B$25,2,FALSE),"")</f>
        <v/>
      </c>
      <c r="D1906" s="7"/>
      <c r="E1906" s="6"/>
      <c r="F1906" s="6" t="str">
        <f t="shared" si="89"/>
        <v/>
      </c>
      <c r="G1906" s="6"/>
      <c r="H1906" s="6"/>
      <c r="I1906" s="6"/>
      <c r="J1906" s="7"/>
      <c r="K1906" s="5" t="str" cm="1">
        <f t="array" ref="K1906">IF(OR(A1906="",B1906="",D1906="",E1906=""),"",A1906&amp;"_"&amp;SUBSTITUTE(B1906," ","-")&amp;"_"&amp;D1906&amp;"_"&amp;SUBSTITUTE(SUBSTITUTE(E1906," ",""),"€","Euro")&amp;"_"&amp;IF(F1906="","Unknown",F1906)&amp;IF(F1906="Commemorative",IF(G1906="","","_"&amp;SUBSTITUTE(SUBSTITUTE(SUBSTITUTE(G1906," ","-"),"/","-"),CHAR(39),"")),"")&amp;IF(I1906="Duplicate","_Dub"&amp;IF(SUMPRODUCT(($B$2:B1906=B1906)*($D$2:D1906=D1906)*($E$2:E1906=E1906)*($F$2:F1906=F1906)*($G$2:G1906=G1906)*($I$2:I1906="Duplicate"))&lt;=1,"",SUMPRODUCT(($B$2:B1906=B1906)*($D$2:D1906=D1906)*($E$2:E1906=E1906)*($F$2:F1906=F1906)*($G$2:G1906=G1906)*($I$2:I1906="Duplicate"))-1),"")&amp;".jpeg")</f>
        <v/>
      </c>
      <c r="L1906" s="6"/>
      <c r="M1906" s="5" t="str">
        <f>IFERROR(VLOOKUP(E1906,Specifications!$A$2:$D$9,2,FALSE),"")</f>
        <v/>
      </c>
      <c r="N1906" s="5" t="str">
        <f>IFERROR(VLOOKUP(E1906,Specifications!$A$2:$D$9,3,FALSE),"")</f>
        <v/>
      </c>
      <c r="O1906" s="5" t="str">
        <f>IFERROR(VLOOKUP(E1906,Specifications!$A$2:$D$9,4,FALSE),"")</f>
        <v/>
      </c>
      <c r="P1906" s="8" t="str">
        <f t="shared" si="90"/>
        <v/>
      </c>
      <c r="Q1906" s="9"/>
    </row>
    <row r="1907" spans="1:17" ht="15">
      <c r="A1907" s="5" t="str">
        <f t="shared" si="88"/>
        <v/>
      </c>
      <c r="B1907" s="6"/>
      <c r="C1907" s="5" t="str">
        <f>IFERROR(VLOOKUP(B1907,Lists!$A$2:$B$25,2,FALSE),"")</f>
        <v/>
      </c>
      <c r="D1907" s="7"/>
      <c r="E1907" s="6"/>
      <c r="F1907" s="6" t="str">
        <f t="shared" si="89"/>
        <v/>
      </c>
      <c r="G1907" s="6"/>
      <c r="H1907" s="6"/>
      <c r="I1907" s="6"/>
      <c r="J1907" s="7"/>
      <c r="K1907" s="5" t="str" cm="1">
        <f t="array" ref="K1907">IF(OR(A1907="",B1907="",D1907="",E1907=""),"",A1907&amp;"_"&amp;SUBSTITUTE(B1907," ","-")&amp;"_"&amp;D1907&amp;"_"&amp;SUBSTITUTE(SUBSTITUTE(E1907," ",""),"€","Euro")&amp;"_"&amp;IF(F1907="","Unknown",F1907)&amp;IF(F1907="Commemorative",IF(G1907="","","_"&amp;SUBSTITUTE(SUBSTITUTE(SUBSTITUTE(G1907," ","-"),"/","-"),CHAR(39),"")),"")&amp;IF(I1907="Duplicate","_Dub"&amp;IF(SUMPRODUCT(($B$2:B1907=B1907)*($D$2:D1907=D1907)*($E$2:E1907=E1907)*($F$2:F1907=F1907)*($G$2:G1907=G1907)*($I$2:I1907="Duplicate"))&lt;=1,"",SUMPRODUCT(($B$2:B1907=B1907)*($D$2:D1907=D1907)*($E$2:E1907=E1907)*($F$2:F1907=F1907)*($G$2:G1907=G1907)*($I$2:I1907="Duplicate"))-1),"")&amp;".jpeg")</f>
        <v/>
      </c>
      <c r="L1907" s="6"/>
      <c r="M1907" s="5" t="str">
        <f>IFERROR(VLOOKUP(E1907,Specifications!$A$2:$D$9,2,FALSE),"")</f>
        <v/>
      </c>
      <c r="N1907" s="5" t="str">
        <f>IFERROR(VLOOKUP(E1907,Specifications!$A$2:$D$9,3,FALSE),"")</f>
        <v/>
      </c>
      <c r="O1907" s="5" t="str">
        <f>IFERROR(VLOOKUP(E1907,Specifications!$A$2:$D$9,4,FALSE),"")</f>
        <v/>
      </c>
      <c r="P1907" s="8" t="str">
        <f t="shared" si="90"/>
        <v/>
      </c>
      <c r="Q1907" s="9"/>
    </row>
    <row r="1908" spans="1:17" ht="15">
      <c r="A1908" s="5" t="str">
        <f t="shared" si="88"/>
        <v/>
      </c>
      <c r="B1908" s="6"/>
      <c r="C1908" s="5" t="str">
        <f>IFERROR(VLOOKUP(B1908,Lists!$A$2:$B$25,2,FALSE),"")</f>
        <v/>
      </c>
      <c r="D1908" s="7"/>
      <c r="E1908" s="6"/>
      <c r="F1908" s="6" t="str">
        <f t="shared" si="89"/>
        <v/>
      </c>
      <c r="G1908" s="6"/>
      <c r="H1908" s="6"/>
      <c r="I1908" s="6"/>
      <c r="J1908" s="7"/>
      <c r="K1908" s="5" t="str" cm="1">
        <f t="array" ref="K1908">IF(OR(A1908="",B1908="",D1908="",E1908=""),"",A1908&amp;"_"&amp;SUBSTITUTE(B1908," ","-")&amp;"_"&amp;D1908&amp;"_"&amp;SUBSTITUTE(SUBSTITUTE(E1908," ",""),"€","Euro")&amp;"_"&amp;IF(F1908="","Unknown",F1908)&amp;IF(F1908="Commemorative",IF(G1908="","","_"&amp;SUBSTITUTE(SUBSTITUTE(SUBSTITUTE(G1908," ","-"),"/","-"),CHAR(39),"")),"")&amp;IF(I1908="Duplicate","_Dub"&amp;IF(SUMPRODUCT(($B$2:B1908=B1908)*($D$2:D1908=D1908)*($E$2:E1908=E1908)*($F$2:F1908=F1908)*($G$2:G1908=G1908)*($I$2:I1908="Duplicate"))&lt;=1,"",SUMPRODUCT(($B$2:B1908=B1908)*($D$2:D1908=D1908)*($E$2:E1908=E1908)*($F$2:F1908=F1908)*($G$2:G1908=G1908)*($I$2:I1908="Duplicate"))-1),"")&amp;".jpeg")</f>
        <v/>
      </c>
      <c r="L1908" s="6"/>
      <c r="M1908" s="5" t="str">
        <f>IFERROR(VLOOKUP(E1908,Specifications!$A$2:$D$9,2,FALSE),"")</f>
        <v/>
      </c>
      <c r="N1908" s="5" t="str">
        <f>IFERROR(VLOOKUP(E1908,Specifications!$A$2:$D$9,3,FALSE),"")</f>
        <v/>
      </c>
      <c r="O1908" s="5" t="str">
        <f>IFERROR(VLOOKUP(E1908,Specifications!$A$2:$D$9,4,FALSE),"")</f>
        <v/>
      </c>
      <c r="P1908" s="8" t="str">
        <f t="shared" si="90"/>
        <v/>
      </c>
      <c r="Q1908" s="9"/>
    </row>
    <row r="1909" spans="1:17" ht="15">
      <c r="A1909" s="5" t="str">
        <f t="shared" si="88"/>
        <v/>
      </c>
      <c r="B1909" s="6"/>
      <c r="C1909" s="5" t="str">
        <f>IFERROR(VLOOKUP(B1909,Lists!$A$2:$B$25,2,FALSE),"")</f>
        <v/>
      </c>
      <c r="D1909" s="7"/>
      <c r="E1909" s="6"/>
      <c r="F1909" s="6" t="str">
        <f t="shared" si="89"/>
        <v/>
      </c>
      <c r="G1909" s="6"/>
      <c r="H1909" s="6"/>
      <c r="I1909" s="6"/>
      <c r="J1909" s="7"/>
      <c r="K1909" s="5" t="str" cm="1">
        <f t="array" ref="K1909">IF(OR(A1909="",B1909="",D1909="",E1909=""),"",A1909&amp;"_"&amp;SUBSTITUTE(B1909," ","-")&amp;"_"&amp;D1909&amp;"_"&amp;SUBSTITUTE(SUBSTITUTE(E1909," ",""),"€","Euro")&amp;"_"&amp;IF(F1909="","Unknown",F1909)&amp;IF(F1909="Commemorative",IF(G1909="","","_"&amp;SUBSTITUTE(SUBSTITUTE(SUBSTITUTE(G1909," ","-"),"/","-"),CHAR(39),"")),"")&amp;IF(I1909="Duplicate","_Dub"&amp;IF(SUMPRODUCT(($B$2:B1909=B1909)*($D$2:D1909=D1909)*($E$2:E1909=E1909)*($F$2:F1909=F1909)*($G$2:G1909=G1909)*($I$2:I1909="Duplicate"))&lt;=1,"",SUMPRODUCT(($B$2:B1909=B1909)*($D$2:D1909=D1909)*($E$2:E1909=E1909)*($F$2:F1909=F1909)*($G$2:G1909=G1909)*($I$2:I1909="Duplicate"))-1),"")&amp;".jpeg")</f>
        <v/>
      </c>
      <c r="L1909" s="6"/>
      <c r="M1909" s="5" t="str">
        <f>IFERROR(VLOOKUP(E1909,Specifications!$A$2:$D$9,2,FALSE),"")</f>
        <v/>
      </c>
      <c r="N1909" s="5" t="str">
        <f>IFERROR(VLOOKUP(E1909,Specifications!$A$2:$D$9,3,FALSE),"")</f>
        <v/>
      </c>
      <c r="O1909" s="5" t="str">
        <f>IFERROR(VLOOKUP(E1909,Specifications!$A$2:$D$9,4,FALSE),"")</f>
        <v/>
      </c>
      <c r="P1909" s="8" t="str">
        <f t="shared" si="90"/>
        <v/>
      </c>
      <c r="Q1909" s="9"/>
    </row>
    <row r="1910" spans="1:17" ht="15">
      <c r="A1910" s="5" t="str">
        <f t="shared" si="88"/>
        <v/>
      </c>
      <c r="B1910" s="6"/>
      <c r="C1910" s="5" t="str">
        <f>IFERROR(VLOOKUP(B1910,Lists!$A$2:$B$25,2,FALSE),"")</f>
        <v/>
      </c>
      <c r="D1910" s="7"/>
      <c r="E1910" s="6"/>
      <c r="F1910" s="6" t="str">
        <f t="shared" si="89"/>
        <v/>
      </c>
      <c r="G1910" s="6"/>
      <c r="H1910" s="6"/>
      <c r="I1910" s="6"/>
      <c r="J1910" s="7"/>
      <c r="K1910" s="5" t="str" cm="1">
        <f t="array" ref="K1910">IF(OR(A1910="",B1910="",D1910="",E1910=""),"",A1910&amp;"_"&amp;SUBSTITUTE(B1910," ","-")&amp;"_"&amp;D1910&amp;"_"&amp;SUBSTITUTE(SUBSTITUTE(E1910," ",""),"€","Euro")&amp;"_"&amp;IF(F1910="","Unknown",F1910)&amp;IF(F1910="Commemorative",IF(G1910="","","_"&amp;SUBSTITUTE(SUBSTITUTE(SUBSTITUTE(G1910," ","-"),"/","-"),CHAR(39),"")),"")&amp;IF(I1910="Duplicate","_Dub"&amp;IF(SUMPRODUCT(($B$2:B1910=B1910)*($D$2:D1910=D1910)*($E$2:E1910=E1910)*($F$2:F1910=F1910)*($G$2:G1910=G1910)*($I$2:I1910="Duplicate"))&lt;=1,"",SUMPRODUCT(($B$2:B1910=B1910)*($D$2:D1910=D1910)*($E$2:E1910=E1910)*($F$2:F1910=F1910)*($G$2:G1910=G1910)*($I$2:I1910="Duplicate"))-1),"")&amp;".jpeg")</f>
        <v/>
      </c>
      <c r="L1910" s="6"/>
      <c r="M1910" s="5" t="str">
        <f>IFERROR(VLOOKUP(E1910,Specifications!$A$2:$D$9,2,FALSE),"")</f>
        <v/>
      </c>
      <c r="N1910" s="5" t="str">
        <f>IFERROR(VLOOKUP(E1910,Specifications!$A$2:$D$9,3,FALSE),"")</f>
        <v/>
      </c>
      <c r="O1910" s="5" t="str">
        <f>IFERROR(VLOOKUP(E1910,Specifications!$A$2:$D$9,4,FALSE),"")</f>
        <v/>
      </c>
      <c r="P1910" s="8" t="str">
        <f t="shared" si="90"/>
        <v/>
      </c>
      <c r="Q1910" s="9"/>
    </row>
    <row r="1911" spans="1:17" ht="15">
      <c r="A1911" s="5" t="str">
        <f t="shared" si="88"/>
        <v/>
      </c>
      <c r="B1911" s="6"/>
      <c r="C1911" s="5" t="str">
        <f>IFERROR(VLOOKUP(B1911,Lists!$A$2:$B$25,2,FALSE),"")</f>
        <v/>
      </c>
      <c r="D1911" s="7"/>
      <c r="E1911" s="6"/>
      <c r="F1911" s="6" t="str">
        <f t="shared" si="89"/>
        <v/>
      </c>
      <c r="G1911" s="6"/>
      <c r="H1911" s="6"/>
      <c r="I1911" s="6"/>
      <c r="J1911" s="7"/>
      <c r="K1911" s="5" t="str" cm="1">
        <f t="array" ref="K1911">IF(OR(A1911="",B1911="",D1911="",E1911=""),"",A1911&amp;"_"&amp;SUBSTITUTE(B1911," ","-")&amp;"_"&amp;D1911&amp;"_"&amp;SUBSTITUTE(SUBSTITUTE(E1911," ",""),"€","Euro")&amp;"_"&amp;IF(F1911="","Unknown",F1911)&amp;IF(F1911="Commemorative",IF(G1911="","","_"&amp;SUBSTITUTE(SUBSTITUTE(SUBSTITUTE(G1911," ","-"),"/","-"),CHAR(39),"")),"")&amp;IF(I1911="Duplicate","_Dub"&amp;IF(SUMPRODUCT(($B$2:B1911=B1911)*($D$2:D1911=D1911)*($E$2:E1911=E1911)*($F$2:F1911=F1911)*($G$2:G1911=G1911)*($I$2:I1911="Duplicate"))&lt;=1,"",SUMPRODUCT(($B$2:B1911=B1911)*($D$2:D1911=D1911)*($E$2:E1911=E1911)*($F$2:F1911=F1911)*($G$2:G1911=G1911)*($I$2:I1911="Duplicate"))-1),"")&amp;".jpeg")</f>
        <v/>
      </c>
      <c r="L1911" s="6"/>
      <c r="M1911" s="5" t="str">
        <f>IFERROR(VLOOKUP(E1911,Specifications!$A$2:$D$9,2,FALSE),"")</f>
        <v/>
      </c>
      <c r="N1911" s="5" t="str">
        <f>IFERROR(VLOOKUP(E1911,Specifications!$A$2:$D$9,3,FALSE),"")</f>
        <v/>
      </c>
      <c r="O1911" s="5" t="str">
        <f>IFERROR(VLOOKUP(E1911,Specifications!$A$2:$D$9,4,FALSE),"")</f>
        <v/>
      </c>
      <c r="P1911" s="8" t="str">
        <f t="shared" si="90"/>
        <v/>
      </c>
      <c r="Q1911" s="9"/>
    </row>
    <row r="1912" spans="1:17" ht="15">
      <c r="A1912" s="5" t="str">
        <f t="shared" si="88"/>
        <v/>
      </c>
      <c r="B1912" s="6"/>
      <c r="C1912" s="5" t="str">
        <f>IFERROR(VLOOKUP(B1912,Lists!$A$2:$B$25,2,FALSE),"")</f>
        <v/>
      </c>
      <c r="D1912" s="7"/>
      <c r="E1912" s="6"/>
      <c r="F1912" s="6" t="str">
        <f t="shared" si="89"/>
        <v/>
      </c>
      <c r="G1912" s="6"/>
      <c r="H1912" s="6"/>
      <c r="I1912" s="6"/>
      <c r="J1912" s="7"/>
      <c r="K1912" s="5" t="str" cm="1">
        <f t="array" ref="K1912">IF(OR(A1912="",B1912="",D1912="",E1912=""),"",A1912&amp;"_"&amp;SUBSTITUTE(B1912," ","-")&amp;"_"&amp;D1912&amp;"_"&amp;SUBSTITUTE(SUBSTITUTE(E1912," ",""),"€","Euro")&amp;"_"&amp;IF(F1912="","Unknown",F1912)&amp;IF(F1912="Commemorative",IF(G1912="","","_"&amp;SUBSTITUTE(SUBSTITUTE(SUBSTITUTE(G1912," ","-"),"/","-"),CHAR(39),"")),"")&amp;IF(I1912="Duplicate","_Dub"&amp;IF(SUMPRODUCT(($B$2:B1912=B1912)*($D$2:D1912=D1912)*($E$2:E1912=E1912)*($F$2:F1912=F1912)*($G$2:G1912=G1912)*($I$2:I1912="Duplicate"))&lt;=1,"",SUMPRODUCT(($B$2:B1912=B1912)*($D$2:D1912=D1912)*($E$2:E1912=E1912)*($F$2:F1912=F1912)*($G$2:G1912=G1912)*($I$2:I1912="Duplicate"))-1),"")&amp;".jpeg")</f>
        <v/>
      </c>
      <c r="L1912" s="6"/>
      <c r="M1912" s="5" t="str">
        <f>IFERROR(VLOOKUP(E1912,Specifications!$A$2:$D$9,2,FALSE),"")</f>
        <v/>
      </c>
      <c r="N1912" s="5" t="str">
        <f>IFERROR(VLOOKUP(E1912,Specifications!$A$2:$D$9,3,FALSE),"")</f>
        <v/>
      </c>
      <c r="O1912" s="5" t="str">
        <f>IFERROR(VLOOKUP(E1912,Specifications!$A$2:$D$9,4,FALSE),"")</f>
        <v/>
      </c>
      <c r="P1912" s="8" t="str">
        <f t="shared" si="90"/>
        <v/>
      </c>
      <c r="Q1912" s="9"/>
    </row>
    <row r="1913" spans="1:17" ht="15">
      <c r="A1913" s="5" t="str">
        <f t="shared" si="88"/>
        <v/>
      </c>
      <c r="B1913" s="6"/>
      <c r="C1913" s="5" t="str">
        <f>IFERROR(VLOOKUP(B1913,Lists!$A$2:$B$25,2,FALSE),"")</f>
        <v/>
      </c>
      <c r="D1913" s="7"/>
      <c r="E1913" s="6"/>
      <c r="F1913" s="6" t="str">
        <f t="shared" si="89"/>
        <v/>
      </c>
      <c r="G1913" s="6"/>
      <c r="H1913" s="6"/>
      <c r="I1913" s="6"/>
      <c r="J1913" s="7"/>
      <c r="K1913" s="5" t="str" cm="1">
        <f t="array" ref="K1913">IF(OR(A1913="",B1913="",D1913="",E1913=""),"",A1913&amp;"_"&amp;SUBSTITUTE(B1913," ","-")&amp;"_"&amp;D1913&amp;"_"&amp;SUBSTITUTE(SUBSTITUTE(E1913," ",""),"€","Euro")&amp;"_"&amp;IF(F1913="","Unknown",F1913)&amp;IF(F1913="Commemorative",IF(G1913="","","_"&amp;SUBSTITUTE(SUBSTITUTE(SUBSTITUTE(G1913," ","-"),"/","-"),CHAR(39),"")),"")&amp;IF(I1913="Duplicate","_Dub"&amp;IF(SUMPRODUCT(($B$2:B1913=B1913)*($D$2:D1913=D1913)*($E$2:E1913=E1913)*($F$2:F1913=F1913)*($G$2:G1913=G1913)*($I$2:I1913="Duplicate"))&lt;=1,"",SUMPRODUCT(($B$2:B1913=B1913)*($D$2:D1913=D1913)*($E$2:E1913=E1913)*($F$2:F1913=F1913)*($G$2:G1913=G1913)*($I$2:I1913="Duplicate"))-1),"")&amp;".jpeg")</f>
        <v/>
      </c>
      <c r="L1913" s="6"/>
      <c r="M1913" s="5" t="str">
        <f>IFERROR(VLOOKUP(E1913,Specifications!$A$2:$D$9,2,FALSE),"")</f>
        <v/>
      </c>
      <c r="N1913" s="5" t="str">
        <f>IFERROR(VLOOKUP(E1913,Specifications!$A$2:$D$9,3,FALSE),"")</f>
        <v/>
      </c>
      <c r="O1913" s="5" t="str">
        <f>IFERROR(VLOOKUP(E1913,Specifications!$A$2:$D$9,4,FALSE),"")</f>
        <v/>
      </c>
      <c r="P1913" s="8" t="str">
        <f t="shared" si="90"/>
        <v/>
      </c>
      <c r="Q1913" s="9"/>
    </row>
    <row r="1914" spans="1:17" ht="15">
      <c r="A1914" s="5" t="str">
        <f t="shared" si="88"/>
        <v/>
      </c>
      <c r="B1914" s="6"/>
      <c r="C1914" s="5" t="str">
        <f>IFERROR(VLOOKUP(B1914,Lists!$A$2:$B$25,2,FALSE),"")</f>
        <v/>
      </c>
      <c r="D1914" s="7"/>
      <c r="E1914" s="6"/>
      <c r="F1914" s="6" t="str">
        <f t="shared" si="89"/>
        <v/>
      </c>
      <c r="G1914" s="6"/>
      <c r="H1914" s="6"/>
      <c r="I1914" s="6"/>
      <c r="J1914" s="7"/>
      <c r="K1914" s="5" t="str" cm="1">
        <f t="array" ref="K1914">IF(OR(A1914="",B1914="",D1914="",E1914=""),"",A1914&amp;"_"&amp;SUBSTITUTE(B1914," ","-")&amp;"_"&amp;D1914&amp;"_"&amp;SUBSTITUTE(SUBSTITUTE(E1914," ",""),"€","Euro")&amp;"_"&amp;IF(F1914="","Unknown",F1914)&amp;IF(F1914="Commemorative",IF(G1914="","","_"&amp;SUBSTITUTE(SUBSTITUTE(SUBSTITUTE(G1914," ","-"),"/","-"),CHAR(39),"")),"")&amp;IF(I1914="Duplicate","_Dub"&amp;IF(SUMPRODUCT(($B$2:B1914=B1914)*($D$2:D1914=D1914)*($E$2:E1914=E1914)*($F$2:F1914=F1914)*($G$2:G1914=G1914)*($I$2:I1914="Duplicate"))&lt;=1,"",SUMPRODUCT(($B$2:B1914=B1914)*($D$2:D1914=D1914)*($E$2:E1914=E1914)*($F$2:F1914=F1914)*($G$2:G1914=G1914)*($I$2:I1914="Duplicate"))-1),"")&amp;".jpeg")</f>
        <v/>
      </c>
      <c r="L1914" s="6"/>
      <c r="M1914" s="5" t="str">
        <f>IFERROR(VLOOKUP(E1914,Specifications!$A$2:$D$9,2,FALSE),"")</f>
        <v/>
      </c>
      <c r="N1914" s="5" t="str">
        <f>IFERROR(VLOOKUP(E1914,Specifications!$A$2:$D$9,3,FALSE),"")</f>
        <v/>
      </c>
      <c r="O1914" s="5" t="str">
        <f>IFERROR(VLOOKUP(E1914,Specifications!$A$2:$D$9,4,FALSE),"")</f>
        <v/>
      </c>
      <c r="P1914" s="8" t="str">
        <f t="shared" si="90"/>
        <v/>
      </c>
      <c r="Q1914" s="9"/>
    </row>
    <row r="1915" spans="1:17" ht="15">
      <c r="A1915" s="5" t="str">
        <f t="shared" si="88"/>
        <v/>
      </c>
      <c r="B1915" s="6"/>
      <c r="C1915" s="5" t="str">
        <f>IFERROR(VLOOKUP(B1915,Lists!$A$2:$B$25,2,FALSE),"")</f>
        <v/>
      </c>
      <c r="D1915" s="7"/>
      <c r="E1915" s="6"/>
      <c r="F1915" s="6" t="str">
        <f t="shared" si="89"/>
        <v/>
      </c>
      <c r="G1915" s="6"/>
      <c r="H1915" s="6"/>
      <c r="I1915" s="6"/>
      <c r="J1915" s="7"/>
      <c r="K1915" s="5" t="str" cm="1">
        <f t="array" ref="K1915">IF(OR(A1915="",B1915="",D1915="",E1915=""),"",A1915&amp;"_"&amp;SUBSTITUTE(B1915," ","-")&amp;"_"&amp;D1915&amp;"_"&amp;SUBSTITUTE(SUBSTITUTE(E1915," ",""),"€","Euro")&amp;"_"&amp;IF(F1915="","Unknown",F1915)&amp;IF(F1915="Commemorative",IF(G1915="","","_"&amp;SUBSTITUTE(SUBSTITUTE(SUBSTITUTE(G1915," ","-"),"/","-"),CHAR(39),"")),"")&amp;IF(I1915="Duplicate","_Dub"&amp;IF(SUMPRODUCT(($B$2:B1915=B1915)*($D$2:D1915=D1915)*($E$2:E1915=E1915)*($F$2:F1915=F1915)*($G$2:G1915=G1915)*($I$2:I1915="Duplicate"))&lt;=1,"",SUMPRODUCT(($B$2:B1915=B1915)*($D$2:D1915=D1915)*($E$2:E1915=E1915)*($F$2:F1915=F1915)*($G$2:G1915=G1915)*($I$2:I1915="Duplicate"))-1),"")&amp;".jpeg")</f>
        <v/>
      </c>
      <c r="L1915" s="6"/>
      <c r="M1915" s="5" t="str">
        <f>IFERROR(VLOOKUP(E1915,Specifications!$A$2:$D$9,2,FALSE),"")</f>
        <v/>
      </c>
      <c r="N1915" s="5" t="str">
        <f>IFERROR(VLOOKUP(E1915,Specifications!$A$2:$D$9,3,FALSE),"")</f>
        <v/>
      </c>
      <c r="O1915" s="5" t="str">
        <f>IFERROR(VLOOKUP(E1915,Specifications!$A$2:$D$9,4,FALSE),"")</f>
        <v/>
      </c>
      <c r="P1915" s="8" t="str">
        <f t="shared" si="90"/>
        <v/>
      </c>
      <c r="Q1915" s="9"/>
    </row>
    <row r="1916" spans="1:17" ht="15">
      <c r="A1916" s="5" t="str">
        <f t="shared" si="88"/>
        <v/>
      </c>
      <c r="B1916" s="6"/>
      <c r="C1916" s="5" t="str">
        <f>IFERROR(VLOOKUP(B1916,Lists!$A$2:$B$25,2,FALSE),"")</f>
        <v/>
      </c>
      <c r="D1916" s="7"/>
      <c r="E1916" s="6"/>
      <c r="F1916" s="6" t="str">
        <f t="shared" si="89"/>
        <v/>
      </c>
      <c r="G1916" s="6"/>
      <c r="H1916" s="6"/>
      <c r="I1916" s="6"/>
      <c r="J1916" s="7"/>
      <c r="K1916" s="5" t="str" cm="1">
        <f t="array" ref="K1916">IF(OR(A1916="",B1916="",D1916="",E1916=""),"",A1916&amp;"_"&amp;SUBSTITUTE(B1916," ","-")&amp;"_"&amp;D1916&amp;"_"&amp;SUBSTITUTE(SUBSTITUTE(E1916," ",""),"€","Euro")&amp;"_"&amp;IF(F1916="","Unknown",F1916)&amp;IF(F1916="Commemorative",IF(G1916="","","_"&amp;SUBSTITUTE(SUBSTITUTE(SUBSTITUTE(G1916," ","-"),"/","-"),CHAR(39),"")),"")&amp;IF(I1916="Duplicate","_Dub"&amp;IF(SUMPRODUCT(($B$2:B1916=B1916)*($D$2:D1916=D1916)*($E$2:E1916=E1916)*($F$2:F1916=F1916)*($G$2:G1916=G1916)*($I$2:I1916="Duplicate"))&lt;=1,"",SUMPRODUCT(($B$2:B1916=B1916)*($D$2:D1916=D1916)*($E$2:E1916=E1916)*($F$2:F1916=F1916)*($G$2:G1916=G1916)*($I$2:I1916="Duplicate"))-1),"")&amp;".jpeg")</f>
        <v/>
      </c>
      <c r="L1916" s="6"/>
      <c r="M1916" s="5" t="str">
        <f>IFERROR(VLOOKUP(E1916,Specifications!$A$2:$D$9,2,FALSE),"")</f>
        <v/>
      </c>
      <c r="N1916" s="5" t="str">
        <f>IFERROR(VLOOKUP(E1916,Specifications!$A$2:$D$9,3,FALSE),"")</f>
        <v/>
      </c>
      <c r="O1916" s="5" t="str">
        <f>IFERROR(VLOOKUP(E1916,Specifications!$A$2:$D$9,4,FALSE),"")</f>
        <v/>
      </c>
      <c r="P1916" s="8" t="str">
        <f t="shared" si="90"/>
        <v/>
      </c>
      <c r="Q1916" s="9"/>
    </row>
    <row r="1917" spans="1:17" ht="15">
      <c r="A1917" s="5" t="str">
        <f t="shared" si="88"/>
        <v/>
      </c>
      <c r="B1917" s="6"/>
      <c r="C1917" s="5" t="str">
        <f>IFERROR(VLOOKUP(B1917,Lists!$A$2:$B$25,2,FALSE),"")</f>
        <v/>
      </c>
      <c r="D1917" s="7"/>
      <c r="E1917" s="6"/>
      <c r="F1917" s="6" t="str">
        <f t="shared" si="89"/>
        <v/>
      </c>
      <c r="G1917" s="6"/>
      <c r="H1917" s="6"/>
      <c r="I1917" s="6"/>
      <c r="J1917" s="7"/>
      <c r="K1917" s="5" t="str" cm="1">
        <f t="array" ref="K1917">IF(OR(A1917="",B1917="",D1917="",E1917=""),"",A1917&amp;"_"&amp;SUBSTITUTE(B1917," ","-")&amp;"_"&amp;D1917&amp;"_"&amp;SUBSTITUTE(SUBSTITUTE(E1917," ",""),"€","Euro")&amp;"_"&amp;IF(F1917="","Unknown",F1917)&amp;IF(F1917="Commemorative",IF(G1917="","","_"&amp;SUBSTITUTE(SUBSTITUTE(SUBSTITUTE(G1917," ","-"),"/","-"),CHAR(39),"")),"")&amp;IF(I1917="Duplicate","_Dub"&amp;IF(SUMPRODUCT(($B$2:B1917=B1917)*($D$2:D1917=D1917)*($E$2:E1917=E1917)*($F$2:F1917=F1917)*($G$2:G1917=G1917)*($I$2:I1917="Duplicate"))&lt;=1,"",SUMPRODUCT(($B$2:B1917=B1917)*($D$2:D1917=D1917)*($E$2:E1917=E1917)*($F$2:F1917=F1917)*($G$2:G1917=G1917)*($I$2:I1917="Duplicate"))-1),"")&amp;".jpeg")</f>
        <v/>
      </c>
      <c r="L1917" s="6"/>
      <c r="M1917" s="5" t="str">
        <f>IFERROR(VLOOKUP(E1917,Specifications!$A$2:$D$9,2,FALSE),"")</f>
        <v/>
      </c>
      <c r="N1917" s="5" t="str">
        <f>IFERROR(VLOOKUP(E1917,Specifications!$A$2:$D$9,3,FALSE),"")</f>
        <v/>
      </c>
      <c r="O1917" s="5" t="str">
        <f>IFERROR(VLOOKUP(E1917,Specifications!$A$2:$D$9,4,FALSE),"")</f>
        <v/>
      </c>
      <c r="P1917" s="8" t="str">
        <f t="shared" si="90"/>
        <v/>
      </c>
      <c r="Q1917" s="9"/>
    </row>
    <row r="1918" spans="1:17" ht="15">
      <c r="A1918" s="5" t="str">
        <f t="shared" si="88"/>
        <v/>
      </c>
      <c r="B1918" s="6"/>
      <c r="C1918" s="5" t="str">
        <f>IFERROR(VLOOKUP(B1918,Lists!$A$2:$B$25,2,FALSE),"")</f>
        <v/>
      </c>
      <c r="D1918" s="7"/>
      <c r="E1918" s="6"/>
      <c r="F1918" s="6" t="str">
        <f t="shared" si="89"/>
        <v/>
      </c>
      <c r="G1918" s="6"/>
      <c r="H1918" s="6"/>
      <c r="I1918" s="6"/>
      <c r="J1918" s="7"/>
      <c r="K1918" s="5" t="str" cm="1">
        <f t="array" ref="K1918">IF(OR(A1918="",B1918="",D1918="",E1918=""),"",A1918&amp;"_"&amp;SUBSTITUTE(B1918," ","-")&amp;"_"&amp;D1918&amp;"_"&amp;SUBSTITUTE(SUBSTITUTE(E1918," ",""),"€","Euro")&amp;"_"&amp;IF(F1918="","Unknown",F1918)&amp;IF(F1918="Commemorative",IF(G1918="","","_"&amp;SUBSTITUTE(SUBSTITUTE(SUBSTITUTE(G1918," ","-"),"/","-"),CHAR(39),"")),"")&amp;IF(I1918="Duplicate","_Dub"&amp;IF(SUMPRODUCT(($B$2:B1918=B1918)*($D$2:D1918=D1918)*($E$2:E1918=E1918)*($F$2:F1918=F1918)*($G$2:G1918=G1918)*($I$2:I1918="Duplicate"))&lt;=1,"",SUMPRODUCT(($B$2:B1918=B1918)*($D$2:D1918=D1918)*($E$2:E1918=E1918)*($F$2:F1918=F1918)*($G$2:G1918=G1918)*($I$2:I1918="Duplicate"))-1),"")&amp;".jpeg")</f>
        <v/>
      </c>
      <c r="L1918" s="6"/>
      <c r="M1918" s="5" t="str">
        <f>IFERROR(VLOOKUP(E1918,Specifications!$A$2:$D$9,2,FALSE),"")</f>
        <v/>
      </c>
      <c r="N1918" s="5" t="str">
        <f>IFERROR(VLOOKUP(E1918,Specifications!$A$2:$D$9,3,FALSE),"")</f>
        <v/>
      </c>
      <c r="O1918" s="5" t="str">
        <f>IFERROR(VLOOKUP(E1918,Specifications!$A$2:$D$9,4,FALSE),"")</f>
        <v/>
      </c>
      <c r="P1918" s="8" t="str">
        <f t="shared" si="90"/>
        <v/>
      </c>
      <c r="Q1918" s="9"/>
    </row>
    <row r="1919" spans="1:17" ht="15">
      <c r="A1919" s="5" t="str">
        <f t="shared" si="88"/>
        <v/>
      </c>
      <c r="B1919" s="6"/>
      <c r="C1919" s="5" t="str">
        <f>IFERROR(VLOOKUP(B1919,Lists!$A$2:$B$25,2,FALSE),"")</f>
        <v/>
      </c>
      <c r="D1919" s="7"/>
      <c r="E1919" s="6"/>
      <c r="F1919" s="6" t="str">
        <f t="shared" si="89"/>
        <v/>
      </c>
      <c r="G1919" s="6"/>
      <c r="H1919" s="6"/>
      <c r="I1919" s="6"/>
      <c r="J1919" s="7"/>
      <c r="K1919" s="5" t="str" cm="1">
        <f t="array" ref="K1919">IF(OR(A1919="",B1919="",D1919="",E1919=""),"",A1919&amp;"_"&amp;SUBSTITUTE(B1919," ","-")&amp;"_"&amp;D1919&amp;"_"&amp;SUBSTITUTE(SUBSTITUTE(E1919," ",""),"€","Euro")&amp;"_"&amp;IF(F1919="","Unknown",F1919)&amp;IF(F1919="Commemorative",IF(G1919="","","_"&amp;SUBSTITUTE(SUBSTITUTE(SUBSTITUTE(G1919," ","-"),"/","-"),CHAR(39),"")),"")&amp;IF(I1919="Duplicate","_Dub"&amp;IF(SUMPRODUCT(($B$2:B1919=B1919)*($D$2:D1919=D1919)*($E$2:E1919=E1919)*($F$2:F1919=F1919)*($G$2:G1919=G1919)*($I$2:I1919="Duplicate"))&lt;=1,"",SUMPRODUCT(($B$2:B1919=B1919)*($D$2:D1919=D1919)*($E$2:E1919=E1919)*($F$2:F1919=F1919)*($G$2:G1919=G1919)*($I$2:I1919="Duplicate"))-1),"")&amp;".jpeg")</f>
        <v/>
      </c>
      <c r="L1919" s="6"/>
      <c r="M1919" s="5" t="str">
        <f>IFERROR(VLOOKUP(E1919,Specifications!$A$2:$D$9,2,FALSE),"")</f>
        <v/>
      </c>
      <c r="N1919" s="5" t="str">
        <f>IFERROR(VLOOKUP(E1919,Specifications!$A$2:$D$9,3,FALSE),"")</f>
        <v/>
      </c>
      <c r="O1919" s="5" t="str">
        <f>IFERROR(VLOOKUP(E1919,Specifications!$A$2:$D$9,4,FALSE),"")</f>
        <v/>
      </c>
      <c r="P1919" s="8" t="str">
        <f t="shared" si="90"/>
        <v/>
      </c>
      <c r="Q1919" s="9"/>
    </row>
    <row r="1920" spans="1:17" ht="15">
      <c r="A1920" s="5" t="str">
        <f t="shared" si="88"/>
        <v/>
      </c>
      <c r="B1920" s="6"/>
      <c r="C1920" s="5" t="str">
        <f>IFERROR(VLOOKUP(B1920,Lists!$A$2:$B$25,2,FALSE),"")</f>
        <v/>
      </c>
      <c r="D1920" s="7"/>
      <c r="E1920" s="6"/>
      <c r="F1920" s="6" t="str">
        <f t="shared" si="89"/>
        <v/>
      </c>
      <c r="G1920" s="6"/>
      <c r="H1920" s="6"/>
      <c r="I1920" s="6"/>
      <c r="J1920" s="7"/>
      <c r="K1920" s="5" t="str" cm="1">
        <f t="array" ref="K1920">IF(OR(A1920="",B1920="",D1920="",E1920=""),"",A1920&amp;"_"&amp;SUBSTITUTE(B1920," ","-")&amp;"_"&amp;D1920&amp;"_"&amp;SUBSTITUTE(SUBSTITUTE(E1920," ",""),"€","Euro")&amp;"_"&amp;IF(F1920="","Unknown",F1920)&amp;IF(F1920="Commemorative",IF(G1920="","","_"&amp;SUBSTITUTE(SUBSTITUTE(SUBSTITUTE(G1920," ","-"),"/","-"),CHAR(39),"")),"")&amp;IF(I1920="Duplicate","_Dub"&amp;IF(SUMPRODUCT(($B$2:B1920=B1920)*($D$2:D1920=D1920)*($E$2:E1920=E1920)*($F$2:F1920=F1920)*($G$2:G1920=G1920)*($I$2:I1920="Duplicate"))&lt;=1,"",SUMPRODUCT(($B$2:B1920=B1920)*($D$2:D1920=D1920)*($E$2:E1920=E1920)*($F$2:F1920=F1920)*($G$2:G1920=G1920)*($I$2:I1920="Duplicate"))-1),"")&amp;".jpeg")</f>
        <v/>
      </c>
      <c r="L1920" s="6"/>
      <c r="M1920" s="5" t="str">
        <f>IFERROR(VLOOKUP(E1920,Specifications!$A$2:$D$9,2,FALSE),"")</f>
        <v/>
      </c>
      <c r="N1920" s="5" t="str">
        <f>IFERROR(VLOOKUP(E1920,Specifications!$A$2:$D$9,3,FALSE),"")</f>
        <v/>
      </c>
      <c r="O1920" s="5" t="str">
        <f>IFERROR(VLOOKUP(E1920,Specifications!$A$2:$D$9,4,FALSE),"")</f>
        <v/>
      </c>
      <c r="P1920" s="8" t="str">
        <f t="shared" si="90"/>
        <v/>
      </c>
      <c r="Q1920" s="9"/>
    </row>
    <row r="1921" spans="1:17" ht="15">
      <c r="A1921" s="5" t="str">
        <f t="shared" si="88"/>
        <v/>
      </c>
      <c r="B1921" s="6"/>
      <c r="C1921" s="5" t="str">
        <f>IFERROR(VLOOKUP(B1921,Lists!$A$2:$B$25,2,FALSE),"")</f>
        <v/>
      </c>
      <c r="D1921" s="7"/>
      <c r="E1921" s="6"/>
      <c r="F1921" s="6" t="str">
        <f t="shared" si="89"/>
        <v/>
      </c>
      <c r="G1921" s="6"/>
      <c r="H1921" s="6"/>
      <c r="I1921" s="6"/>
      <c r="J1921" s="7"/>
      <c r="K1921" s="5" t="str" cm="1">
        <f t="array" ref="K1921">IF(OR(A1921="",B1921="",D1921="",E1921=""),"",A1921&amp;"_"&amp;SUBSTITUTE(B1921," ","-")&amp;"_"&amp;D1921&amp;"_"&amp;SUBSTITUTE(SUBSTITUTE(E1921," ",""),"€","Euro")&amp;"_"&amp;IF(F1921="","Unknown",F1921)&amp;IF(F1921="Commemorative",IF(G1921="","","_"&amp;SUBSTITUTE(SUBSTITUTE(SUBSTITUTE(G1921," ","-"),"/","-"),CHAR(39),"")),"")&amp;IF(I1921="Duplicate","_Dub"&amp;IF(SUMPRODUCT(($B$2:B1921=B1921)*($D$2:D1921=D1921)*($E$2:E1921=E1921)*($F$2:F1921=F1921)*($G$2:G1921=G1921)*($I$2:I1921="Duplicate"))&lt;=1,"",SUMPRODUCT(($B$2:B1921=B1921)*($D$2:D1921=D1921)*($E$2:E1921=E1921)*($F$2:F1921=F1921)*($G$2:G1921=G1921)*($I$2:I1921="Duplicate"))-1),"")&amp;".jpeg")</f>
        <v/>
      </c>
      <c r="L1921" s="6"/>
      <c r="M1921" s="5" t="str">
        <f>IFERROR(VLOOKUP(E1921,Specifications!$A$2:$D$9,2,FALSE),"")</f>
        <v/>
      </c>
      <c r="N1921" s="5" t="str">
        <f>IFERROR(VLOOKUP(E1921,Specifications!$A$2:$D$9,3,FALSE),"")</f>
        <v/>
      </c>
      <c r="O1921" s="5" t="str">
        <f>IFERROR(VLOOKUP(E1921,Specifications!$A$2:$D$9,4,FALSE),"")</f>
        <v/>
      </c>
      <c r="P1921" s="8" t="str">
        <f t="shared" si="90"/>
        <v/>
      </c>
      <c r="Q1921" s="9"/>
    </row>
    <row r="1922" spans="1:17" ht="15">
      <c r="A1922" s="5" t="str">
        <f t="shared" ref="A1922:A1985" si="91">IF(B1922="","",TEXT(ROW()-1,"000"))</f>
        <v/>
      </c>
      <c r="B1922" s="6"/>
      <c r="C1922" s="5" t="str">
        <f>IFERROR(VLOOKUP(B1922,Lists!$A$2:$B$25,2,FALSE),"")</f>
        <v/>
      </c>
      <c r="D1922" s="7"/>
      <c r="E1922" s="6"/>
      <c r="F1922" s="6" t="str">
        <f t="shared" ref="F1922:F1985" si="92">IF(E1922="","",IF(E1922="2 €","", "Regular"))</f>
        <v/>
      </c>
      <c r="G1922" s="6"/>
      <c r="H1922" s="6"/>
      <c r="I1922" s="6"/>
      <c r="J1922" s="7"/>
      <c r="K1922" s="5" t="str" cm="1">
        <f t="array" ref="K1922">IF(OR(A1922="",B1922="",D1922="",E1922=""),"",A1922&amp;"_"&amp;SUBSTITUTE(B1922," ","-")&amp;"_"&amp;D1922&amp;"_"&amp;SUBSTITUTE(SUBSTITUTE(E1922," ",""),"€","Euro")&amp;"_"&amp;IF(F1922="","Unknown",F1922)&amp;IF(F1922="Commemorative",IF(G1922="","","_"&amp;SUBSTITUTE(SUBSTITUTE(SUBSTITUTE(G1922," ","-"),"/","-"),CHAR(39),"")),"")&amp;IF(I1922="Duplicate","_Dub"&amp;IF(SUMPRODUCT(($B$2:B1922=B1922)*($D$2:D1922=D1922)*($E$2:E1922=E1922)*($F$2:F1922=F1922)*($G$2:G1922=G1922)*($I$2:I1922="Duplicate"))&lt;=1,"",SUMPRODUCT(($B$2:B1922=B1922)*($D$2:D1922=D1922)*($E$2:E1922=E1922)*($F$2:F1922=F1922)*($G$2:G1922=G1922)*($I$2:I1922="Duplicate"))-1),"")&amp;".jpeg")</f>
        <v/>
      </c>
      <c r="L1922" s="6"/>
      <c r="M1922" s="5" t="str">
        <f>IFERROR(VLOOKUP(E1922,Specifications!$A$2:$D$9,2,FALSE),"")</f>
        <v/>
      </c>
      <c r="N1922" s="5" t="str">
        <f>IFERROR(VLOOKUP(E1922,Specifications!$A$2:$D$9,3,FALSE),"")</f>
        <v/>
      </c>
      <c r="O1922" s="5" t="str">
        <f>IFERROR(VLOOKUP(E1922,Specifications!$A$2:$D$9,4,FALSE),"")</f>
        <v/>
      </c>
      <c r="P1922" s="8" t="str">
        <f t="shared" ref="P1922:P1985" si="93">IF(OR(B1922="",E1922="",F1922=""),"",IF(F1922="Regular","Regular "&amp;E1922&amp;" circulation coin of "&amp;B1922&amp;".",IF(F1922="Commemorative",IF(G1922="","",E1922&amp;" commemorative coin of "&amp;B1922&amp;" – "&amp;G1922&amp;"."),"")))</f>
        <v/>
      </c>
      <c r="Q1922" s="9"/>
    </row>
    <row r="1923" spans="1:17" ht="15">
      <c r="A1923" s="5" t="str">
        <f t="shared" si="91"/>
        <v/>
      </c>
      <c r="B1923" s="6"/>
      <c r="C1923" s="5" t="str">
        <f>IFERROR(VLOOKUP(B1923,Lists!$A$2:$B$25,2,FALSE),"")</f>
        <v/>
      </c>
      <c r="D1923" s="7"/>
      <c r="E1923" s="6"/>
      <c r="F1923" s="6" t="str">
        <f t="shared" si="92"/>
        <v/>
      </c>
      <c r="G1923" s="6"/>
      <c r="H1923" s="6"/>
      <c r="I1923" s="6"/>
      <c r="J1923" s="7"/>
      <c r="K1923" s="5" t="str" cm="1">
        <f t="array" ref="K1923">IF(OR(A1923="",B1923="",D1923="",E1923=""),"",A1923&amp;"_"&amp;SUBSTITUTE(B1923," ","-")&amp;"_"&amp;D1923&amp;"_"&amp;SUBSTITUTE(SUBSTITUTE(E1923," ",""),"€","Euro")&amp;"_"&amp;IF(F1923="","Unknown",F1923)&amp;IF(F1923="Commemorative",IF(G1923="","","_"&amp;SUBSTITUTE(SUBSTITUTE(SUBSTITUTE(G1923," ","-"),"/","-"),CHAR(39),"")),"")&amp;IF(I1923="Duplicate","_Dub"&amp;IF(SUMPRODUCT(($B$2:B1923=B1923)*($D$2:D1923=D1923)*($E$2:E1923=E1923)*($F$2:F1923=F1923)*($G$2:G1923=G1923)*($I$2:I1923="Duplicate"))&lt;=1,"",SUMPRODUCT(($B$2:B1923=B1923)*($D$2:D1923=D1923)*($E$2:E1923=E1923)*($F$2:F1923=F1923)*($G$2:G1923=G1923)*($I$2:I1923="Duplicate"))-1),"")&amp;".jpeg")</f>
        <v/>
      </c>
      <c r="L1923" s="6"/>
      <c r="M1923" s="5" t="str">
        <f>IFERROR(VLOOKUP(E1923,Specifications!$A$2:$D$9,2,FALSE),"")</f>
        <v/>
      </c>
      <c r="N1923" s="5" t="str">
        <f>IFERROR(VLOOKUP(E1923,Specifications!$A$2:$D$9,3,FALSE),"")</f>
        <v/>
      </c>
      <c r="O1923" s="5" t="str">
        <f>IFERROR(VLOOKUP(E1923,Specifications!$A$2:$D$9,4,FALSE),"")</f>
        <v/>
      </c>
      <c r="P1923" s="8" t="str">
        <f t="shared" si="93"/>
        <v/>
      </c>
      <c r="Q1923" s="9"/>
    </row>
    <row r="1924" spans="1:17" ht="15">
      <c r="A1924" s="5" t="str">
        <f t="shared" si="91"/>
        <v/>
      </c>
      <c r="B1924" s="6"/>
      <c r="C1924" s="5" t="str">
        <f>IFERROR(VLOOKUP(B1924,Lists!$A$2:$B$25,2,FALSE),"")</f>
        <v/>
      </c>
      <c r="D1924" s="7"/>
      <c r="E1924" s="6"/>
      <c r="F1924" s="6" t="str">
        <f t="shared" si="92"/>
        <v/>
      </c>
      <c r="G1924" s="6"/>
      <c r="H1924" s="6"/>
      <c r="I1924" s="6"/>
      <c r="J1924" s="7"/>
      <c r="K1924" s="5" t="str" cm="1">
        <f t="array" ref="K1924">IF(OR(A1924="",B1924="",D1924="",E1924=""),"",A1924&amp;"_"&amp;SUBSTITUTE(B1924," ","-")&amp;"_"&amp;D1924&amp;"_"&amp;SUBSTITUTE(SUBSTITUTE(E1924," ",""),"€","Euro")&amp;"_"&amp;IF(F1924="","Unknown",F1924)&amp;IF(F1924="Commemorative",IF(G1924="","","_"&amp;SUBSTITUTE(SUBSTITUTE(SUBSTITUTE(G1924," ","-"),"/","-"),CHAR(39),"")),"")&amp;IF(I1924="Duplicate","_Dub"&amp;IF(SUMPRODUCT(($B$2:B1924=B1924)*($D$2:D1924=D1924)*($E$2:E1924=E1924)*($F$2:F1924=F1924)*($G$2:G1924=G1924)*($I$2:I1924="Duplicate"))&lt;=1,"",SUMPRODUCT(($B$2:B1924=B1924)*($D$2:D1924=D1924)*($E$2:E1924=E1924)*($F$2:F1924=F1924)*($G$2:G1924=G1924)*($I$2:I1924="Duplicate"))-1),"")&amp;".jpeg")</f>
        <v/>
      </c>
      <c r="L1924" s="6"/>
      <c r="M1924" s="5" t="str">
        <f>IFERROR(VLOOKUP(E1924,Specifications!$A$2:$D$9,2,FALSE),"")</f>
        <v/>
      </c>
      <c r="N1924" s="5" t="str">
        <f>IFERROR(VLOOKUP(E1924,Specifications!$A$2:$D$9,3,FALSE),"")</f>
        <v/>
      </c>
      <c r="O1924" s="5" t="str">
        <f>IFERROR(VLOOKUP(E1924,Specifications!$A$2:$D$9,4,FALSE),"")</f>
        <v/>
      </c>
      <c r="P1924" s="8" t="str">
        <f t="shared" si="93"/>
        <v/>
      </c>
      <c r="Q1924" s="9"/>
    </row>
    <row r="1925" spans="1:17" ht="15">
      <c r="A1925" s="5" t="str">
        <f t="shared" si="91"/>
        <v/>
      </c>
      <c r="B1925" s="6"/>
      <c r="C1925" s="5" t="str">
        <f>IFERROR(VLOOKUP(B1925,Lists!$A$2:$B$25,2,FALSE),"")</f>
        <v/>
      </c>
      <c r="D1925" s="7"/>
      <c r="E1925" s="6"/>
      <c r="F1925" s="6" t="str">
        <f t="shared" si="92"/>
        <v/>
      </c>
      <c r="G1925" s="6"/>
      <c r="H1925" s="6"/>
      <c r="I1925" s="6"/>
      <c r="J1925" s="7"/>
      <c r="K1925" s="5" t="str" cm="1">
        <f t="array" ref="K1925">IF(OR(A1925="",B1925="",D1925="",E1925=""),"",A1925&amp;"_"&amp;SUBSTITUTE(B1925," ","-")&amp;"_"&amp;D1925&amp;"_"&amp;SUBSTITUTE(SUBSTITUTE(E1925," ",""),"€","Euro")&amp;"_"&amp;IF(F1925="","Unknown",F1925)&amp;IF(F1925="Commemorative",IF(G1925="","","_"&amp;SUBSTITUTE(SUBSTITUTE(SUBSTITUTE(G1925," ","-"),"/","-"),CHAR(39),"")),"")&amp;IF(I1925="Duplicate","_Dub"&amp;IF(SUMPRODUCT(($B$2:B1925=B1925)*($D$2:D1925=D1925)*($E$2:E1925=E1925)*($F$2:F1925=F1925)*($G$2:G1925=G1925)*($I$2:I1925="Duplicate"))&lt;=1,"",SUMPRODUCT(($B$2:B1925=B1925)*($D$2:D1925=D1925)*($E$2:E1925=E1925)*($F$2:F1925=F1925)*($G$2:G1925=G1925)*($I$2:I1925="Duplicate"))-1),"")&amp;".jpeg")</f>
        <v/>
      </c>
      <c r="L1925" s="6"/>
      <c r="M1925" s="5" t="str">
        <f>IFERROR(VLOOKUP(E1925,Specifications!$A$2:$D$9,2,FALSE),"")</f>
        <v/>
      </c>
      <c r="N1925" s="5" t="str">
        <f>IFERROR(VLOOKUP(E1925,Specifications!$A$2:$D$9,3,FALSE),"")</f>
        <v/>
      </c>
      <c r="O1925" s="5" t="str">
        <f>IFERROR(VLOOKUP(E1925,Specifications!$A$2:$D$9,4,FALSE),"")</f>
        <v/>
      </c>
      <c r="P1925" s="8" t="str">
        <f t="shared" si="93"/>
        <v/>
      </c>
      <c r="Q1925" s="9"/>
    </row>
    <row r="1926" spans="1:17" ht="15">
      <c r="A1926" s="5" t="str">
        <f t="shared" si="91"/>
        <v/>
      </c>
      <c r="B1926" s="6"/>
      <c r="C1926" s="5" t="str">
        <f>IFERROR(VLOOKUP(B1926,Lists!$A$2:$B$25,2,FALSE),"")</f>
        <v/>
      </c>
      <c r="D1926" s="7"/>
      <c r="E1926" s="6"/>
      <c r="F1926" s="6" t="str">
        <f t="shared" si="92"/>
        <v/>
      </c>
      <c r="G1926" s="6"/>
      <c r="H1926" s="6"/>
      <c r="I1926" s="6"/>
      <c r="J1926" s="7"/>
      <c r="K1926" s="5" t="str" cm="1">
        <f t="array" ref="K1926">IF(OR(A1926="",B1926="",D1926="",E1926=""),"",A1926&amp;"_"&amp;SUBSTITUTE(B1926," ","-")&amp;"_"&amp;D1926&amp;"_"&amp;SUBSTITUTE(SUBSTITUTE(E1926," ",""),"€","Euro")&amp;"_"&amp;IF(F1926="","Unknown",F1926)&amp;IF(F1926="Commemorative",IF(G1926="","","_"&amp;SUBSTITUTE(SUBSTITUTE(SUBSTITUTE(G1926," ","-"),"/","-"),CHAR(39),"")),"")&amp;IF(I1926="Duplicate","_Dub"&amp;IF(SUMPRODUCT(($B$2:B1926=B1926)*($D$2:D1926=D1926)*($E$2:E1926=E1926)*($F$2:F1926=F1926)*($G$2:G1926=G1926)*($I$2:I1926="Duplicate"))&lt;=1,"",SUMPRODUCT(($B$2:B1926=B1926)*($D$2:D1926=D1926)*($E$2:E1926=E1926)*($F$2:F1926=F1926)*($G$2:G1926=G1926)*($I$2:I1926="Duplicate"))-1),"")&amp;".jpeg")</f>
        <v/>
      </c>
      <c r="L1926" s="6"/>
      <c r="M1926" s="5" t="str">
        <f>IFERROR(VLOOKUP(E1926,Specifications!$A$2:$D$9,2,FALSE),"")</f>
        <v/>
      </c>
      <c r="N1926" s="5" t="str">
        <f>IFERROR(VLOOKUP(E1926,Specifications!$A$2:$D$9,3,FALSE),"")</f>
        <v/>
      </c>
      <c r="O1926" s="5" t="str">
        <f>IFERROR(VLOOKUP(E1926,Specifications!$A$2:$D$9,4,FALSE),"")</f>
        <v/>
      </c>
      <c r="P1926" s="8" t="str">
        <f t="shared" si="93"/>
        <v/>
      </c>
      <c r="Q1926" s="9"/>
    </row>
    <row r="1927" spans="1:17" ht="15">
      <c r="A1927" s="5" t="str">
        <f t="shared" si="91"/>
        <v/>
      </c>
      <c r="B1927" s="6"/>
      <c r="C1927" s="5" t="str">
        <f>IFERROR(VLOOKUP(B1927,Lists!$A$2:$B$25,2,FALSE),"")</f>
        <v/>
      </c>
      <c r="D1927" s="7"/>
      <c r="E1927" s="6"/>
      <c r="F1927" s="6" t="str">
        <f t="shared" si="92"/>
        <v/>
      </c>
      <c r="G1927" s="6"/>
      <c r="H1927" s="6"/>
      <c r="I1927" s="6"/>
      <c r="J1927" s="7"/>
      <c r="K1927" s="5" t="str" cm="1">
        <f t="array" ref="K1927">IF(OR(A1927="",B1927="",D1927="",E1927=""),"",A1927&amp;"_"&amp;SUBSTITUTE(B1927," ","-")&amp;"_"&amp;D1927&amp;"_"&amp;SUBSTITUTE(SUBSTITUTE(E1927," ",""),"€","Euro")&amp;"_"&amp;IF(F1927="","Unknown",F1927)&amp;IF(F1927="Commemorative",IF(G1927="","","_"&amp;SUBSTITUTE(SUBSTITUTE(SUBSTITUTE(G1927," ","-"),"/","-"),CHAR(39),"")),"")&amp;IF(I1927="Duplicate","_Dub"&amp;IF(SUMPRODUCT(($B$2:B1927=B1927)*($D$2:D1927=D1927)*($E$2:E1927=E1927)*($F$2:F1927=F1927)*($G$2:G1927=G1927)*($I$2:I1927="Duplicate"))&lt;=1,"",SUMPRODUCT(($B$2:B1927=B1927)*($D$2:D1927=D1927)*($E$2:E1927=E1927)*($F$2:F1927=F1927)*($G$2:G1927=G1927)*($I$2:I1927="Duplicate"))-1),"")&amp;".jpeg")</f>
        <v/>
      </c>
      <c r="L1927" s="6"/>
      <c r="M1927" s="5" t="str">
        <f>IFERROR(VLOOKUP(E1927,Specifications!$A$2:$D$9,2,FALSE),"")</f>
        <v/>
      </c>
      <c r="N1927" s="5" t="str">
        <f>IFERROR(VLOOKUP(E1927,Specifications!$A$2:$D$9,3,FALSE),"")</f>
        <v/>
      </c>
      <c r="O1927" s="5" t="str">
        <f>IFERROR(VLOOKUP(E1927,Specifications!$A$2:$D$9,4,FALSE),"")</f>
        <v/>
      </c>
      <c r="P1927" s="8" t="str">
        <f t="shared" si="93"/>
        <v/>
      </c>
      <c r="Q1927" s="9"/>
    </row>
    <row r="1928" spans="1:17" ht="15">
      <c r="A1928" s="5" t="str">
        <f t="shared" si="91"/>
        <v/>
      </c>
      <c r="B1928" s="6"/>
      <c r="C1928" s="5" t="str">
        <f>IFERROR(VLOOKUP(B1928,Lists!$A$2:$B$25,2,FALSE),"")</f>
        <v/>
      </c>
      <c r="D1928" s="7"/>
      <c r="E1928" s="6"/>
      <c r="F1928" s="6" t="str">
        <f t="shared" si="92"/>
        <v/>
      </c>
      <c r="G1928" s="6"/>
      <c r="H1928" s="6"/>
      <c r="I1928" s="6"/>
      <c r="J1928" s="7"/>
      <c r="K1928" s="5" t="str" cm="1">
        <f t="array" ref="K1928">IF(OR(A1928="",B1928="",D1928="",E1928=""),"",A1928&amp;"_"&amp;SUBSTITUTE(B1928," ","-")&amp;"_"&amp;D1928&amp;"_"&amp;SUBSTITUTE(SUBSTITUTE(E1928," ",""),"€","Euro")&amp;"_"&amp;IF(F1928="","Unknown",F1928)&amp;IF(F1928="Commemorative",IF(G1928="","","_"&amp;SUBSTITUTE(SUBSTITUTE(SUBSTITUTE(G1928," ","-"),"/","-"),CHAR(39),"")),"")&amp;IF(I1928="Duplicate","_Dub"&amp;IF(SUMPRODUCT(($B$2:B1928=B1928)*($D$2:D1928=D1928)*($E$2:E1928=E1928)*($F$2:F1928=F1928)*($G$2:G1928=G1928)*($I$2:I1928="Duplicate"))&lt;=1,"",SUMPRODUCT(($B$2:B1928=B1928)*($D$2:D1928=D1928)*($E$2:E1928=E1928)*($F$2:F1928=F1928)*($G$2:G1928=G1928)*($I$2:I1928="Duplicate"))-1),"")&amp;".jpeg")</f>
        <v/>
      </c>
      <c r="L1928" s="6"/>
      <c r="M1928" s="5" t="str">
        <f>IFERROR(VLOOKUP(E1928,Specifications!$A$2:$D$9,2,FALSE),"")</f>
        <v/>
      </c>
      <c r="N1928" s="5" t="str">
        <f>IFERROR(VLOOKUP(E1928,Specifications!$A$2:$D$9,3,FALSE),"")</f>
        <v/>
      </c>
      <c r="O1928" s="5" t="str">
        <f>IFERROR(VLOOKUP(E1928,Specifications!$A$2:$D$9,4,FALSE),"")</f>
        <v/>
      </c>
      <c r="P1928" s="8" t="str">
        <f t="shared" si="93"/>
        <v/>
      </c>
      <c r="Q1928" s="9"/>
    </row>
    <row r="1929" spans="1:17" ht="15">
      <c r="A1929" s="5" t="str">
        <f t="shared" si="91"/>
        <v/>
      </c>
      <c r="B1929" s="6"/>
      <c r="C1929" s="5" t="str">
        <f>IFERROR(VLOOKUP(B1929,Lists!$A$2:$B$25,2,FALSE),"")</f>
        <v/>
      </c>
      <c r="D1929" s="7"/>
      <c r="E1929" s="6"/>
      <c r="F1929" s="6" t="str">
        <f t="shared" si="92"/>
        <v/>
      </c>
      <c r="G1929" s="6"/>
      <c r="H1929" s="6"/>
      <c r="I1929" s="6"/>
      <c r="J1929" s="7"/>
      <c r="K1929" s="5" t="str" cm="1">
        <f t="array" ref="K1929">IF(OR(A1929="",B1929="",D1929="",E1929=""),"",A1929&amp;"_"&amp;SUBSTITUTE(B1929," ","-")&amp;"_"&amp;D1929&amp;"_"&amp;SUBSTITUTE(SUBSTITUTE(E1929," ",""),"€","Euro")&amp;"_"&amp;IF(F1929="","Unknown",F1929)&amp;IF(F1929="Commemorative",IF(G1929="","","_"&amp;SUBSTITUTE(SUBSTITUTE(SUBSTITUTE(G1929," ","-"),"/","-"),CHAR(39),"")),"")&amp;IF(I1929="Duplicate","_Dub"&amp;IF(SUMPRODUCT(($B$2:B1929=B1929)*($D$2:D1929=D1929)*($E$2:E1929=E1929)*($F$2:F1929=F1929)*($G$2:G1929=G1929)*($I$2:I1929="Duplicate"))&lt;=1,"",SUMPRODUCT(($B$2:B1929=B1929)*($D$2:D1929=D1929)*($E$2:E1929=E1929)*($F$2:F1929=F1929)*($G$2:G1929=G1929)*($I$2:I1929="Duplicate"))-1),"")&amp;".jpeg")</f>
        <v/>
      </c>
      <c r="L1929" s="6"/>
      <c r="M1929" s="5" t="str">
        <f>IFERROR(VLOOKUP(E1929,Specifications!$A$2:$D$9,2,FALSE),"")</f>
        <v/>
      </c>
      <c r="N1929" s="5" t="str">
        <f>IFERROR(VLOOKUP(E1929,Specifications!$A$2:$D$9,3,FALSE),"")</f>
        <v/>
      </c>
      <c r="O1929" s="5" t="str">
        <f>IFERROR(VLOOKUP(E1929,Specifications!$A$2:$D$9,4,FALSE),"")</f>
        <v/>
      </c>
      <c r="P1929" s="8" t="str">
        <f t="shared" si="93"/>
        <v/>
      </c>
      <c r="Q1929" s="9"/>
    </row>
    <row r="1930" spans="1:17" ht="15">
      <c r="A1930" s="5" t="str">
        <f t="shared" si="91"/>
        <v/>
      </c>
      <c r="B1930" s="6"/>
      <c r="C1930" s="5" t="str">
        <f>IFERROR(VLOOKUP(B1930,Lists!$A$2:$B$25,2,FALSE),"")</f>
        <v/>
      </c>
      <c r="D1930" s="7"/>
      <c r="E1930" s="6"/>
      <c r="F1930" s="6" t="str">
        <f t="shared" si="92"/>
        <v/>
      </c>
      <c r="G1930" s="6"/>
      <c r="H1930" s="6"/>
      <c r="I1930" s="6"/>
      <c r="J1930" s="7"/>
      <c r="K1930" s="5" t="str" cm="1">
        <f t="array" ref="K1930">IF(OR(A1930="",B1930="",D1930="",E1930=""),"",A1930&amp;"_"&amp;SUBSTITUTE(B1930," ","-")&amp;"_"&amp;D1930&amp;"_"&amp;SUBSTITUTE(SUBSTITUTE(E1930," ",""),"€","Euro")&amp;"_"&amp;IF(F1930="","Unknown",F1930)&amp;IF(F1930="Commemorative",IF(G1930="","","_"&amp;SUBSTITUTE(SUBSTITUTE(SUBSTITUTE(G1930," ","-"),"/","-"),CHAR(39),"")),"")&amp;IF(I1930="Duplicate","_Dub"&amp;IF(SUMPRODUCT(($B$2:B1930=B1930)*($D$2:D1930=D1930)*($E$2:E1930=E1930)*($F$2:F1930=F1930)*($G$2:G1930=G1930)*($I$2:I1930="Duplicate"))&lt;=1,"",SUMPRODUCT(($B$2:B1930=B1930)*($D$2:D1930=D1930)*($E$2:E1930=E1930)*($F$2:F1930=F1930)*($G$2:G1930=G1930)*($I$2:I1930="Duplicate"))-1),"")&amp;".jpeg")</f>
        <v/>
      </c>
      <c r="L1930" s="6"/>
      <c r="M1930" s="5" t="str">
        <f>IFERROR(VLOOKUP(E1930,Specifications!$A$2:$D$9,2,FALSE),"")</f>
        <v/>
      </c>
      <c r="N1930" s="5" t="str">
        <f>IFERROR(VLOOKUP(E1930,Specifications!$A$2:$D$9,3,FALSE),"")</f>
        <v/>
      </c>
      <c r="O1930" s="5" t="str">
        <f>IFERROR(VLOOKUP(E1930,Specifications!$A$2:$D$9,4,FALSE),"")</f>
        <v/>
      </c>
      <c r="P1930" s="8" t="str">
        <f t="shared" si="93"/>
        <v/>
      </c>
      <c r="Q1930" s="9"/>
    </row>
    <row r="1931" spans="1:17" ht="15">
      <c r="A1931" s="5" t="str">
        <f t="shared" si="91"/>
        <v/>
      </c>
      <c r="B1931" s="6"/>
      <c r="C1931" s="5" t="str">
        <f>IFERROR(VLOOKUP(B1931,Lists!$A$2:$B$25,2,FALSE),"")</f>
        <v/>
      </c>
      <c r="D1931" s="7"/>
      <c r="E1931" s="6"/>
      <c r="F1931" s="6" t="str">
        <f t="shared" si="92"/>
        <v/>
      </c>
      <c r="G1931" s="6"/>
      <c r="H1931" s="6"/>
      <c r="I1931" s="6"/>
      <c r="J1931" s="7"/>
      <c r="K1931" s="5" t="str" cm="1">
        <f t="array" ref="K1931">IF(OR(A1931="",B1931="",D1931="",E1931=""),"",A1931&amp;"_"&amp;SUBSTITUTE(B1931," ","-")&amp;"_"&amp;D1931&amp;"_"&amp;SUBSTITUTE(SUBSTITUTE(E1931," ",""),"€","Euro")&amp;"_"&amp;IF(F1931="","Unknown",F1931)&amp;IF(F1931="Commemorative",IF(G1931="","","_"&amp;SUBSTITUTE(SUBSTITUTE(SUBSTITUTE(G1931," ","-"),"/","-"),CHAR(39),"")),"")&amp;IF(I1931="Duplicate","_Dub"&amp;IF(SUMPRODUCT(($B$2:B1931=B1931)*($D$2:D1931=D1931)*($E$2:E1931=E1931)*($F$2:F1931=F1931)*($G$2:G1931=G1931)*($I$2:I1931="Duplicate"))&lt;=1,"",SUMPRODUCT(($B$2:B1931=B1931)*($D$2:D1931=D1931)*($E$2:E1931=E1931)*($F$2:F1931=F1931)*($G$2:G1931=G1931)*($I$2:I1931="Duplicate"))-1),"")&amp;".jpeg")</f>
        <v/>
      </c>
      <c r="L1931" s="6"/>
      <c r="M1931" s="5" t="str">
        <f>IFERROR(VLOOKUP(E1931,Specifications!$A$2:$D$9,2,FALSE),"")</f>
        <v/>
      </c>
      <c r="N1931" s="5" t="str">
        <f>IFERROR(VLOOKUP(E1931,Specifications!$A$2:$D$9,3,FALSE),"")</f>
        <v/>
      </c>
      <c r="O1931" s="5" t="str">
        <f>IFERROR(VLOOKUP(E1931,Specifications!$A$2:$D$9,4,FALSE),"")</f>
        <v/>
      </c>
      <c r="P1931" s="8" t="str">
        <f t="shared" si="93"/>
        <v/>
      </c>
      <c r="Q1931" s="9"/>
    </row>
    <row r="1932" spans="1:17" ht="15">
      <c r="A1932" s="5" t="str">
        <f t="shared" si="91"/>
        <v/>
      </c>
      <c r="B1932" s="6"/>
      <c r="C1932" s="5" t="str">
        <f>IFERROR(VLOOKUP(B1932,Lists!$A$2:$B$25,2,FALSE),"")</f>
        <v/>
      </c>
      <c r="D1932" s="7"/>
      <c r="E1932" s="6"/>
      <c r="F1932" s="6" t="str">
        <f t="shared" si="92"/>
        <v/>
      </c>
      <c r="G1932" s="6"/>
      <c r="H1932" s="6"/>
      <c r="I1932" s="6"/>
      <c r="J1932" s="7"/>
      <c r="K1932" s="5" t="str" cm="1">
        <f t="array" ref="K1932">IF(OR(A1932="",B1932="",D1932="",E1932=""),"",A1932&amp;"_"&amp;SUBSTITUTE(B1932," ","-")&amp;"_"&amp;D1932&amp;"_"&amp;SUBSTITUTE(SUBSTITUTE(E1932," ",""),"€","Euro")&amp;"_"&amp;IF(F1932="","Unknown",F1932)&amp;IF(F1932="Commemorative",IF(G1932="","","_"&amp;SUBSTITUTE(SUBSTITUTE(SUBSTITUTE(G1932," ","-"),"/","-"),CHAR(39),"")),"")&amp;IF(I1932="Duplicate","_Dub"&amp;IF(SUMPRODUCT(($B$2:B1932=B1932)*($D$2:D1932=D1932)*($E$2:E1932=E1932)*($F$2:F1932=F1932)*($G$2:G1932=G1932)*($I$2:I1932="Duplicate"))&lt;=1,"",SUMPRODUCT(($B$2:B1932=B1932)*($D$2:D1932=D1932)*($E$2:E1932=E1932)*($F$2:F1932=F1932)*($G$2:G1932=G1932)*($I$2:I1932="Duplicate"))-1),"")&amp;".jpeg")</f>
        <v/>
      </c>
      <c r="L1932" s="6"/>
      <c r="M1932" s="5" t="str">
        <f>IFERROR(VLOOKUP(E1932,Specifications!$A$2:$D$9,2,FALSE),"")</f>
        <v/>
      </c>
      <c r="N1932" s="5" t="str">
        <f>IFERROR(VLOOKUP(E1932,Specifications!$A$2:$D$9,3,FALSE),"")</f>
        <v/>
      </c>
      <c r="O1932" s="5" t="str">
        <f>IFERROR(VLOOKUP(E1932,Specifications!$A$2:$D$9,4,FALSE),"")</f>
        <v/>
      </c>
      <c r="P1932" s="8" t="str">
        <f t="shared" si="93"/>
        <v/>
      </c>
      <c r="Q1932" s="9"/>
    </row>
    <row r="1933" spans="1:17" ht="15">
      <c r="A1933" s="5" t="str">
        <f t="shared" si="91"/>
        <v/>
      </c>
      <c r="B1933" s="6"/>
      <c r="C1933" s="5" t="str">
        <f>IFERROR(VLOOKUP(B1933,Lists!$A$2:$B$25,2,FALSE),"")</f>
        <v/>
      </c>
      <c r="D1933" s="7"/>
      <c r="E1933" s="6"/>
      <c r="F1933" s="6" t="str">
        <f t="shared" si="92"/>
        <v/>
      </c>
      <c r="G1933" s="6"/>
      <c r="H1933" s="6"/>
      <c r="I1933" s="6"/>
      <c r="J1933" s="7"/>
      <c r="K1933" s="5" t="str" cm="1">
        <f t="array" ref="K1933">IF(OR(A1933="",B1933="",D1933="",E1933=""),"",A1933&amp;"_"&amp;SUBSTITUTE(B1933," ","-")&amp;"_"&amp;D1933&amp;"_"&amp;SUBSTITUTE(SUBSTITUTE(E1933," ",""),"€","Euro")&amp;"_"&amp;IF(F1933="","Unknown",F1933)&amp;IF(F1933="Commemorative",IF(G1933="","","_"&amp;SUBSTITUTE(SUBSTITUTE(SUBSTITUTE(G1933," ","-"),"/","-"),CHAR(39),"")),"")&amp;IF(I1933="Duplicate","_Dub"&amp;IF(SUMPRODUCT(($B$2:B1933=B1933)*($D$2:D1933=D1933)*($E$2:E1933=E1933)*($F$2:F1933=F1933)*($G$2:G1933=G1933)*($I$2:I1933="Duplicate"))&lt;=1,"",SUMPRODUCT(($B$2:B1933=B1933)*($D$2:D1933=D1933)*($E$2:E1933=E1933)*($F$2:F1933=F1933)*($G$2:G1933=G1933)*($I$2:I1933="Duplicate"))-1),"")&amp;".jpeg")</f>
        <v/>
      </c>
      <c r="L1933" s="6"/>
      <c r="M1933" s="5" t="str">
        <f>IFERROR(VLOOKUP(E1933,Specifications!$A$2:$D$9,2,FALSE),"")</f>
        <v/>
      </c>
      <c r="N1933" s="5" t="str">
        <f>IFERROR(VLOOKUP(E1933,Specifications!$A$2:$D$9,3,FALSE),"")</f>
        <v/>
      </c>
      <c r="O1933" s="5" t="str">
        <f>IFERROR(VLOOKUP(E1933,Specifications!$A$2:$D$9,4,FALSE),"")</f>
        <v/>
      </c>
      <c r="P1933" s="8" t="str">
        <f t="shared" si="93"/>
        <v/>
      </c>
      <c r="Q1933" s="9"/>
    </row>
    <row r="1934" spans="1:17" ht="15">
      <c r="A1934" s="5" t="str">
        <f t="shared" si="91"/>
        <v/>
      </c>
      <c r="B1934" s="6"/>
      <c r="C1934" s="5" t="str">
        <f>IFERROR(VLOOKUP(B1934,Lists!$A$2:$B$25,2,FALSE),"")</f>
        <v/>
      </c>
      <c r="D1934" s="7"/>
      <c r="E1934" s="6"/>
      <c r="F1934" s="6" t="str">
        <f t="shared" si="92"/>
        <v/>
      </c>
      <c r="G1934" s="6"/>
      <c r="H1934" s="6"/>
      <c r="I1934" s="6"/>
      <c r="J1934" s="7"/>
      <c r="K1934" s="5" t="str" cm="1">
        <f t="array" ref="K1934">IF(OR(A1934="",B1934="",D1934="",E1934=""),"",A1934&amp;"_"&amp;SUBSTITUTE(B1934," ","-")&amp;"_"&amp;D1934&amp;"_"&amp;SUBSTITUTE(SUBSTITUTE(E1934," ",""),"€","Euro")&amp;"_"&amp;IF(F1934="","Unknown",F1934)&amp;IF(F1934="Commemorative",IF(G1934="","","_"&amp;SUBSTITUTE(SUBSTITUTE(SUBSTITUTE(G1934," ","-"),"/","-"),CHAR(39),"")),"")&amp;IF(I1934="Duplicate","_Dub"&amp;IF(SUMPRODUCT(($B$2:B1934=B1934)*($D$2:D1934=D1934)*($E$2:E1934=E1934)*($F$2:F1934=F1934)*($G$2:G1934=G1934)*($I$2:I1934="Duplicate"))&lt;=1,"",SUMPRODUCT(($B$2:B1934=B1934)*($D$2:D1934=D1934)*($E$2:E1934=E1934)*($F$2:F1934=F1934)*($G$2:G1934=G1934)*($I$2:I1934="Duplicate"))-1),"")&amp;".jpeg")</f>
        <v/>
      </c>
      <c r="L1934" s="6"/>
      <c r="M1934" s="5" t="str">
        <f>IFERROR(VLOOKUP(E1934,Specifications!$A$2:$D$9,2,FALSE),"")</f>
        <v/>
      </c>
      <c r="N1934" s="5" t="str">
        <f>IFERROR(VLOOKUP(E1934,Specifications!$A$2:$D$9,3,FALSE),"")</f>
        <v/>
      </c>
      <c r="O1934" s="5" t="str">
        <f>IFERROR(VLOOKUP(E1934,Specifications!$A$2:$D$9,4,FALSE),"")</f>
        <v/>
      </c>
      <c r="P1934" s="8" t="str">
        <f t="shared" si="93"/>
        <v/>
      </c>
      <c r="Q1934" s="9"/>
    </row>
    <row r="1935" spans="1:17" ht="15">
      <c r="A1935" s="5" t="str">
        <f t="shared" si="91"/>
        <v/>
      </c>
      <c r="B1935" s="6"/>
      <c r="C1935" s="5" t="str">
        <f>IFERROR(VLOOKUP(B1935,Lists!$A$2:$B$25,2,FALSE),"")</f>
        <v/>
      </c>
      <c r="D1935" s="7"/>
      <c r="E1935" s="6"/>
      <c r="F1935" s="6" t="str">
        <f t="shared" si="92"/>
        <v/>
      </c>
      <c r="G1935" s="6"/>
      <c r="H1935" s="6"/>
      <c r="I1935" s="6"/>
      <c r="J1935" s="7"/>
      <c r="K1935" s="5" t="str" cm="1">
        <f t="array" ref="K1935">IF(OR(A1935="",B1935="",D1935="",E1935=""),"",A1935&amp;"_"&amp;SUBSTITUTE(B1935," ","-")&amp;"_"&amp;D1935&amp;"_"&amp;SUBSTITUTE(SUBSTITUTE(E1935," ",""),"€","Euro")&amp;"_"&amp;IF(F1935="","Unknown",F1935)&amp;IF(F1935="Commemorative",IF(G1935="","","_"&amp;SUBSTITUTE(SUBSTITUTE(SUBSTITUTE(G1935," ","-"),"/","-"),CHAR(39),"")),"")&amp;IF(I1935="Duplicate","_Dub"&amp;IF(SUMPRODUCT(($B$2:B1935=B1935)*($D$2:D1935=D1935)*($E$2:E1935=E1935)*($F$2:F1935=F1935)*($G$2:G1935=G1935)*($I$2:I1935="Duplicate"))&lt;=1,"",SUMPRODUCT(($B$2:B1935=B1935)*($D$2:D1935=D1935)*($E$2:E1935=E1935)*($F$2:F1935=F1935)*($G$2:G1935=G1935)*($I$2:I1935="Duplicate"))-1),"")&amp;".jpeg")</f>
        <v/>
      </c>
      <c r="L1935" s="6"/>
      <c r="M1935" s="5" t="str">
        <f>IFERROR(VLOOKUP(E1935,Specifications!$A$2:$D$9,2,FALSE),"")</f>
        <v/>
      </c>
      <c r="N1935" s="5" t="str">
        <f>IFERROR(VLOOKUP(E1935,Specifications!$A$2:$D$9,3,FALSE),"")</f>
        <v/>
      </c>
      <c r="O1935" s="5" t="str">
        <f>IFERROR(VLOOKUP(E1935,Specifications!$A$2:$D$9,4,FALSE),"")</f>
        <v/>
      </c>
      <c r="P1935" s="8" t="str">
        <f t="shared" si="93"/>
        <v/>
      </c>
      <c r="Q1935" s="9"/>
    </row>
    <row r="1936" spans="1:17" ht="15">
      <c r="A1936" s="5" t="str">
        <f t="shared" si="91"/>
        <v/>
      </c>
      <c r="B1936" s="6"/>
      <c r="C1936" s="5" t="str">
        <f>IFERROR(VLOOKUP(B1936,Lists!$A$2:$B$25,2,FALSE),"")</f>
        <v/>
      </c>
      <c r="D1936" s="7"/>
      <c r="E1936" s="6"/>
      <c r="F1936" s="6" t="str">
        <f t="shared" si="92"/>
        <v/>
      </c>
      <c r="G1936" s="6"/>
      <c r="H1936" s="6"/>
      <c r="I1936" s="6"/>
      <c r="J1936" s="7"/>
      <c r="K1936" s="5" t="str" cm="1">
        <f t="array" ref="K1936">IF(OR(A1936="",B1936="",D1936="",E1936=""),"",A1936&amp;"_"&amp;SUBSTITUTE(B1936," ","-")&amp;"_"&amp;D1936&amp;"_"&amp;SUBSTITUTE(SUBSTITUTE(E1936," ",""),"€","Euro")&amp;"_"&amp;IF(F1936="","Unknown",F1936)&amp;IF(F1936="Commemorative",IF(G1936="","","_"&amp;SUBSTITUTE(SUBSTITUTE(SUBSTITUTE(G1936," ","-"),"/","-"),CHAR(39),"")),"")&amp;IF(I1936="Duplicate","_Dub"&amp;IF(SUMPRODUCT(($B$2:B1936=B1936)*($D$2:D1936=D1936)*($E$2:E1936=E1936)*($F$2:F1936=F1936)*($G$2:G1936=G1936)*($I$2:I1936="Duplicate"))&lt;=1,"",SUMPRODUCT(($B$2:B1936=B1936)*($D$2:D1936=D1936)*($E$2:E1936=E1936)*($F$2:F1936=F1936)*($G$2:G1936=G1936)*($I$2:I1936="Duplicate"))-1),"")&amp;".jpeg")</f>
        <v/>
      </c>
      <c r="L1936" s="6"/>
      <c r="M1936" s="5" t="str">
        <f>IFERROR(VLOOKUP(E1936,Specifications!$A$2:$D$9,2,FALSE),"")</f>
        <v/>
      </c>
      <c r="N1936" s="5" t="str">
        <f>IFERROR(VLOOKUP(E1936,Specifications!$A$2:$D$9,3,FALSE),"")</f>
        <v/>
      </c>
      <c r="O1936" s="5" t="str">
        <f>IFERROR(VLOOKUP(E1936,Specifications!$A$2:$D$9,4,FALSE),"")</f>
        <v/>
      </c>
      <c r="P1936" s="8" t="str">
        <f t="shared" si="93"/>
        <v/>
      </c>
      <c r="Q1936" s="9"/>
    </row>
    <row r="1937" spans="1:17" ht="15">
      <c r="A1937" s="5" t="str">
        <f t="shared" si="91"/>
        <v/>
      </c>
      <c r="B1937" s="6"/>
      <c r="C1937" s="5" t="str">
        <f>IFERROR(VLOOKUP(B1937,Lists!$A$2:$B$25,2,FALSE),"")</f>
        <v/>
      </c>
      <c r="D1937" s="7"/>
      <c r="E1937" s="6"/>
      <c r="F1937" s="6" t="str">
        <f t="shared" si="92"/>
        <v/>
      </c>
      <c r="G1937" s="6"/>
      <c r="H1937" s="6"/>
      <c r="I1937" s="6"/>
      <c r="J1937" s="7"/>
      <c r="K1937" s="5" t="str" cm="1">
        <f t="array" ref="K1937">IF(OR(A1937="",B1937="",D1937="",E1937=""),"",A1937&amp;"_"&amp;SUBSTITUTE(B1937," ","-")&amp;"_"&amp;D1937&amp;"_"&amp;SUBSTITUTE(SUBSTITUTE(E1937," ",""),"€","Euro")&amp;"_"&amp;IF(F1937="","Unknown",F1937)&amp;IF(F1937="Commemorative",IF(G1937="","","_"&amp;SUBSTITUTE(SUBSTITUTE(SUBSTITUTE(G1937," ","-"),"/","-"),CHAR(39),"")),"")&amp;IF(I1937="Duplicate","_Dub"&amp;IF(SUMPRODUCT(($B$2:B1937=B1937)*($D$2:D1937=D1937)*($E$2:E1937=E1937)*($F$2:F1937=F1937)*($G$2:G1937=G1937)*($I$2:I1937="Duplicate"))&lt;=1,"",SUMPRODUCT(($B$2:B1937=B1937)*($D$2:D1937=D1937)*($E$2:E1937=E1937)*($F$2:F1937=F1937)*($G$2:G1937=G1937)*($I$2:I1937="Duplicate"))-1),"")&amp;".jpeg")</f>
        <v/>
      </c>
      <c r="L1937" s="6"/>
      <c r="M1937" s="5" t="str">
        <f>IFERROR(VLOOKUP(E1937,Specifications!$A$2:$D$9,2,FALSE),"")</f>
        <v/>
      </c>
      <c r="N1937" s="5" t="str">
        <f>IFERROR(VLOOKUP(E1937,Specifications!$A$2:$D$9,3,FALSE),"")</f>
        <v/>
      </c>
      <c r="O1937" s="5" t="str">
        <f>IFERROR(VLOOKUP(E1937,Specifications!$A$2:$D$9,4,FALSE),"")</f>
        <v/>
      </c>
      <c r="P1937" s="8" t="str">
        <f t="shared" si="93"/>
        <v/>
      </c>
      <c r="Q1937" s="9"/>
    </row>
    <row r="1938" spans="1:17" ht="15">
      <c r="A1938" s="5" t="str">
        <f t="shared" si="91"/>
        <v/>
      </c>
      <c r="B1938" s="6"/>
      <c r="C1938" s="5" t="str">
        <f>IFERROR(VLOOKUP(B1938,Lists!$A$2:$B$25,2,FALSE),"")</f>
        <v/>
      </c>
      <c r="D1938" s="7"/>
      <c r="E1938" s="6"/>
      <c r="F1938" s="6" t="str">
        <f t="shared" si="92"/>
        <v/>
      </c>
      <c r="G1938" s="6"/>
      <c r="H1938" s="6"/>
      <c r="I1938" s="6"/>
      <c r="J1938" s="7"/>
      <c r="K1938" s="5" t="str" cm="1">
        <f t="array" ref="K1938">IF(OR(A1938="",B1938="",D1938="",E1938=""),"",A1938&amp;"_"&amp;SUBSTITUTE(B1938," ","-")&amp;"_"&amp;D1938&amp;"_"&amp;SUBSTITUTE(SUBSTITUTE(E1938," ",""),"€","Euro")&amp;"_"&amp;IF(F1938="","Unknown",F1938)&amp;IF(F1938="Commemorative",IF(G1938="","","_"&amp;SUBSTITUTE(SUBSTITUTE(SUBSTITUTE(G1938," ","-"),"/","-"),CHAR(39),"")),"")&amp;IF(I1938="Duplicate","_Dub"&amp;IF(SUMPRODUCT(($B$2:B1938=B1938)*($D$2:D1938=D1938)*($E$2:E1938=E1938)*($F$2:F1938=F1938)*($G$2:G1938=G1938)*($I$2:I1938="Duplicate"))&lt;=1,"",SUMPRODUCT(($B$2:B1938=B1938)*($D$2:D1938=D1938)*($E$2:E1938=E1938)*($F$2:F1938=F1938)*($G$2:G1938=G1938)*($I$2:I1938="Duplicate"))-1),"")&amp;".jpeg")</f>
        <v/>
      </c>
      <c r="L1938" s="6"/>
      <c r="M1938" s="5" t="str">
        <f>IFERROR(VLOOKUP(E1938,Specifications!$A$2:$D$9,2,FALSE),"")</f>
        <v/>
      </c>
      <c r="N1938" s="5" t="str">
        <f>IFERROR(VLOOKUP(E1938,Specifications!$A$2:$D$9,3,FALSE),"")</f>
        <v/>
      </c>
      <c r="O1938" s="5" t="str">
        <f>IFERROR(VLOOKUP(E1938,Specifications!$A$2:$D$9,4,FALSE),"")</f>
        <v/>
      </c>
      <c r="P1938" s="8" t="str">
        <f t="shared" si="93"/>
        <v/>
      </c>
      <c r="Q1938" s="9"/>
    </row>
    <row r="1939" spans="1:17" ht="15">
      <c r="A1939" s="5" t="str">
        <f t="shared" si="91"/>
        <v/>
      </c>
      <c r="B1939" s="6"/>
      <c r="C1939" s="5" t="str">
        <f>IFERROR(VLOOKUP(B1939,Lists!$A$2:$B$25,2,FALSE),"")</f>
        <v/>
      </c>
      <c r="D1939" s="7"/>
      <c r="E1939" s="6"/>
      <c r="F1939" s="6" t="str">
        <f t="shared" si="92"/>
        <v/>
      </c>
      <c r="G1939" s="6"/>
      <c r="H1939" s="6"/>
      <c r="I1939" s="6"/>
      <c r="J1939" s="7"/>
      <c r="K1939" s="5" t="str" cm="1">
        <f t="array" ref="K1939">IF(OR(A1939="",B1939="",D1939="",E1939=""),"",A1939&amp;"_"&amp;SUBSTITUTE(B1939," ","-")&amp;"_"&amp;D1939&amp;"_"&amp;SUBSTITUTE(SUBSTITUTE(E1939," ",""),"€","Euro")&amp;"_"&amp;IF(F1939="","Unknown",F1939)&amp;IF(F1939="Commemorative",IF(G1939="","","_"&amp;SUBSTITUTE(SUBSTITUTE(SUBSTITUTE(G1939," ","-"),"/","-"),CHAR(39),"")),"")&amp;IF(I1939="Duplicate","_Dub"&amp;IF(SUMPRODUCT(($B$2:B1939=B1939)*($D$2:D1939=D1939)*($E$2:E1939=E1939)*($F$2:F1939=F1939)*($G$2:G1939=G1939)*($I$2:I1939="Duplicate"))&lt;=1,"",SUMPRODUCT(($B$2:B1939=B1939)*($D$2:D1939=D1939)*($E$2:E1939=E1939)*($F$2:F1939=F1939)*($G$2:G1939=G1939)*($I$2:I1939="Duplicate"))-1),"")&amp;".jpeg")</f>
        <v/>
      </c>
      <c r="L1939" s="6"/>
      <c r="M1939" s="5" t="str">
        <f>IFERROR(VLOOKUP(E1939,Specifications!$A$2:$D$9,2,FALSE),"")</f>
        <v/>
      </c>
      <c r="N1939" s="5" t="str">
        <f>IFERROR(VLOOKUP(E1939,Specifications!$A$2:$D$9,3,FALSE),"")</f>
        <v/>
      </c>
      <c r="O1939" s="5" t="str">
        <f>IFERROR(VLOOKUP(E1939,Specifications!$A$2:$D$9,4,FALSE),"")</f>
        <v/>
      </c>
      <c r="P1939" s="8" t="str">
        <f t="shared" si="93"/>
        <v/>
      </c>
      <c r="Q1939" s="9"/>
    </row>
    <row r="1940" spans="1:17" ht="15">
      <c r="A1940" s="5" t="str">
        <f t="shared" si="91"/>
        <v/>
      </c>
      <c r="B1940" s="6"/>
      <c r="C1940" s="5" t="str">
        <f>IFERROR(VLOOKUP(B1940,Lists!$A$2:$B$25,2,FALSE),"")</f>
        <v/>
      </c>
      <c r="D1940" s="7"/>
      <c r="E1940" s="6"/>
      <c r="F1940" s="6" t="str">
        <f t="shared" si="92"/>
        <v/>
      </c>
      <c r="G1940" s="6"/>
      <c r="H1940" s="6"/>
      <c r="I1940" s="6"/>
      <c r="J1940" s="7"/>
      <c r="K1940" s="5" t="str" cm="1">
        <f t="array" ref="K1940">IF(OR(A1940="",B1940="",D1940="",E1940=""),"",A1940&amp;"_"&amp;SUBSTITUTE(B1940," ","-")&amp;"_"&amp;D1940&amp;"_"&amp;SUBSTITUTE(SUBSTITUTE(E1940," ",""),"€","Euro")&amp;"_"&amp;IF(F1940="","Unknown",F1940)&amp;IF(F1940="Commemorative",IF(G1940="","","_"&amp;SUBSTITUTE(SUBSTITUTE(SUBSTITUTE(G1940," ","-"),"/","-"),CHAR(39),"")),"")&amp;IF(I1940="Duplicate","_Dub"&amp;IF(SUMPRODUCT(($B$2:B1940=B1940)*($D$2:D1940=D1940)*($E$2:E1940=E1940)*($F$2:F1940=F1940)*($G$2:G1940=G1940)*($I$2:I1940="Duplicate"))&lt;=1,"",SUMPRODUCT(($B$2:B1940=B1940)*($D$2:D1940=D1940)*($E$2:E1940=E1940)*($F$2:F1940=F1940)*($G$2:G1940=G1940)*($I$2:I1940="Duplicate"))-1),"")&amp;".jpeg")</f>
        <v/>
      </c>
      <c r="L1940" s="6"/>
      <c r="M1940" s="5" t="str">
        <f>IFERROR(VLOOKUP(E1940,Specifications!$A$2:$D$9,2,FALSE),"")</f>
        <v/>
      </c>
      <c r="N1940" s="5" t="str">
        <f>IFERROR(VLOOKUP(E1940,Specifications!$A$2:$D$9,3,FALSE),"")</f>
        <v/>
      </c>
      <c r="O1940" s="5" t="str">
        <f>IFERROR(VLOOKUP(E1940,Specifications!$A$2:$D$9,4,FALSE),"")</f>
        <v/>
      </c>
      <c r="P1940" s="8" t="str">
        <f t="shared" si="93"/>
        <v/>
      </c>
      <c r="Q1940" s="9"/>
    </row>
    <row r="1941" spans="1:17" ht="15">
      <c r="A1941" s="5" t="str">
        <f t="shared" si="91"/>
        <v/>
      </c>
      <c r="B1941" s="6"/>
      <c r="C1941" s="5" t="str">
        <f>IFERROR(VLOOKUP(B1941,Lists!$A$2:$B$25,2,FALSE),"")</f>
        <v/>
      </c>
      <c r="D1941" s="7"/>
      <c r="E1941" s="6"/>
      <c r="F1941" s="6" t="str">
        <f t="shared" si="92"/>
        <v/>
      </c>
      <c r="G1941" s="6"/>
      <c r="H1941" s="6"/>
      <c r="I1941" s="6"/>
      <c r="J1941" s="7"/>
      <c r="K1941" s="5" t="str" cm="1">
        <f t="array" ref="K1941">IF(OR(A1941="",B1941="",D1941="",E1941=""),"",A1941&amp;"_"&amp;SUBSTITUTE(B1941," ","-")&amp;"_"&amp;D1941&amp;"_"&amp;SUBSTITUTE(SUBSTITUTE(E1941," ",""),"€","Euro")&amp;"_"&amp;IF(F1941="","Unknown",F1941)&amp;IF(F1941="Commemorative",IF(G1941="","","_"&amp;SUBSTITUTE(SUBSTITUTE(SUBSTITUTE(G1941," ","-"),"/","-"),CHAR(39),"")),"")&amp;IF(I1941="Duplicate","_Dub"&amp;IF(SUMPRODUCT(($B$2:B1941=B1941)*($D$2:D1941=D1941)*($E$2:E1941=E1941)*($F$2:F1941=F1941)*($G$2:G1941=G1941)*($I$2:I1941="Duplicate"))&lt;=1,"",SUMPRODUCT(($B$2:B1941=B1941)*($D$2:D1941=D1941)*($E$2:E1941=E1941)*($F$2:F1941=F1941)*($G$2:G1941=G1941)*($I$2:I1941="Duplicate"))-1),"")&amp;".jpeg")</f>
        <v/>
      </c>
      <c r="L1941" s="6"/>
      <c r="M1941" s="5" t="str">
        <f>IFERROR(VLOOKUP(E1941,Specifications!$A$2:$D$9,2,FALSE),"")</f>
        <v/>
      </c>
      <c r="N1941" s="5" t="str">
        <f>IFERROR(VLOOKUP(E1941,Specifications!$A$2:$D$9,3,FALSE),"")</f>
        <v/>
      </c>
      <c r="O1941" s="5" t="str">
        <f>IFERROR(VLOOKUP(E1941,Specifications!$A$2:$D$9,4,FALSE),"")</f>
        <v/>
      </c>
      <c r="P1941" s="8" t="str">
        <f t="shared" si="93"/>
        <v/>
      </c>
      <c r="Q1941" s="9"/>
    </row>
    <row r="1942" spans="1:17" ht="15">
      <c r="A1942" s="5" t="str">
        <f t="shared" si="91"/>
        <v/>
      </c>
      <c r="B1942" s="6"/>
      <c r="C1942" s="5" t="str">
        <f>IFERROR(VLOOKUP(B1942,Lists!$A$2:$B$25,2,FALSE),"")</f>
        <v/>
      </c>
      <c r="D1942" s="7"/>
      <c r="E1942" s="6"/>
      <c r="F1942" s="6" t="str">
        <f t="shared" si="92"/>
        <v/>
      </c>
      <c r="G1942" s="6"/>
      <c r="H1942" s="6"/>
      <c r="I1942" s="6"/>
      <c r="J1942" s="7"/>
      <c r="K1942" s="5" t="str" cm="1">
        <f t="array" ref="K1942">IF(OR(A1942="",B1942="",D1942="",E1942=""),"",A1942&amp;"_"&amp;SUBSTITUTE(B1942," ","-")&amp;"_"&amp;D1942&amp;"_"&amp;SUBSTITUTE(SUBSTITUTE(E1942," ",""),"€","Euro")&amp;"_"&amp;IF(F1942="","Unknown",F1942)&amp;IF(F1942="Commemorative",IF(G1942="","","_"&amp;SUBSTITUTE(SUBSTITUTE(SUBSTITUTE(G1942," ","-"),"/","-"),CHAR(39),"")),"")&amp;IF(I1942="Duplicate","_Dub"&amp;IF(SUMPRODUCT(($B$2:B1942=B1942)*($D$2:D1942=D1942)*($E$2:E1942=E1942)*($F$2:F1942=F1942)*($G$2:G1942=G1942)*($I$2:I1942="Duplicate"))&lt;=1,"",SUMPRODUCT(($B$2:B1942=B1942)*($D$2:D1942=D1942)*($E$2:E1942=E1942)*($F$2:F1942=F1942)*($G$2:G1942=G1942)*($I$2:I1942="Duplicate"))-1),"")&amp;".jpeg")</f>
        <v/>
      </c>
      <c r="L1942" s="6"/>
      <c r="M1942" s="5" t="str">
        <f>IFERROR(VLOOKUP(E1942,Specifications!$A$2:$D$9,2,FALSE),"")</f>
        <v/>
      </c>
      <c r="N1942" s="5" t="str">
        <f>IFERROR(VLOOKUP(E1942,Specifications!$A$2:$D$9,3,FALSE),"")</f>
        <v/>
      </c>
      <c r="O1942" s="5" t="str">
        <f>IFERROR(VLOOKUP(E1942,Specifications!$A$2:$D$9,4,FALSE),"")</f>
        <v/>
      </c>
      <c r="P1942" s="8" t="str">
        <f t="shared" si="93"/>
        <v/>
      </c>
      <c r="Q1942" s="9"/>
    </row>
    <row r="1943" spans="1:17" ht="15">
      <c r="A1943" s="5" t="str">
        <f t="shared" si="91"/>
        <v/>
      </c>
      <c r="B1943" s="6"/>
      <c r="C1943" s="5" t="str">
        <f>IFERROR(VLOOKUP(B1943,Lists!$A$2:$B$25,2,FALSE),"")</f>
        <v/>
      </c>
      <c r="D1943" s="7"/>
      <c r="E1943" s="6"/>
      <c r="F1943" s="6" t="str">
        <f t="shared" si="92"/>
        <v/>
      </c>
      <c r="G1943" s="6"/>
      <c r="H1943" s="6"/>
      <c r="I1943" s="6"/>
      <c r="J1943" s="7"/>
      <c r="K1943" s="5" t="str" cm="1">
        <f t="array" ref="K1943">IF(OR(A1943="",B1943="",D1943="",E1943=""),"",A1943&amp;"_"&amp;SUBSTITUTE(B1943," ","-")&amp;"_"&amp;D1943&amp;"_"&amp;SUBSTITUTE(SUBSTITUTE(E1943," ",""),"€","Euro")&amp;"_"&amp;IF(F1943="","Unknown",F1943)&amp;IF(F1943="Commemorative",IF(G1943="","","_"&amp;SUBSTITUTE(SUBSTITUTE(SUBSTITUTE(G1943," ","-"),"/","-"),CHAR(39),"")),"")&amp;IF(I1943="Duplicate","_Dub"&amp;IF(SUMPRODUCT(($B$2:B1943=B1943)*($D$2:D1943=D1943)*($E$2:E1943=E1943)*($F$2:F1943=F1943)*($G$2:G1943=G1943)*($I$2:I1943="Duplicate"))&lt;=1,"",SUMPRODUCT(($B$2:B1943=B1943)*($D$2:D1943=D1943)*($E$2:E1943=E1943)*($F$2:F1943=F1943)*($G$2:G1943=G1943)*($I$2:I1943="Duplicate"))-1),"")&amp;".jpeg")</f>
        <v/>
      </c>
      <c r="L1943" s="6"/>
      <c r="M1943" s="5" t="str">
        <f>IFERROR(VLOOKUP(E1943,Specifications!$A$2:$D$9,2,FALSE),"")</f>
        <v/>
      </c>
      <c r="N1943" s="5" t="str">
        <f>IFERROR(VLOOKUP(E1943,Specifications!$A$2:$D$9,3,FALSE),"")</f>
        <v/>
      </c>
      <c r="O1943" s="5" t="str">
        <f>IFERROR(VLOOKUP(E1943,Specifications!$A$2:$D$9,4,FALSE),"")</f>
        <v/>
      </c>
      <c r="P1943" s="8" t="str">
        <f t="shared" si="93"/>
        <v/>
      </c>
      <c r="Q1943" s="9"/>
    </row>
    <row r="1944" spans="1:17" ht="15">
      <c r="A1944" s="5" t="str">
        <f t="shared" si="91"/>
        <v/>
      </c>
      <c r="B1944" s="6"/>
      <c r="C1944" s="5" t="str">
        <f>IFERROR(VLOOKUP(B1944,Lists!$A$2:$B$25,2,FALSE),"")</f>
        <v/>
      </c>
      <c r="D1944" s="7"/>
      <c r="E1944" s="6"/>
      <c r="F1944" s="6" t="str">
        <f t="shared" si="92"/>
        <v/>
      </c>
      <c r="G1944" s="6"/>
      <c r="H1944" s="6"/>
      <c r="I1944" s="6"/>
      <c r="J1944" s="7"/>
      <c r="K1944" s="5" t="str" cm="1">
        <f t="array" ref="K1944">IF(OR(A1944="",B1944="",D1944="",E1944=""),"",A1944&amp;"_"&amp;SUBSTITUTE(B1944," ","-")&amp;"_"&amp;D1944&amp;"_"&amp;SUBSTITUTE(SUBSTITUTE(E1944," ",""),"€","Euro")&amp;"_"&amp;IF(F1944="","Unknown",F1944)&amp;IF(F1944="Commemorative",IF(G1944="","","_"&amp;SUBSTITUTE(SUBSTITUTE(SUBSTITUTE(G1944," ","-"),"/","-"),CHAR(39),"")),"")&amp;IF(I1944="Duplicate","_Dub"&amp;IF(SUMPRODUCT(($B$2:B1944=B1944)*($D$2:D1944=D1944)*($E$2:E1944=E1944)*($F$2:F1944=F1944)*($G$2:G1944=G1944)*($I$2:I1944="Duplicate"))&lt;=1,"",SUMPRODUCT(($B$2:B1944=B1944)*($D$2:D1944=D1944)*($E$2:E1944=E1944)*($F$2:F1944=F1944)*($G$2:G1944=G1944)*($I$2:I1944="Duplicate"))-1),"")&amp;".jpeg")</f>
        <v/>
      </c>
      <c r="L1944" s="6"/>
      <c r="M1944" s="5" t="str">
        <f>IFERROR(VLOOKUP(E1944,Specifications!$A$2:$D$9,2,FALSE),"")</f>
        <v/>
      </c>
      <c r="N1944" s="5" t="str">
        <f>IFERROR(VLOOKUP(E1944,Specifications!$A$2:$D$9,3,FALSE),"")</f>
        <v/>
      </c>
      <c r="O1944" s="5" t="str">
        <f>IFERROR(VLOOKUP(E1944,Specifications!$A$2:$D$9,4,FALSE),"")</f>
        <v/>
      </c>
      <c r="P1944" s="8" t="str">
        <f t="shared" si="93"/>
        <v/>
      </c>
      <c r="Q1944" s="9"/>
    </row>
    <row r="1945" spans="1:17" ht="15">
      <c r="A1945" s="5" t="str">
        <f t="shared" si="91"/>
        <v/>
      </c>
      <c r="B1945" s="6"/>
      <c r="C1945" s="5" t="str">
        <f>IFERROR(VLOOKUP(B1945,Lists!$A$2:$B$25,2,FALSE),"")</f>
        <v/>
      </c>
      <c r="D1945" s="7"/>
      <c r="E1945" s="6"/>
      <c r="F1945" s="6" t="str">
        <f t="shared" si="92"/>
        <v/>
      </c>
      <c r="G1945" s="6"/>
      <c r="H1945" s="6"/>
      <c r="I1945" s="6"/>
      <c r="J1945" s="7"/>
      <c r="K1945" s="5" t="str" cm="1">
        <f t="array" ref="K1945">IF(OR(A1945="",B1945="",D1945="",E1945=""),"",A1945&amp;"_"&amp;SUBSTITUTE(B1945," ","-")&amp;"_"&amp;D1945&amp;"_"&amp;SUBSTITUTE(SUBSTITUTE(E1945," ",""),"€","Euro")&amp;"_"&amp;IF(F1945="","Unknown",F1945)&amp;IF(F1945="Commemorative",IF(G1945="","","_"&amp;SUBSTITUTE(SUBSTITUTE(SUBSTITUTE(G1945," ","-"),"/","-"),CHAR(39),"")),"")&amp;IF(I1945="Duplicate","_Dub"&amp;IF(SUMPRODUCT(($B$2:B1945=B1945)*($D$2:D1945=D1945)*($E$2:E1945=E1945)*($F$2:F1945=F1945)*($G$2:G1945=G1945)*($I$2:I1945="Duplicate"))&lt;=1,"",SUMPRODUCT(($B$2:B1945=B1945)*($D$2:D1945=D1945)*($E$2:E1945=E1945)*($F$2:F1945=F1945)*($G$2:G1945=G1945)*($I$2:I1945="Duplicate"))-1),"")&amp;".jpeg")</f>
        <v/>
      </c>
      <c r="L1945" s="6"/>
      <c r="M1945" s="5" t="str">
        <f>IFERROR(VLOOKUP(E1945,Specifications!$A$2:$D$9,2,FALSE),"")</f>
        <v/>
      </c>
      <c r="N1945" s="5" t="str">
        <f>IFERROR(VLOOKUP(E1945,Specifications!$A$2:$D$9,3,FALSE),"")</f>
        <v/>
      </c>
      <c r="O1945" s="5" t="str">
        <f>IFERROR(VLOOKUP(E1945,Specifications!$A$2:$D$9,4,FALSE),"")</f>
        <v/>
      </c>
      <c r="P1945" s="8" t="str">
        <f t="shared" si="93"/>
        <v/>
      </c>
      <c r="Q1945" s="9"/>
    </row>
    <row r="1946" spans="1:17" ht="15">
      <c r="A1946" s="5" t="str">
        <f t="shared" si="91"/>
        <v/>
      </c>
      <c r="B1946" s="6"/>
      <c r="C1946" s="5" t="str">
        <f>IFERROR(VLOOKUP(B1946,Lists!$A$2:$B$25,2,FALSE),"")</f>
        <v/>
      </c>
      <c r="D1946" s="7"/>
      <c r="E1946" s="6"/>
      <c r="F1946" s="6" t="str">
        <f t="shared" si="92"/>
        <v/>
      </c>
      <c r="G1946" s="6"/>
      <c r="H1946" s="6"/>
      <c r="I1946" s="6"/>
      <c r="J1946" s="7"/>
      <c r="K1946" s="5" t="str" cm="1">
        <f t="array" ref="K1946">IF(OR(A1946="",B1946="",D1946="",E1946=""),"",A1946&amp;"_"&amp;SUBSTITUTE(B1946," ","-")&amp;"_"&amp;D1946&amp;"_"&amp;SUBSTITUTE(SUBSTITUTE(E1946," ",""),"€","Euro")&amp;"_"&amp;IF(F1946="","Unknown",F1946)&amp;IF(F1946="Commemorative",IF(G1946="","","_"&amp;SUBSTITUTE(SUBSTITUTE(SUBSTITUTE(G1946," ","-"),"/","-"),CHAR(39),"")),"")&amp;IF(I1946="Duplicate","_Dub"&amp;IF(SUMPRODUCT(($B$2:B1946=B1946)*($D$2:D1946=D1946)*($E$2:E1946=E1946)*($F$2:F1946=F1946)*($G$2:G1946=G1946)*($I$2:I1946="Duplicate"))&lt;=1,"",SUMPRODUCT(($B$2:B1946=B1946)*($D$2:D1946=D1946)*($E$2:E1946=E1946)*($F$2:F1946=F1946)*($G$2:G1946=G1946)*($I$2:I1946="Duplicate"))-1),"")&amp;".jpeg")</f>
        <v/>
      </c>
      <c r="L1946" s="6"/>
      <c r="M1946" s="5" t="str">
        <f>IFERROR(VLOOKUP(E1946,Specifications!$A$2:$D$9,2,FALSE),"")</f>
        <v/>
      </c>
      <c r="N1946" s="5" t="str">
        <f>IFERROR(VLOOKUP(E1946,Specifications!$A$2:$D$9,3,FALSE),"")</f>
        <v/>
      </c>
      <c r="O1946" s="5" t="str">
        <f>IFERROR(VLOOKUP(E1946,Specifications!$A$2:$D$9,4,FALSE),"")</f>
        <v/>
      </c>
      <c r="P1946" s="8" t="str">
        <f t="shared" si="93"/>
        <v/>
      </c>
      <c r="Q1946" s="9"/>
    </row>
    <row r="1947" spans="1:17" ht="15">
      <c r="A1947" s="5" t="str">
        <f t="shared" si="91"/>
        <v/>
      </c>
      <c r="B1947" s="6"/>
      <c r="C1947" s="5" t="str">
        <f>IFERROR(VLOOKUP(B1947,Lists!$A$2:$B$25,2,FALSE),"")</f>
        <v/>
      </c>
      <c r="D1947" s="7"/>
      <c r="E1947" s="6"/>
      <c r="F1947" s="6" t="str">
        <f t="shared" si="92"/>
        <v/>
      </c>
      <c r="G1947" s="6"/>
      <c r="H1947" s="6"/>
      <c r="I1947" s="6"/>
      <c r="J1947" s="7"/>
      <c r="K1947" s="5" t="str" cm="1">
        <f t="array" ref="K1947">IF(OR(A1947="",B1947="",D1947="",E1947=""),"",A1947&amp;"_"&amp;SUBSTITUTE(B1947," ","-")&amp;"_"&amp;D1947&amp;"_"&amp;SUBSTITUTE(SUBSTITUTE(E1947," ",""),"€","Euro")&amp;"_"&amp;IF(F1947="","Unknown",F1947)&amp;IF(F1947="Commemorative",IF(G1947="","","_"&amp;SUBSTITUTE(SUBSTITUTE(SUBSTITUTE(G1947," ","-"),"/","-"),CHAR(39),"")),"")&amp;IF(I1947="Duplicate","_Dub"&amp;IF(SUMPRODUCT(($B$2:B1947=B1947)*($D$2:D1947=D1947)*($E$2:E1947=E1947)*($F$2:F1947=F1947)*($G$2:G1947=G1947)*($I$2:I1947="Duplicate"))&lt;=1,"",SUMPRODUCT(($B$2:B1947=B1947)*($D$2:D1947=D1947)*($E$2:E1947=E1947)*($F$2:F1947=F1947)*($G$2:G1947=G1947)*($I$2:I1947="Duplicate"))-1),"")&amp;".jpeg")</f>
        <v/>
      </c>
      <c r="L1947" s="6"/>
      <c r="M1947" s="5" t="str">
        <f>IFERROR(VLOOKUP(E1947,Specifications!$A$2:$D$9,2,FALSE),"")</f>
        <v/>
      </c>
      <c r="N1947" s="5" t="str">
        <f>IFERROR(VLOOKUP(E1947,Specifications!$A$2:$D$9,3,FALSE),"")</f>
        <v/>
      </c>
      <c r="O1947" s="5" t="str">
        <f>IFERROR(VLOOKUP(E1947,Specifications!$A$2:$D$9,4,FALSE),"")</f>
        <v/>
      </c>
      <c r="P1947" s="8" t="str">
        <f t="shared" si="93"/>
        <v/>
      </c>
      <c r="Q1947" s="9"/>
    </row>
    <row r="1948" spans="1:17" ht="15">
      <c r="A1948" s="5" t="str">
        <f t="shared" si="91"/>
        <v/>
      </c>
      <c r="B1948" s="6"/>
      <c r="C1948" s="5" t="str">
        <f>IFERROR(VLOOKUP(B1948,Lists!$A$2:$B$25,2,FALSE),"")</f>
        <v/>
      </c>
      <c r="D1948" s="7"/>
      <c r="E1948" s="6"/>
      <c r="F1948" s="6" t="str">
        <f t="shared" si="92"/>
        <v/>
      </c>
      <c r="G1948" s="6"/>
      <c r="H1948" s="6"/>
      <c r="I1948" s="6"/>
      <c r="J1948" s="7"/>
      <c r="K1948" s="5" t="str" cm="1">
        <f t="array" ref="K1948">IF(OR(A1948="",B1948="",D1948="",E1948=""),"",A1948&amp;"_"&amp;SUBSTITUTE(B1948," ","-")&amp;"_"&amp;D1948&amp;"_"&amp;SUBSTITUTE(SUBSTITUTE(E1948," ",""),"€","Euro")&amp;"_"&amp;IF(F1948="","Unknown",F1948)&amp;IF(F1948="Commemorative",IF(G1948="","","_"&amp;SUBSTITUTE(SUBSTITUTE(SUBSTITUTE(G1948," ","-"),"/","-"),CHAR(39),"")),"")&amp;IF(I1948="Duplicate","_Dub"&amp;IF(SUMPRODUCT(($B$2:B1948=B1948)*($D$2:D1948=D1948)*($E$2:E1948=E1948)*($F$2:F1948=F1948)*($G$2:G1948=G1948)*($I$2:I1948="Duplicate"))&lt;=1,"",SUMPRODUCT(($B$2:B1948=B1948)*($D$2:D1948=D1948)*($E$2:E1948=E1948)*($F$2:F1948=F1948)*($G$2:G1948=G1948)*($I$2:I1948="Duplicate"))-1),"")&amp;".jpeg")</f>
        <v/>
      </c>
      <c r="L1948" s="6"/>
      <c r="M1948" s="5" t="str">
        <f>IFERROR(VLOOKUP(E1948,Specifications!$A$2:$D$9,2,FALSE),"")</f>
        <v/>
      </c>
      <c r="N1948" s="5" t="str">
        <f>IFERROR(VLOOKUP(E1948,Specifications!$A$2:$D$9,3,FALSE),"")</f>
        <v/>
      </c>
      <c r="O1948" s="5" t="str">
        <f>IFERROR(VLOOKUP(E1948,Specifications!$A$2:$D$9,4,FALSE),"")</f>
        <v/>
      </c>
      <c r="P1948" s="8" t="str">
        <f t="shared" si="93"/>
        <v/>
      </c>
      <c r="Q1948" s="9"/>
    </row>
    <row r="1949" spans="1:17" ht="15">
      <c r="A1949" s="5" t="str">
        <f t="shared" si="91"/>
        <v/>
      </c>
      <c r="B1949" s="6"/>
      <c r="C1949" s="5" t="str">
        <f>IFERROR(VLOOKUP(B1949,Lists!$A$2:$B$25,2,FALSE),"")</f>
        <v/>
      </c>
      <c r="D1949" s="7"/>
      <c r="E1949" s="6"/>
      <c r="F1949" s="6" t="str">
        <f t="shared" si="92"/>
        <v/>
      </c>
      <c r="G1949" s="6"/>
      <c r="H1949" s="6"/>
      <c r="I1949" s="6"/>
      <c r="J1949" s="7"/>
      <c r="K1949" s="5" t="str" cm="1">
        <f t="array" ref="K1949">IF(OR(A1949="",B1949="",D1949="",E1949=""),"",A1949&amp;"_"&amp;SUBSTITUTE(B1949," ","-")&amp;"_"&amp;D1949&amp;"_"&amp;SUBSTITUTE(SUBSTITUTE(E1949," ",""),"€","Euro")&amp;"_"&amp;IF(F1949="","Unknown",F1949)&amp;IF(F1949="Commemorative",IF(G1949="","","_"&amp;SUBSTITUTE(SUBSTITUTE(SUBSTITUTE(G1949," ","-"),"/","-"),CHAR(39),"")),"")&amp;IF(I1949="Duplicate","_Dub"&amp;IF(SUMPRODUCT(($B$2:B1949=B1949)*($D$2:D1949=D1949)*($E$2:E1949=E1949)*($F$2:F1949=F1949)*($G$2:G1949=G1949)*($I$2:I1949="Duplicate"))&lt;=1,"",SUMPRODUCT(($B$2:B1949=B1949)*($D$2:D1949=D1949)*($E$2:E1949=E1949)*($F$2:F1949=F1949)*($G$2:G1949=G1949)*($I$2:I1949="Duplicate"))-1),"")&amp;".jpeg")</f>
        <v/>
      </c>
      <c r="L1949" s="6"/>
      <c r="M1949" s="5" t="str">
        <f>IFERROR(VLOOKUP(E1949,Specifications!$A$2:$D$9,2,FALSE),"")</f>
        <v/>
      </c>
      <c r="N1949" s="5" t="str">
        <f>IFERROR(VLOOKUP(E1949,Specifications!$A$2:$D$9,3,FALSE),"")</f>
        <v/>
      </c>
      <c r="O1949" s="5" t="str">
        <f>IFERROR(VLOOKUP(E1949,Specifications!$A$2:$D$9,4,FALSE),"")</f>
        <v/>
      </c>
      <c r="P1949" s="8" t="str">
        <f t="shared" si="93"/>
        <v/>
      </c>
      <c r="Q1949" s="9"/>
    </row>
    <row r="1950" spans="1:17" ht="15">
      <c r="A1950" s="5" t="str">
        <f t="shared" si="91"/>
        <v/>
      </c>
      <c r="B1950" s="6"/>
      <c r="C1950" s="5" t="str">
        <f>IFERROR(VLOOKUP(B1950,Lists!$A$2:$B$25,2,FALSE),"")</f>
        <v/>
      </c>
      <c r="D1950" s="7"/>
      <c r="E1950" s="6"/>
      <c r="F1950" s="6" t="str">
        <f t="shared" si="92"/>
        <v/>
      </c>
      <c r="G1950" s="6"/>
      <c r="H1950" s="6"/>
      <c r="I1950" s="6"/>
      <c r="J1950" s="7"/>
      <c r="K1950" s="5" t="str" cm="1">
        <f t="array" ref="K1950">IF(OR(A1950="",B1950="",D1950="",E1950=""),"",A1950&amp;"_"&amp;SUBSTITUTE(B1950," ","-")&amp;"_"&amp;D1950&amp;"_"&amp;SUBSTITUTE(SUBSTITUTE(E1950," ",""),"€","Euro")&amp;"_"&amp;IF(F1950="","Unknown",F1950)&amp;IF(F1950="Commemorative",IF(G1950="","","_"&amp;SUBSTITUTE(SUBSTITUTE(SUBSTITUTE(G1950," ","-"),"/","-"),CHAR(39),"")),"")&amp;IF(I1950="Duplicate","_Dub"&amp;IF(SUMPRODUCT(($B$2:B1950=B1950)*($D$2:D1950=D1950)*($E$2:E1950=E1950)*($F$2:F1950=F1950)*($G$2:G1950=G1950)*($I$2:I1950="Duplicate"))&lt;=1,"",SUMPRODUCT(($B$2:B1950=B1950)*($D$2:D1950=D1950)*($E$2:E1950=E1950)*($F$2:F1950=F1950)*($G$2:G1950=G1950)*($I$2:I1950="Duplicate"))-1),"")&amp;".jpeg")</f>
        <v/>
      </c>
      <c r="L1950" s="6"/>
      <c r="M1950" s="5" t="str">
        <f>IFERROR(VLOOKUP(E1950,Specifications!$A$2:$D$9,2,FALSE),"")</f>
        <v/>
      </c>
      <c r="N1950" s="5" t="str">
        <f>IFERROR(VLOOKUP(E1950,Specifications!$A$2:$D$9,3,FALSE),"")</f>
        <v/>
      </c>
      <c r="O1950" s="5" t="str">
        <f>IFERROR(VLOOKUP(E1950,Specifications!$A$2:$D$9,4,FALSE),"")</f>
        <v/>
      </c>
      <c r="P1950" s="8" t="str">
        <f t="shared" si="93"/>
        <v/>
      </c>
      <c r="Q1950" s="9"/>
    </row>
    <row r="1951" spans="1:17" ht="15">
      <c r="A1951" s="5" t="str">
        <f t="shared" si="91"/>
        <v/>
      </c>
      <c r="B1951" s="6"/>
      <c r="C1951" s="5" t="str">
        <f>IFERROR(VLOOKUP(B1951,Lists!$A$2:$B$25,2,FALSE),"")</f>
        <v/>
      </c>
      <c r="D1951" s="7"/>
      <c r="E1951" s="6"/>
      <c r="F1951" s="6" t="str">
        <f t="shared" si="92"/>
        <v/>
      </c>
      <c r="G1951" s="6"/>
      <c r="H1951" s="6"/>
      <c r="I1951" s="6"/>
      <c r="J1951" s="7"/>
      <c r="K1951" s="5" t="str" cm="1">
        <f t="array" ref="K1951">IF(OR(A1951="",B1951="",D1951="",E1951=""),"",A1951&amp;"_"&amp;SUBSTITUTE(B1951," ","-")&amp;"_"&amp;D1951&amp;"_"&amp;SUBSTITUTE(SUBSTITUTE(E1951," ",""),"€","Euro")&amp;"_"&amp;IF(F1951="","Unknown",F1951)&amp;IF(F1951="Commemorative",IF(G1951="","","_"&amp;SUBSTITUTE(SUBSTITUTE(SUBSTITUTE(G1951," ","-"),"/","-"),CHAR(39),"")),"")&amp;IF(I1951="Duplicate","_Dub"&amp;IF(SUMPRODUCT(($B$2:B1951=B1951)*($D$2:D1951=D1951)*($E$2:E1951=E1951)*($F$2:F1951=F1951)*($G$2:G1951=G1951)*($I$2:I1951="Duplicate"))&lt;=1,"",SUMPRODUCT(($B$2:B1951=B1951)*($D$2:D1951=D1951)*($E$2:E1951=E1951)*($F$2:F1951=F1951)*($G$2:G1951=G1951)*($I$2:I1951="Duplicate"))-1),"")&amp;".jpeg")</f>
        <v/>
      </c>
      <c r="L1951" s="6"/>
      <c r="M1951" s="5" t="str">
        <f>IFERROR(VLOOKUP(E1951,Specifications!$A$2:$D$9,2,FALSE),"")</f>
        <v/>
      </c>
      <c r="N1951" s="5" t="str">
        <f>IFERROR(VLOOKUP(E1951,Specifications!$A$2:$D$9,3,FALSE),"")</f>
        <v/>
      </c>
      <c r="O1951" s="5" t="str">
        <f>IFERROR(VLOOKUP(E1951,Specifications!$A$2:$D$9,4,FALSE),"")</f>
        <v/>
      </c>
      <c r="P1951" s="8" t="str">
        <f t="shared" si="93"/>
        <v/>
      </c>
      <c r="Q1951" s="9"/>
    </row>
    <row r="1952" spans="1:17" ht="15">
      <c r="A1952" s="5" t="str">
        <f t="shared" si="91"/>
        <v/>
      </c>
      <c r="B1952" s="6"/>
      <c r="C1952" s="5" t="str">
        <f>IFERROR(VLOOKUP(B1952,Lists!$A$2:$B$25,2,FALSE),"")</f>
        <v/>
      </c>
      <c r="D1952" s="7"/>
      <c r="E1952" s="6"/>
      <c r="F1952" s="6" t="str">
        <f t="shared" si="92"/>
        <v/>
      </c>
      <c r="G1952" s="6"/>
      <c r="H1952" s="6"/>
      <c r="I1952" s="6"/>
      <c r="J1952" s="7"/>
      <c r="K1952" s="5" t="str" cm="1">
        <f t="array" ref="K1952">IF(OR(A1952="",B1952="",D1952="",E1952=""),"",A1952&amp;"_"&amp;SUBSTITUTE(B1952," ","-")&amp;"_"&amp;D1952&amp;"_"&amp;SUBSTITUTE(SUBSTITUTE(E1952," ",""),"€","Euro")&amp;"_"&amp;IF(F1952="","Unknown",F1952)&amp;IF(F1952="Commemorative",IF(G1952="","","_"&amp;SUBSTITUTE(SUBSTITUTE(SUBSTITUTE(G1952," ","-"),"/","-"),CHAR(39),"")),"")&amp;IF(I1952="Duplicate","_Dub"&amp;IF(SUMPRODUCT(($B$2:B1952=B1952)*($D$2:D1952=D1952)*($E$2:E1952=E1952)*($F$2:F1952=F1952)*($G$2:G1952=G1952)*($I$2:I1952="Duplicate"))&lt;=1,"",SUMPRODUCT(($B$2:B1952=B1952)*($D$2:D1952=D1952)*($E$2:E1952=E1952)*($F$2:F1952=F1952)*($G$2:G1952=G1952)*($I$2:I1952="Duplicate"))-1),"")&amp;".jpeg")</f>
        <v/>
      </c>
      <c r="L1952" s="6"/>
      <c r="M1952" s="5" t="str">
        <f>IFERROR(VLOOKUP(E1952,Specifications!$A$2:$D$9,2,FALSE),"")</f>
        <v/>
      </c>
      <c r="N1952" s="5" t="str">
        <f>IFERROR(VLOOKUP(E1952,Specifications!$A$2:$D$9,3,FALSE),"")</f>
        <v/>
      </c>
      <c r="O1952" s="5" t="str">
        <f>IFERROR(VLOOKUP(E1952,Specifications!$A$2:$D$9,4,FALSE),"")</f>
        <v/>
      </c>
      <c r="P1952" s="8" t="str">
        <f t="shared" si="93"/>
        <v/>
      </c>
      <c r="Q1952" s="9"/>
    </row>
    <row r="1953" spans="1:17" ht="15">
      <c r="A1953" s="5" t="str">
        <f t="shared" si="91"/>
        <v/>
      </c>
      <c r="B1953" s="6"/>
      <c r="C1953" s="5" t="str">
        <f>IFERROR(VLOOKUP(B1953,Lists!$A$2:$B$25,2,FALSE),"")</f>
        <v/>
      </c>
      <c r="D1953" s="7"/>
      <c r="E1953" s="6"/>
      <c r="F1953" s="6" t="str">
        <f t="shared" si="92"/>
        <v/>
      </c>
      <c r="G1953" s="6"/>
      <c r="H1953" s="6"/>
      <c r="I1953" s="6"/>
      <c r="J1953" s="7"/>
      <c r="K1953" s="5" t="str" cm="1">
        <f t="array" ref="K1953">IF(OR(A1953="",B1953="",D1953="",E1953=""),"",A1953&amp;"_"&amp;SUBSTITUTE(B1953," ","-")&amp;"_"&amp;D1953&amp;"_"&amp;SUBSTITUTE(SUBSTITUTE(E1953," ",""),"€","Euro")&amp;"_"&amp;IF(F1953="","Unknown",F1953)&amp;IF(F1953="Commemorative",IF(G1953="","","_"&amp;SUBSTITUTE(SUBSTITUTE(SUBSTITUTE(G1953," ","-"),"/","-"),CHAR(39),"")),"")&amp;IF(I1953="Duplicate","_Dub"&amp;IF(SUMPRODUCT(($B$2:B1953=B1953)*($D$2:D1953=D1953)*($E$2:E1953=E1953)*($F$2:F1953=F1953)*($G$2:G1953=G1953)*($I$2:I1953="Duplicate"))&lt;=1,"",SUMPRODUCT(($B$2:B1953=B1953)*($D$2:D1953=D1953)*($E$2:E1953=E1953)*($F$2:F1953=F1953)*($G$2:G1953=G1953)*($I$2:I1953="Duplicate"))-1),"")&amp;".jpeg")</f>
        <v/>
      </c>
      <c r="L1953" s="6"/>
      <c r="M1953" s="5" t="str">
        <f>IFERROR(VLOOKUP(E1953,Specifications!$A$2:$D$9,2,FALSE),"")</f>
        <v/>
      </c>
      <c r="N1953" s="5" t="str">
        <f>IFERROR(VLOOKUP(E1953,Specifications!$A$2:$D$9,3,FALSE),"")</f>
        <v/>
      </c>
      <c r="O1953" s="5" t="str">
        <f>IFERROR(VLOOKUP(E1953,Specifications!$A$2:$D$9,4,FALSE),"")</f>
        <v/>
      </c>
      <c r="P1953" s="8" t="str">
        <f t="shared" si="93"/>
        <v/>
      </c>
      <c r="Q1953" s="9"/>
    </row>
    <row r="1954" spans="1:17" ht="15">
      <c r="A1954" s="5" t="str">
        <f t="shared" si="91"/>
        <v/>
      </c>
      <c r="B1954" s="6"/>
      <c r="C1954" s="5" t="str">
        <f>IFERROR(VLOOKUP(B1954,Lists!$A$2:$B$25,2,FALSE),"")</f>
        <v/>
      </c>
      <c r="D1954" s="7"/>
      <c r="E1954" s="6"/>
      <c r="F1954" s="6" t="str">
        <f t="shared" si="92"/>
        <v/>
      </c>
      <c r="G1954" s="6"/>
      <c r="H1954" s="6"/>
      <c r="I1954" s="6"/>
      <c r="J1954" s="7"/>
      <c r="K1954" s="5" t="str" cm="1">
        <f t="array" ref="K1954">IF(OR(A1954="",B1954="",D1954="",E1954=""),"",A1954&amp;"_"&amp;SUBSTITUTE(B1954," ","-")&amp;"_"&amp;D1954&amp;"_"&amp;SUBSTITUTE(SUBSTITUTE(E1954," ",""),"€","Euro")&amp;"_"&amp;IF(F1954="","Unknown",F1954)&amp;IF(F1954="Commemorative",IF(G1954="","","_"&amp;SUBSTITUTE(SUBSTITUTE(SUBSTITUTE(G1954," ","-"),"/","-"),CHAR(39),"")),"")&amp;IF(I1954="Duplicate","_Dub"&amp;IF(SUMPRODUCT(($B$2:B1954=B1954)*($D$2:D1954=D1954)*($E$2:E1954=E1954)*($F$2:F1954=F1954)*($G$2:G1954=G1954)*($I$2:I1954="Duplicate"))&lt;=1,"",SUMPRODUCT(($B$2:B1954=B1954)*($D$2:D1954=D1954)*($E$2:E1954=E1954)*($F$2:F1954=F1954)*($G$2:G1954=G1954)*($I$2:I1954="Duplicate"))-1),"")&amp;".jpeg")</f>
        <v/>
      </c>
      <c r="L1954" s="6"/>
      <c r="M1954" s="5" t="str">
        <f>IFERROR(VLOOKUP(E1954,Specifications!$A$2:$D$9,2,FALSE),"")</f>
        <v/>
      </c>
      <c r="N1954" s="5" t="str">
        <f>IFERROR(VLOOKUP(E1954,Specifications!$A$2:$D$9,3,FALSE),"")</f>
        <v/>
      </c>
      <c r="O1954" s="5" t="str">
        <f>IFERROR(VLOOKUP(E1954,Specifications!$A$2:$D$9,4,FALSE),"")</f>
        <v/>
      </c>
      <c r="P1954" s="8" t="str">
        <f t="shared" si="93"/>
        <v/>
      </c>
      <c r="Q1954" s="9"/>
    </row>
    <row r="1955" spans="1:17" ht="15">
      <c r="A1955" s="5" t="str">
        <f t="shared" si="91"/>
        <v/>
      </c>
      <c r="B1955" s="6"/>
      <c r="C1955" s="5" t="str">
        <f>IFERROR(VLOOKUP(B1955,Lists!$A$2:$B$25,2,FALSE),"")</f>
        <v/>
      </c>
      <c r="D1955" s="7"/>
      <c r="E1955" s="6"/>
      <c r="F1955" s="6" t="str">
        <f t="shared" si="92"/>
        <v/>
      </c>
      <c r="G1955" s="6"/>
      <c r="H1955" s="6"/>
      <c r="I1955" s="6"/>
      <c r="J1955" s="7"/>
      <c r="K1955" s="5" t="str" cm="1">
        <f t="array" ref="K1955">IF(OR(A1955="",B1955="",D1955="",E1955=""),"",A1955&amp;"_"&amp;SUBSTITUTE(B1955," ","-")&amp;"_"&amp;D1955&amp;"_"&amp;SUBSTITUTE(SUBSTITUTE(E1955," ",""),"€","Euro")&amp;"_"&amp;IF(F1955="","Unknown",F1955)&amp;IF(F1955="Commemorative",IF(G1955="","","_"&amp;SUBSTITUTE(SUBSTITUTE(SUBSTITUTE(G1955," ","-"),"/","-"),CHAR(39),"")),"")&amp;IF(I1955="Duplicate","_Dub"&amp;IF(SUMPRODUCT(($B$2:B1955=B1955)*($D$2:D1955=D1955)*($E$2:E1955=E1955)*($F$2:F1955=F1955)*($G$2:G1955=G1955)*($I$2:I1955="Duplicate"))&lt;=1,"",SUMPRODUCT(($B$2:B1955=B1955)*($D$2:D1955=D1955)*($E$2:E1955=E1955)*($F$2:F1955=F1955)*($G$2:G1955=G1955)*($I$2:I1955="Duplicate"))-1),"")&amp;".jpeg")</f>
        <v/>
      </c>
      <c r="L1955" s="6"/>
      <c r="M1955" s="5" t="str">
        <f>IFERROR(VLOOKUP(E1955,Specifications!$A$2:$D$9,2,FALSE),"")</f>
        <v/>
      </c>
      <c r="N1955" s="5" t="str">
        <f>IFERROR(VLOOKUP(E1955,Specifications!$A$2:$D$9,3,FALSE),"")</f>
        <v/>
      </c>
      <c r="O1955" s="5" t="str">
        <f>IFERROR(VLOOKUP(E1955,Specifications!$A$2:$D$9,4,FALSE),"")</f>
        <v/>
      </c>
      <c r="P1955" s="8" t="str">
        <f t="shared" si="93"/>
        <v/>
      </c>
      <c r="Q1955" s="9"/>
    </row>
    <row r="1956" spans="1:17" ht="15">
      <c r="A1956" s="5" t="str">
        <f t="shared" si="91"/>
        <v/>
      </c>
      <c r="B1956" s="6"/>
      <c r="C1956" s="5" t="str">
        <f>IFERROR(VLOOKUP(B1956,Lists!$A$2:$B$25,2,FALSE),"")</f>
        <v/>
      </c>
      <c r="D1956" s="7"/>
      <c r="E1956" s="6"/>
      <c r="F1956" s="6" t="str">
        <f t="shared" si="92"/>
        <v/>
      </c>
      <c r="G1956" s="6"/>
      <c r="H1956" s="6"/>
      <c r="I1956" s="6"/>
      <c r="J1956" s="7"/>
      <c r="K1956" s="5" t="str" cm="1">
        <f t="array" ref="K1956">IF(OR(A1956="",B1956="",D1956="",E1956=""),"",A1956&amp;"_"&amp;SUBSTITUTE(B1956," ","-")&amp;"_"&amp;D1956&amp;"_"&amp;SUBSTITUTE(SUBSTITUTE(E1956," ",""),"€","Euro")&amp;"_"&amp;IF(F1956="","Unknown",F1956)&amp;IF(F1956="Commemorative",IF(G1956="","","_"&amp;SUBSTITUTE(SUBSTITUTE(SUBSTITUTE(G1956," ","-"),"/","-"),CHAR(39),"")),"")&amp;IF(I1956="Duplicate","_Dub"&amp;IF(SUMPRODUCT(($B$2:B1956=B1956)*($D$2:D1956=D1956)*($E$2:E1956=E1956)*($F$2:F1956=F1956)*($G$2:G1956=G1956)*($I$2:I1956="Duplicate"))&lt;=1,"",SUMPRODUCT(($B$2:B1956=B1956)*($D$2:D1956=D1956)*($E$2:E1956=E1956)*($F$2:F1956=F1956)*($G$2:G1956=G1956)*($I$2:I1956="Duplicate"))-1),"")&amp;".jpeg")</f>
        <v/>
      </c>
      <c r="L1956" s="6"/>
      <c r="M1956" s="5" t="str">
        <f>IFERROR(VLOOKUP(E1956,Specifications!$A$2:$D$9,2,FALSE),"")</f>
        <v/>
      </c>
      <c r="N1956" s="5" t="str">
        <f>IFERROR(VLOOKUP(E1956,Specifications!$A$2:$D$9,3,FALSE),"")</f>
        <v/>
      </c>
      <c r="O1956" s="5" t="str">
        <f>IFERROR(VLOOKUP(E1956,Specifications!$A$2:$D$9,4,FALSE),"")</f>
        <v/>
      </c>
      <c r="P1956" s="8" t="str">
        <f t="shared" si="93"/>
        <v/>
      </c>
      <c r="Q1956" s="9"/>
    </row>
    <row r="1957" spans="1:17" ht="15">
      <c r="A1957" s="5" t="str">
        <f t="shared" si="91"/>
        <v/>
      </c>
      <c r="B1957" s="6"/>
      <c r="C1957" s="5" t="str">
        <f>IFERROR(VLOOKUP(B1957,Lists!$A$2:$B$25,2,FALSE),"")</f>
        <v/>
      </c>
      <c r="D1957" s="7"/>
      <c r="E1957" s="6"/>
      <c r="F1957" s="6" t="str">
        <f t="shared" si="92"/>
        <v/>
      </c>
      <c r="G1957" s="6"/>
      <c r="H1957" s="6"/>
      <c r="I1957" s="6"/>
      <c r="J1957" s="7"/>
      <c r="K1957" s="5" t="str" cm="1">
        <f t="array" ref="K1957">IF(OR(A1957="",B1957="",D1957="",E1957=""),"",A1957&amp;"_"&amp;SUBSTITUTE(B1957," ","-")&amp;"_"&amp;D1957&amp;"_"&amp;SUBSTITUTE(SUBSTITUTE(E1957," ",""),"€","Euro")&amp;"_"&amp;IF(F1957="","Unknown",F1957)&amp;IF(F1957="Commemorative",IF(G1957="","","_"&amp;SUBSTITUTE(SUBSTITUTE(SUBSTITUTE(G1957," ","-"),"/","-"),CHAR(39),"")),"")&amp;IF(I1957="Duplicate","_Dub"&amp;IF(SUMPRODUCT(($B$2:B1957=B1957)*($D$2:D1957=D1957)*($E$2:E1957=E1957)*($F$2:F1957=F1957)*($G$2:G1957=G1957)*($I$2:I1957="Duplicate"))&lt;=1,"",SUMPRODUCT(($B$2:B1957=B1957)*($D$2:D1957=D1957)*($E$2:E1957=E1957)*($F$2:F1957=F1957)*($G$2:G1957=G1957)*($I$2:I1957="Duplicate"))-1),"")&amp;".jpeg")</f>
        <v/>
      </c>
      <c r="L1957" s="6"/>
      <c r="M1957" s="5" t="str">
        <f>IFERROR(VLOOKUP(E1957,Specifications!$A$2:$D$9,2,FALSE),"")</f>
        <v/>
      </c>
      <c r="N1957" s="5" t="str">
        <f>IFERROR(VLOOKUP(E1957,Specifications!$A$2:$D$9,3,FALSE),"")</f>
        <v/>
      </c>
      <c r="O1957" s="5" t="str">
        <f>IFERROR(VLOOKUP(E1957,Specifications!$A$2:$D$9,4,FALSE),"")</f>
        <v/>
      </c>
      <c r="P1957" s="8" t="str">
        <f t="shared" si="93"/>
        <v/>
      </c>
      <c r="Q1957" s="9"/>
    </row>
    <row r="1958" spans="1:17" ht="15">
      <c r="A1958" s="5" t="str">
        <f t="shared" si="91"/>
        <v/>
      </c>
      <c r="B1958" s="6"/>
      <c r="C1958" s="5" t="str">
        <f>IFERROR(VLOOKUP(B1958,Lists!$A$2:$B$25,2,FALSE),"")</f>
        <v/>
      </c>
      <c r="D1958" s="7"/>
      <c r="E1958" s="6"/>
      <c r="F1958" s="6" t="str">
        <f t="shared" si="92"/>
        <v/>
      </c>
      <c r="G1958" s="6"/>
      <c r="H1958" s="6"/>
      <c r="I1958" s="6"/>
      <c r="J1958" s="7"/>
      <c r="K1958" s="5" t="str" cm="1">
        <f t="array" ref="K1958">IF(OR(A1958="",B1958="",D1958="",E1958=""),"",A1958&amp;"_"&amp;SUBSTITUTE(B1958," ","-")&amp;"_"&amp;D1958&amp;"_"&amp;SUBSTITUTE(SUBSTITUTE(E1958," ",""),"€","Euro")&amp;"_"&amp;IF(F1958="","Unknown",F1958)&amp;IF(F1958="Commemorative",IF(G1958="","","_"&amp;SUBSTITUTE(SUBSTITUTE(SUBSTITUTE(G1958," ","-"),"/","-"),CHAR(39),"")),"")&amp;IF(I1958="Duplicate","_Dub"&amp;IF(SUMPRODUCT(($B$2:B1958=B1958)*($D$2:D1958=D1958)*($E$2:E1958=E1958)*($F$2:F1958=F1958)*($G$2:G1958=G1958)*($I$2:I1958="Duplicate"))&lt;=1,"",SUMPRODUCT(($B$2:B1958=B1958)*($D$2:D1958=D1958)*($E$2:E1958=E1958)*($F$2:F1958=F1958)*($G$2:G1958=G1958)*($I$2:I1958="Duplicate"))-1),"")&amp;".jpeg")</f>
        <v/>
      </c>
      <c r="L1958" s="6"/>
      <c r="M1958" s="5" t="str">
        <f>IFERROR(VLOOKUP(E1958,Specifications!$A$2:$D$9,2,FALSE),"")</f>
        <v/>
      </c>
      <c r="N1958" s="5" t="str">
        <f>IFERROR(VLOOKUP(E1958,Specifications!$A$2:$D$9,3,FALSE),"")</f>
        <v/>
      </c>
      <c r="O1958" s="5" t="str">
        <f>IFERROR(VLOOKUP(E1958,Specifications!$A$2:$D$9,4,FALSE),"")</f>
        <v/>
      </c>
      <c r="P1958" s="8" t="str">
        <f t="shared" si="93"/>
        <v/>
      </c>
      <c r="Q1958" s="9"/>
    </row>
    <row r="1959" spans="1:17" ht="15">
      <c r="A1959" s="5" t="str">
        <f t="shared" si="91"/>
        <v/>
      </c>
      <c r="B1959" s="6"/>
      <c r="C1959" s="5" t="str">
        <f>IFERROR(VLOOKUP(B1959,Lists!$A$2:$B$25,2,FALSE),"")</f>
        <v/>
      </c>
      <c r="D1959" s="7"/>
      <c r="E1959" s="6"/>
      <c r="F1959" s="6" t="str">
        <f t="shared" si="92"/>
        <v/>
      </c>
      <c r="G1959" s="6"/>
      <c r="H1959" s="6"/>
      <c r="I1959" s="6"/>
      <c r="J1959" s="7"/>
      <c r="K1959" s="5" t="str" cm="1">
        <f t="array" ref="K1959">IF(OR(A1959="",B1959="",D1959="",E1959=""),"",A1959&amp;"_"&amp;SUBSTITUTE(B1959," ","-")&amp;"_"&amp;D1959&amp;"_"&amp;SUBSTITUTE(SUBSTITUTE(E1959," ",""),"€","Euro")&amp;"_"&amp;IF(F1959="","Unknown",F1959)&amp;IF(F1959="Commemorative",IF(G1959="","","_"&amp;SUBSTITUTE(SUBSTITUTE(SUBSTITUTE(G1959," ","-"),"/","-"),CHAR(39),"")),"")&amp;IF(I1959="Duplicate","_Dub"&amp;IF(SUMPRODUCT(($B$2:B1959=B1959)*($D$2:D1959=D1959)*($E$2:E1959=E1959)*($F$2:F1959=F1959)*($G$2:G1959=G1959)*($I$2:I1959="Duplicate"))&lt;=1,"",SUMPRODUCT(($B$2:B1959=B1959)*($D$2:D1959=D1959)*($E$2:E1959=E1959)*($F$2:F1959=F1959)*($G$2:G1959=G1959)*($I$2:I1959="Duplicate"))-1),"")&amp;".jpeg")</f>
        <v/>
      </c>
      <c r="L1959" s="6"/>
      <c r="M1959" s="5" t="str">
        <f>IFERROR(VLOOKUP(E1959,Specifications!$A$2:$D$9,2,FALSE),"")</f>
        <v/>
      </c>
      <c r="N1959" s="5" t="str">
        <f>IFERROR(VLOOKUP(E1959,Specifications!$A$2:$D$9,3,FALSE),"")</f>
        <v/>
      </c>
      <c r="O1959" s="5" t="str">
        <f>IFERROR(VLOOKUP(E1959,Specifications!$A$2:$D$9,4,FALSE),"")</f>
        <v/>
      </c>
      <c r="P1959" s="8" t="str">
        <f t="shared" si="93"/>
        <v/>
      </c>
      <c r="Q1959" s="9"/>
    </row>
    <row r="1960" spans="1:17" ht="15">
      <c r="A1960" s="5" t="str">
        <f t="shared" si="91"/>
        <v/>
      </c>
      <c r="B1960" s="6"/>
      <c r="C1960" s="5" t="str">
        <f>IFERROR(VLOOKUP(B1960,Lists!$A$2:$B$25,2,FALSE),"")</f>
        <v/>
      </c>
      <c r="D1960" s="7"/>
      <c r="E1960" s="6"/>
      <c r="F1960" s="6" t="str">
        <f t="shared" si="92"/>
        <v/>
      </c>
      <c r="G1960" s="6"/>
      <c r="H1960" s="6"/>
      <c r="I1960" s="6"/>
      <c r="J1960" s="7"/>
      <c r="K1960" s="5" t="str" cm="1">
        <f t="array" ref="K1960">IF(OR(A1960="",B1960="",D1960="",E1960=""),"",A1960&amp;"_"&amp;SUBSTITUTE(B1960," ","-")&amp;"_"&amp;D1960&amp;"_"&amp;SUBSTITUTE(SUBSTITUTE(E1960," ",""),"€","Euro")&amp;"_"&amp;IF(F1960="","Unknown",F1960)&amp;IF(F1960="Commemorative",IF(G1960="","","_"&amp;SUBSTITUTE(SUBSTITUTE(SUBSTITUTE(G1960," ","-"),"/","-"),CHAR(39),"")),"")&amp;IF(I1960="Duplicate","_Dub"&amp;IF(SUMPRODUCT(($B$2:B1960=B1960)*($D$2:D1960=D1960)*($E$2:E1960=E1960)*($F$2:F1960=F1960)*($G$2:G1960=G1960)*($I$2:I1960="Duplicate"))&lt;=1,"",SUMPRODUCT(($B$2:B1960=B1960)*($D$2:D1960=D1960)*($E$2:E1960=E1960)*($F$2:F1960=F1960)*($G$2:G1960=G1960)*($I$2:I1960="Duplicate"))-1),"")&amp;".jpeg")</f>
        <v/>
      </c>
      <c r="L1960" s="6"/>
      <c r="M1960" s="5" t="str">
        <f>IFERROR(VLOOKUP(E1960,Specifications!$A$2:$D$9,2,FALSE),"")</f>
        <v/>
      </c>
      <c r="N1960" s="5" t="str">
        <f>IFERROR(VLOOKUP(E1960,Specifications!$A$2:$D$9,3,FALSE),"")</f>
        <v/>
      </c>
      <c r="O1960" s="5" t="str">
        <f>IFERROR(VLOOKUP(E1960,Specifications!$A$2:$D$9,4,FALSE),"")</f>
        <v/>
      </c>
      <c r="P1960" s="8" t="str">
        <f t="shared" si="93"/>
        <v/>
      </c>
      <c r="Q1960" s="9"/>
    </row>
    <row r="1961" spans="1:17" ht="15">
      <c r="A1961" s="5" t="str">
        <f t="shared" si="91"/>
        <v/>
      </c>
      <c r="B1961" s="6"/>
      <c r="C1961" s="5" t="str">
        <f>IFERROR(VLOOKUP(B1961,Lists!$A$2:$B$25,2,FALSE),"")</f>
        <v/>
      </c>
      <c r="D1961" s="7"/>
      <c r="E1961" s="6"/>
      <c r="F1961" s="6" t="str">
        <f t="shared" si="92"/>
        <v/>
      </c>
      <c r="G1961" s="6"/>
      <c r="H1961" s="6"/>
      <c r="I1961" s="6"/>
      <c r="J1961" s="7"/>
      <c r="K1961" s="5" t="str" cm="1">
        <f t="array" ref="K1961">IF(OR(A1961="",B1961="",D1961="",E1961=""),"",A1961&amp;"_"&amp;SUBSTITUTE(B1961," ","-")&amp;"_"&amp;D1961&amp;"_"&amp;SUBSTITUTE(SUBSTITUTE(E1961," ",""),"€","Euro")&amp;"_"&amp;IF(F1961="","Unknown",F1961)&amp;IF(F1961="Commemorative",IF(G1961="","","_"&amp;SUBSTITUTE(SUBSTITUTE(SUBSTITUTE(G1961," ","-"),"/","-"),CHAR(39),"")),"")&amp;IF(I1961="Duplicate","_Dub"&amp;IF(SUMPRODUCT(($B$2:B1961=B1961)*($D$2:D1961=D1961)*($E$2:E1961=E1961)*($F$2:F1961=F1961)*($G$2:G1961=G1961)*($I$2:I1961="Duplicate"))&lt;=1,"",SUMPRODUCT(($B$2:B1961=B1961)*($D$2:D1961=D1961)*($E$2:E1961=E1961)*($F$2:F1961=F1961)*($G$2:G1961=G1961)*($I$2:I1961="Duplicate"))-1),"")&amp;".jpeg")</f>
        <v/>
      </c>
      <c r="L1961" s="6"/>
      <c r="M1961" s="5" t="str">
        <f>IFERROR(VLOOKUP(E1961,Specifications!$A$2:$D$9,2,FALSE),"")</f>
        <v/>
      </c>
      <c r="N1961" s="5" t="str">
        <f>IFERROR(VLOOKUP(E1961,Specifications!$A$2:$D$9,3,FALSE),"")</f>
        <v/>
      </c>
      <c r="O1961" s="5" t="str">
        <f>IFERROR(VLOOKUP(E1961,Specifications!$A$2:$D$9,4,FALSE),"")</f>
        <v/>
      </c>
      <c r="P1961" s="8" t="str">
        <f t="shared" si="93"/>
        <v/>
      </c>
      <c r="Q1961" s="9"/>
    </row>
    <row r="1962" spans="1:17" ht="15">
      <c r="A1962" s="5" t="str">
        <f t="shared" si="91"/>
        <v/>
      </c>
      <c r="B1962" s="6"/>
      <c r="C1962" s="5" t="str">
        <f>IFERROR(VLOOKUP(B1962,Lists!$A$2:$B$25,2,FALSE),"")</f>
        <v/>
      </c>
      <c r="D1962" s="7"/>
      <c r="E1962" s="6"/>
      <c r="F1962" s="6" t="str">
        <f t="shared" si="92"/>
        <v/>
      </c>
      <c r="G1962" s="6"/>
      <c r="H1962" s="6"/>
      <c r="I1962" s="6"/>
      <c r="J1962" s="7"/>
      <c r="K1962" s="5" t="str" cm="1">
        <f t="array" ref="K1962">IF(OR(A1962="",B1962="",D1962="",E1962=""),"",A1962&amp;"_"&amp;SUBSTITUTE(B1962," ","-")&amp;"_"&amp;D1962&amp;"_"&amp;SUBSTITUTE(SUBSTITUTE(E1962," ",""),"€","Euro")&amp;"_"&amp;IF(F1962="","Unknown",F1962)&amp;IF(F1962="Commemorative",IF(G1962="","","_"&amp;SUBSTITUTE(SUBSTITUTE(SUBSTITUTE(G1962," ","-"),"/","-"),CHAR(39),"")),"")&amp;IF(I1962="Duplicate","_Dub"&amp;IF(SUMPRODUCT(($B$2:B1962=B1962)*($D$2:D1962=D1962)*($E$2:E1962=E1962)*($F$2:F1962=F1962)*($G$2:G1962=G1962)*($I$2:I1962="Duplicate"))&lt;=1,"",SUMPRODUCT(($B$2:B1962=B1962)*($D$2:D1962=D1962)*($E$2:E1962=E1962)*($F$2:F1962=F1962)*($G$2:G1962=G1962)*($I$2:I1962="Duplicate"))-1),"")&amp;".jpeg")</f>
        <v/>
      </c>
      <c r="L1962" s="6"/>
      <c r="M1962" s="5" t="str">
        <f>IFERROR(VLOOKUP(E1962,Specifications!$A$2:$D$9,2,FALSE),"")</f>
        <v/>
      </c>
      <c r="N1962" s="5" t="str">
        <f>IFERROR(VLOOKUP(E1962,Specifications!$A$2:$D$9,3,FALSE),"")</f>
        <v/>
      </c>
      <c r="O1962" s="5" t="str">
        <f>IFERROR(VLOOKUP(E1962,Specifications!$A$2:$D$9,4,FALSE),"")</f>
        <v/>
      </c>
      <c r="P1962" s="8" t="str">
        <f t="shared" si="93"/>
        <v/>
      </c>
      <c r="Q1962" s="9"/>
    </row>
    <row r="1963" spans="1:17" ht="15">
      <c r="A1963" s="5" t="str">
        <f t="shared" si="91"/>
        <v/>
      </c>
      <c r="B1963" s="6"/>
      <c r="C1963" s="5" t="str">
        <f>IFERROR(VLOOKUP(B1963,Lists!$A$2:$B$25,2,FALSE),"")</f>
        <v/>
      </c>
      <c r="D1963" s="7"/>
      <c r="E1963" s="6"/>
      <c r="F1963" s="6" t="str">
        <f t="shared" si="92"/>
        <v/>
      </c>
      <c r="G1963" s="6"/>
      <c r="H1963" s="6"/>
      <c r="I1963" s="6"/>
      <c r="J1963" s="7"/>
      <c r="K1963" s="5" t="str" cm="1">
        <f t="array" ref="K1963">IF(OR(A1963="",B1963="",D1963="",E1963=""),"",A1963&amp;"_"&amp;SUBSTITUTE(B1963," ","-")&amp;"_"&amp;D1963&amp;"_"&amp;SUBSTITUTE(SUBSTITUTE(E1963," ",""),"€","Euro")&amp;"_"&amp;IF(F1963="","Unknown",F1963)&amp;IF(F1963="Commemorative",IF(G1963="","","_"&amp;SUBSTITUTE(SUBSTITUTE(SUBSTITUTE(G1963," ","-"),"/","-"),CHAR(39),"")),"")&amp;IF(I1963="Duplicate","_Dub"&amp;IF(SUMPRODUCT(($B$2:B1963=B1963)*($D$2:D1963=D1963)*($E$2:E1963=E1963)*($F$2:F1963=F1963)*($G$2:G1963=G1963)*($I$2:I1963="Duplicate"))&lt;=1,"",SUMPRODUCT(($B$2:B1963=B1963)*($D$2:D1963=D1963)*($E$2:E1963=E1963)*($F$2:F1963=F1963)*($G$2:G1963=G1963)*($I$2:I1963="Duplicate"))-1),"")&amp;".jpeg")</f>
        <v/>
      </c>
      <c r="L1963" s="6"/>
      <c r="M1963" s="5" t="str">
        <f>IFERROR(VLOOKUP(E1963,Specifications!$A$2:$D$9,2,FALSE),"")</f>
        <v/>
      </c>
      <c r="N1963" s="5" t="str">
        <f>IFERROR(VLOOKUP(E1963,Specifications!$A$2:$D$9,3,FALSE),"")</f>
        <v/>
      </c>
      <c r="O1963" s="5" t="str">
        <f>IFERROR(VLOOKUP(E1963,Specifications!$A$2:$D$9,4,FALSE),"")</f>
        <v/>
      </c>
      <c r="P1963" s="8" t="str">
        <f t="shared" si="93"/>
        <v/>
      </c>
      <c r="Q1963" s="9"/>
    </row>
    <row r="1964" spans="1:17" ht="15">
      <c r="A1964" s="5" t="str">
        <f t="shared" si="91"/>
        <v/>
      </c>
      <c r="B1964" s="6"/>
      <c r="C1964" s="5" t="str">
        <f>IFERROR(VLOOKUP(B1964,Lists!$A$2:$B$25,2,FALSE),"")</f>
        <v/>
      </c>
      <c r="D1964" s="7"/>
      <c r="E1964" s="6"/>
      <c r="F1964" s="6" t="str">
        <f t="shared" si="92"/>
        <v/>
      </c>
      <c r="G1964" s="6"/>
      <c r="H1964" s="6"/>
      <c r="I1964" s="6"/>
      <c r="J1964" s="7"/>
      <c r="K1964" s="5" t="str" cm="1">
        <f t="array" ref="K1964">IF(OR(A1964="",B1964="",D1964="",E1964=""),"",A1964&amp;"_"&amp;SUBSTITUTE(B1964," ","-")&amp;"_"&amp;D1964&amp;"_"&amp;SUBSTITUTE(SUBSTITUTE(E1964," ",""),"€","Euro")&amp;"_"&amp;IF(F1964="","Unknown",F1964)&amp;IF(F1964="Commemorative",IF(G1964="","","_"&amp;SUBSTITUTE(SUBSTITUTE(SUBSTITUTE(G1964," ","-"),"/","-"),CHAR(39),"")),"")&amp;IF(I1964="Duplicate","_Dub"&amp;IF(SUMPRODUCT(($B$2:B1964=B1964)*($D$2:D1964=D1964)*($E$2:E1964=E1964)*($F$2:F1964=F1964)*($G$2:G1964=G1964)*($I$2:I1964="Duplicate"))&lt;=1,"",SUMPRODUCT(($B$2:B1964=B1964)*($D$2:D1964=D1964)*($E$2:E1964=E1964)*($F$2:F1964=F1964)*($G$2:G1964=G1964)*($I$2:I1964="Duplicate"))-1),"")&amp;".jpeg")</f>
        <v/>
      </c>
      <c r="L1964" s="6"/>
      <c r="M1964" s="5" t="str">
        <f>IFERROR(VLOOKUP(E1964,Specifications!$A$2:$D$9,2,FALSE),"")</f>
        <v/>
      </c>
      <c r="N1964" s="5" t="str">
        <f>IFERROR(VLOOKUP(E1964,Specifications!$A$2:$D$9,3,FALSE),"")</f>
        <v/>
      </c>
      <c r="O1964" s="5" t="str">
        <f>IFERROR(VLOOKUP(E1964,Specifications!$A$2:$D$9,4,FALSE),"")</f>
        <v/>
      </c>
      <c r="P1964" s="8" t="str">
        <f t="shared" si="93"/>
        <v/>
      </c>
      <c r="Q1964" s="9"/>
    </row>
    <row r="1965" spans="1:17" ht="15">
      <c r="A1965" s="5" t="str">
        <f t="shared" si="91"/>
        <v/>
      </c>
      <c r="B1965" s="6"/>
      <c r="C1965" s="5" t="str">
        <f>IFERROR(VLOOKUP(B1965,Lists!$A$2:$B$25,2,FALSE),"")</f>
        <v/>
      </c>
      <c r="D1965" s="7"/>
      <c r="E1965" s="6"/>
      <c r="F1965" s="6" t="str">
        <f t="shared" si="92"/>
        <v/>
      </c>
      <c r="G1965" s="6"/>
      <c r="H1965" s="6"/>
      <c r="I1965" s="6"/>
      <c r="J1965" s="7"/>
      <c r="K1965" s="5" t="str" cm="1">
        <f t="array" ref="K1965">IF(OR(A1965="",B1965="",D1965="",E1965=""),"",A1965&amp;"_"&amp;SUBSTITUTE(B1965," ","-")&amp;"_"&amp;D1965&amp;"_"&amp;SUBSTITUTE(SUBSTITUTE(E1965," ",""),"€","Euro")&amp;"_"&amp;IF(F1965="","Unknown",F1965)&amp;IF(F1965="Commemorative",IF(G1965="","","_"&amp;SUBSTITUTE(SUBSTITUTE(SUBSTITUTE(G1965," ","-"),"/","-"),CHAR(39),"")),"")&amp;IF(I1965="Duplicate","_Dub"&amp;IF(SUMPRODUCT(($B$2:B1965=B1965)*($D$2:D1965=D1965)*($E$2:E1965=E1965)*($F$2:F1965=F1965)*($G$2:G1965=G1965)*($I$2:I1965="Duplicate"))&lt;=1,"",SUMPRODUCT(($B$2:B1965=B1965)*($D$2:D1965=D1965)*($E$2:E1965=E1965)*($F$2:F1965=F1965)*($G$2:G1965=G1965)*($I$2:I1965="Duplicate"))-1),"")&amp;".jpeg")</f>
        <v/>
      </c>
      <c r="L1965" s="6"/>
      <c r="M1965" s="5" t="str">
        <f>IFERROR(VLOOKUP(E1965,Specifications!$A$2:$D$9,2,FALSE),"")</f>
        <v/>
      </c>
      <c r="N1965" s="5" t="str">
        <f>IFERROR(VLOOKUP(E1965,Specifications!$A$2:$D$9,3,FALSE),"")</f>
        <v/>
      </c>
      <c r="O1965" s="5" t="str">
        <f>IFERROR(VLOOKUP(E1965,Specifications!$A$2:$D$9,4,FALSE),"")</f>
        <v/>
      </c>
      <c r="P1965" s="8" t="str">
        <f t="shared" si="93"/>
        <v/>
      </c>
      <c r="Q1965" s="9"/>
    </row>
    <row r="1966" spans="1:17" ht="15">
      <c r="A1966" s="5" t="str">
        <f t="shared" si="91"/>
        <v/>
      </c>
      <c r="B1966" s="6"/>
      <c r="C1966" s="5" t="str">
        <f>IFERROR(VLOOKUP(B1966,Lists!$A$2:$B$25,2,FALSE),"")</f>
        <v/>
      </c>
      <c r="D1966" s="7"/>
      <c r="E1966" s="6"/>
      <c r="F1966" s="6" t="str">
        <f t="shared" si="92"/>
        <v/>
      </c>
      <c r="G1966" s="6"/>
      <c r="H1966" s="6"/>
      <c r="I1966" s="6"/>
      <c r="J1966" s="7"/>
      <c r="K1966" s="5" t="str" cm="1">
        <f t="array" ref="K1966">IF(OR(A1966="",B1966="",D1966="",E1966=""),"",A1966&amp;"_"&amp;SUBSTITUTE(B1966," ","-")&amp;"_"&amp;D1966&amp;"_"&amp;SUBSTITUTE(SUBSTITUTE(E1966," ",""),"€","Euro")&amp;"_"&amp;IF(F1966="","Unknown",F1966)&amp;IF(F1966="Commemorative",IF(G1966="","","_"&amp;SUBSTITUTE(SUBSTITUTE(SUBSTITUTE(G1966," ","-"),"/","-"),CHAR(39),"")),"")&amp;IF(I1966="Duplicate","_Dub"&amp;IF(SUMPRODUCT(($B$2:B1966=B1966)*($D$2:D1966=D1966)*($E$2:E1966=E1966)*($F$2:F1966=F1966)*($G$2:G1966=G1966)*($I$2:I1966="Duplicate"))&lt;=1,"",SUMPRODUCT(($B$2:B1966=B1966)*($D$2:D1966=D1966)*($E$2:E1966=E1966)*($F$2:F1966=F1966)*($G$2:G1966=G1966)*($I$2:I1966="Duplicate"))-1),"")&amp;".jpeg")</f>
        <v/>
      </c>
      <c r="L1966" s="6"/>
      <c r="M1966" s="5" t="str">
        <f>IFERROR(VLOOKUP(E1966,Specifications!$A$2:$D$9,2,FALSE),"")</f>
        <v/>
      </c>
      <c r="N1966" s="5" t="str">
        <f>IFERROR(VLOOKUP(E1966,Specifications!$A$2:$D$9,3,FALSE),"")</f>
        <v/>
      </c>
      <c r="O1966" s="5" t="str">
        <f>IFERROR(VLOOKUP(E1966,Specifications!$A$2:$D$9,4,FALSE),"")</f>
        <v/>
      </c>
      <c r="P1966" s="8" t="str">
        <f t="shared" si="93"/>
        <v/>
      </c>
      <c r="Q1966" s="9"/>
    </row>
    <row r="1967" spans="1:17" ht="15">
      <c r="A1967" s="5" t="str">
        <f t="shared" si="91"/>
        <v/>
      </c>
      <c r="B1967" s="6"/>
      <c r="C1967" s="5" t="str">
        <f>IFERROR(VLOOKUP(B1967,Lists!$A$2:$B$25,2,FALSE),"")</f>
        <v/>
      </c>
      <c r="D1967" s="7"/>
      <c r="E1967" s="6"/>
      <c r="F1967" s="6" t="str">
        <f t="shared" si="92"/>
        <v/>
      </c>
      <c r="G1967" s="6"/>
      <c r="H1967" s="6"/>
      <c r="I1967" s="6"/>
      <c r="J1967" s="7"/>
      <c r="K1967" s="5" t="str" cm="1">
        <f t="array" ref="K1967">IF(OR(A1967="",B1967="",D1967="",E1967=""),"",A1967&amp;"_"&amp;SUBSTITUTE(B1967," ","-")&amp;"_"&amp;D1967&amp;"_"&amp;SUBSTITUTE(SUBSTITUTE(E1967," ",""),"€","Euro")&amp;"_"&amp;IF(F1967="","Unknown",F1967)&amp;IF(F1967="Commemorative",IF(G1967="","","_"&amp;SUBSTITUTE(SUBSTITUTE(SUBSTITUTE(G1967," ","-"),"/","-"),CHAR(39),"")),"")&amp;IF(I1967="Duplicate","_Dub"&amp;IF(SUMPRODUCT(($B$2:B1967=B1967)*($D$2:D1967=D1967)*($E$2:E1967=E1967)*($F$2:F1967=F1967)*($G$2:G1967=G1967)*($I$2:I1967="Duplicate"))&lt;=1,"",SUMPRODUCT(($B$2:B1967=B1967)*($D$2:D1967=D1967)*($E$2:E1967=E1967)*($F$2:F1967=F1967)*($G$2:G1967=G1967)*($I$2:I1967="Duplicate"))-1),"")&amp;".jpeg")</f>
        <v/>
      </c>
      <c r="L1967" s="6"/>
      <c r="M1967" s="5" t="str">
        <f>IFERROR(VLOOKUP(E1967,Specifications!$A$2:$D$9,2,FALSE),"")</f>
        <v/>
      </c>
      <c r="N1967" s="5" t="str">
        <f>IFERROR(VLOOKUP(E1967,Specifications!$A$2:$D$9,3,FALSE),"")</f>
        <v/>
      </c>
      <c r="O1967" s="5" t="str">
        <f>IFERROR(VLOOKUP(E1967,Specifications!$A$2:$D$9,4,FALSE),"")</f>
        <v/>
      </c>
      <c r="P1967" s="8" t="str">
        <f t="shared" si="93"/>
        <v/>
      </c>
      <c r="Q1967" s="9"/>
    </row>
    <row r="1968" spans="1:17" ht="15">
      <c r="A1968" s="5" t="str">
        <f t="shared" si="91"/>
        <v/>
      </c>
      <c r="B1968" s="6"/>
      <c r="C1968" s="5" t="str">
        <f>IFERROR(VLOOKUP(B1968,Lists!$A$2:$B$25,2,FALSE),"")</f>
        <v/>
      </c>
      <c r="D1968" s="7"/>
      <c r="E1968" s="6"/>
      <c r="F1968" s="6" t="str">
        <f t="shared" si="92"/>
        <v/>
      </c>
      <c r="G1968" s="6"/>
      <c r="H1968" s="6"/>
      <c r="I1968" s="6"/>
      <c r="J1968" s="7"/>
      <c r="K1968" s="5" t="str" cm="1">
        <f t="array" ref="K1968">IF(OR(A1968="",B1968="",D1968="",E1968=""),"",A1968&amp;"_"&amp;SUBSTITUTE(B1968," ","-")&amp;"_"&amp;D1968&amp;"_"&amp;SUBSTITUTE(SUBSTITUTE(E1968," ",""),"€","Euro")&amp;"_"&amp;IF(F1968="","Unknown",F1968)&amp;IF(F1968="Commemorative",IF(G1968="","","_"&amp;SUBSTITUTE(SUBSTITUTE(SUBSTITUTE(G1968," ","-"),"/","-"),CHAR(39),"")),"")&amp;IF(I1968="Duplicate","_Dub"&amp;IF(SUMPRODUCT(($B$2:B1968=B1968)*($D$2:D1968=D1968)*($E$2:E1968=E1968)*($F$2:F1968=F1968)*($G$2:G1968=G1968)*($I$2:I1968="Duplicate"))&lt;=1,"",SUMPRODUCT(($B$2:B1968=B1968)*($D$2:D1968=D1968)*($E$2:E1968=E1968)*($F$2:F1968=F1968)*($G$2:G1968=G1968)*($I$2:I1968="Duplicate"))-1),"")&amp;".jpeg")</f>
        <v/>
      </c>
      <c r="L1968" s="6"/>
      <c r="M1968" s="5" t="str">
        <f>IFERROR(VLOOKUP(E1968,Specifications!$A$2:$D$9,2,FALSE),"")</f>
        <v/>
      </c>
      <c r="N1968" s="5" t="str">
        <f>IFERROR(VLOOKUP(E1968,Specifications!$A$2:$D$9,3,FALSE),"")</f>
        <v/>
      </c>
      <c r="O1968" s="5" t="str">
        <f>IFERROR(VLOOKUP(E1968,Specifications!$A$2:$D$9,4,FALSE),"")</f>
        <v/>
      </c>
      <c r="P1968" s="8" t="str">
        <f t="shared" si="93"/>
        <v/>
      </c>
      <c r="Q1968" s="9"/>
    </row>
    <row r="1969" spans="1:17" ht="15">
      <c r="A1969" s="5" t="str">
        <f t="shared" si="91"/>
        <v/>
      </c>
      <c r="B1969" s="6"/>
      <c r="C1969" s="5" t="str">
        <f>IFERROR(VLOOKUP(B1969,Lists!$A$2:$B$25,2,FALSE),"")</f>
        <v/>
      </c>
      <c r="D1969" s="7"/>
      <c r="E1969" s="6"/>
      <c r="F1969" s="6" t="str">
        <f t="shared" si="92"/>
        <v/>
      </c>
      <c r="G1969" s="6"/>
      <c r="H1969" s="6"/>
      <c r="I1969" s="6"/>
      <c r="J1969" s="7"/>
      <c r="K1969" s="5" t="str" cm="1">
        <f t="array" ref="K1969">IF(OR(A1969="",B1969="",D1969="",E1969=""),"",A1969&amp;"_"&amp;SUBSTITUTE(B1969," ","-")&amp;"_"&amp;D1969&amp;"_"&amp;SUBSTITUTE(SUBSTITUTE(E1969," ",""),"€","Euro")&amp;"_"&amp;IF(F1969="","Unknown",F1969)&amp;IF(F1969="Commemorative",IF(G1969="","","_"&amp;SUBSTITUTE(SUBSTITUTE(SUBSTITUTE(G1969," ","-"),"/","-"),CHAR(39),"")),"")&amp;IF(I1969="Duplicate","_Dub"&amp;IF(SUMPRODUCT(($B$2:B1969=B1969)*($D$2:D1969=D1969)*($E$2:E1969=E1969)*($F$2:F1969=F1969)*($G$2:G1969=G1969)*($I$2:I1969="Duplicate"))&lt;=1,"",SUMPRODUCT(($B$2:B1969=B1969)*($D$2:D1969=D1969)*($E$2:E1969=E1969)*($F$2:F1969=F1969)*($G$2:G1969=G1969)*($I$2:I1969="Duplicate"))-1),"")&amp;".jpeg")</f>
        <v/>
      </c>
      <c r="L1969" s="6"/>
      <c r="M1969" s="5" t="str">
        <f>IFERROR(VLOOKUP(E1969,Specifications!$A$2:$D$9,2,FALSE),"")</f>
        <v/>
      </c>
      <c r="N1969" s="5" t="str">
        <f>IFERROR(VLOOKUP(E1969,Specifications!$A$2:$D$9,3,FALSE),"")</f>
        <v/>
      </c>
      <c r="O1969" s="5" t="str">
        <f>IFERROR(VLOOKUP(E1969,Specifications!$A$2:$D$9,4,FALSE),"")</f>
        <v/>
      </c>
      <c r="P1969" s="8" t="str">
        <f t="shared" si="93"/>
        <v/>
      </c>
      <c r="Q1969" s="9"/>
    </row>
    <row r="1970" spans="1:17" ht="15">
      <c r="A1970" s="5" t="str">
        <f t="shared" si="91"/>
        <v/>
      </c>
      <c r="B1970" s="6"/>
      <c r="C1970" s="5" t="str">
        <f>IFERROR(VLOOKUP(B1970,Lists!$A$2:$B$25,2,FALSE),"")</f>
        <v/>
      </c>
      <c r="D1970" s="7"/>
      <c r="E1970" s="6"/>
      <c r="F1970" s="6" t="str">
        <f t="shared" si="92"/>
        <v/>
      </c>
      <c r="G1970" s="6"/>
      <c r="H1970" s="6"/>
      <c r="I1970" s="6"/>
      <c r="J1970" s="7"/>
      <c r="K1970" s="5" t="str" cm="1">
        <f t="array" ref="K1970">IF(OR(A1970="",B1970="",D1970="",E1970=""),"",A1970&amp;"_"&amp;SUBSTITUTE(B1970," ","-")&amp;"_"&amp;D1970&amp;"_"&amp;SUBSTITUTE(SUBSTITUTE(E1970," ",""),"€","Euro")&amp;"_"&amp;IF(F1970="","Unknown",F1970)&amp;IF(F1970="Commemorative",IF(G1970="","","_"&amp;SUBSTITUTE(SUBSTITUTE(SUBSTITUTE(G1970," ","-"),"/","-"),CHAR(39),"")),"")&amp;IF(I1970="Duplicate","_Dub"&amp;IF(SUMPRODUCT(($B$2:B1970=B1970)*($D$2:D1970=D1970)*($E$2:E1970=E1970)*($F$2:F1970=F1970)*($G$2:G1970=G1970)*($I$2:I1970="Duplicate"))&lt;=1,"",SUMPRODUCT(($B$2:B1970=B1970)*($D$2:D1970=D1970)*($E$2:E1970=E1970)*($F$2:F1970=F1970)*($G$2:G1970=G1970)*($I$2:I1970="Duplicate"))-1),"")&amp;".jpeg")</f>
        <v/>
      </c>
      <c r="L1970" s="6"/>
      <c r="M1970" s="5" t="str">
        <f>IFERROR(VLOOKUP(E1970,Specifications!$A$2:$D$9,2,FALSE),"")</f>
        <v/>
      </c>
      <c r="N1970" s="5" t="str">
        <f>IFERROR(VLOOKUP(E1970,Specifications!$A$2:$D$9,3,FALSE),"")</f>
        <v/>
      </c>
      <c r="O1970" s="5" t="str">
        <f>IFERROR(VLOOKUP(E1970,Specifications!$A$2:$D$9,4,FALSE),"")</f>
        <v/>
      </c>
      <c r="P1970" s="8" t="str">
        <f t="shared" si="93"/>
        <v/>
      </c>
      <c r="Q1970" s="9"/>
    </row>
    <row r="1971" spans="1:17" ht="15">
      <c r="A1971" s="5" t="str">
        <f t="shared" si="91"/>
        <v/>
      </c>
      <c r="B1971" s="6"/>
      <c r="C1971" s="5" t="str">
        <f>IFERROR(VLOOKUP(B1971,Lists!$A$2:$B$25,2,FALSE),"")</f>
        <v/>
      </c>
      <c r="D1971" s="7"/>
      <c r="E1971" s="6"/>
      <c r="F1971" s="6" t="str">
        <f t="shared" si="92"/>
        <v/>
      </c>
      <c r="G1971" s="6"/>
      <c r="H1971" s="6"/>
      <c r="I1971" s="6"/>
      <c r="J1971" s="7"/>
      <c r="K1971" s="5" t="str" cm="1">
        <f t="array" ref="K1971">IF(OR(A1971="",B1971="",D1971="",E1971=""),"",A1971&amp;"_"&amp;SUBSTITUTE(B1971," ","-")&amp;"_"&amp;D1971&amp;"_"&amp;SUBSTITUTE(SUBSTITUTE(E1971," ",""),"€","Euro")&amp;"_"&amp;IF(F1971="","Unknown",F1971)&amp;IF(F1971="Commemorative",IF(G1971="","","_"&amp;SUBSTITUTE(SUBSTITUTE(SUBSTITUTE(G1971," ","-"),"/","-"),CHAR(39),"")),"")&amp;IF(I1971="Duplicate","_Dub"&amp;IF(SUMPRODUCT(($B$2:B1971=B1971)*($D$2:D1971=D1971)*($E$2:E1971=E1971)*($F$2:F1971=F1971)*($G$2:G1971=G1971)*($I$2:I1971="Duplicate"))&lt;=1,"",SUMPRODUCT(($B$2:B1971=B1971)*($D$2:D1971=D1971)*($E$2:E1971=E1971)*($F$2:F1971=F1971)*($G$2:G1971=G1971)*($I$2:I1971="Duplicate"))-1),"")&amp;".jpeg")</f>
        <v/>
      </c>
      <c r="L1971" s="6"/>
      <c r="M1971" s="5" t="str">
        <f>IFERROR(VLOOKUP(E1971,Specifications!$A$2:$D$9,2,FALSE),"")</f>
        <v/>
      </c>
      <c r="N1971" s="5" t="str">
        <f>IFERROR(VLOOKUP(E1971,Specifications!$A$2:$D$9,3,FALSE),"")</f>
        <v/>
      </c>
      <c r="O1971" s="5" t="str">
        <f>IFERROR(VLOOKUP(E1971,Specifications!$A$2:$D$9,4,FALSE),"")</f>
        <v/>
      </c>
      <c r="P1971" s="8" t="str">
        <f t="shared" si="93"/>
        <v/>
      </c>
      <c r="Q1971" s="9"/>
    </row>
    <row r="1972" spans="1:17" ht="15">
      <c r="A1972" s="5" t="str">
        <f t="shared" si="91"/>
        <v/>
      </c>
      <c r="B1972" s="6"/>
      <c r="C1972" s="5" t="str">
        <f>IFERROR(VLOOKUP(B1972,Lists!$A$2:$B$25,2,FALSE),"")</f>
        <v/>
      </c>
      <c r="D1972" s="7"/>
      <c r="E1972" s="6"/>
      <c r="F1972" s="6" t="str">
        <f t="shared" si="92"/>
        <v/>
      </c>
      <c r="G1972" s="6"/>
      <c r="H1972" s="6"/>
      <c r="I1972" s="6"/>
      <c r="J1972" s="7"/>
      <c r="K1972" s="5" t="str" cm="1">
        <f t="array" ref="K1972">IF(OR(A1972="",B1972="",D1972="",E1972=""),"",A1972&amp;"_"&amp;SUBSTITUTE(B1972," ","-")&amp;"_"&amp;D1972&amp;"_"&amp;SUBSTITUTE(SUBSTITUTE(E1972," ",""),"€","Euro")&amp;"_"&amp;IF(F1972="","Unknown",F1972)&amp;IF(F1972="Commemorative",IF(G1972="","","_"&amp;SUBSTITUTE(SUBSTITUTE(SUBSTITUTE(G1972," ","-"),"/","-"),CHAR(39),"")),"")&amp;IF(I1972="Duplicate","_Dub"&amp;IF(SUMPRODUCT(($B$2:B1972=B1972)*($D$2:D1972=D1972)*($E$2:E1972=E1972)*($F$2:F1972=F1972)*($G$2:G1972=G1972)*($I$2:I1972="Duplicate"))&lt;=1,"",SUMPRODUCT(($B$2:B1972=B1972)*($D$2:D1972=D1972)*($E$2:E1972=E1972)*($F$2:F1972=F1972)*($G$2:G1972=G1972)*($I$2:I1972="Duplicate"))-1),"")&amp;".jpeg")</f>
        <v/>
      </c>
      <c r="L1972" s="6"/>
      <c r="M1972" s="5" t="str">
        <f>IFERROR(VLOOKUP(E1972,Specifications!$A$2:$D$9,2,FALSE),"")</f>
        <v/>
      </c>
      <c r="N1972" s="5" t="str">
        <f>IFERROR(VLOOKUP(E1972,Specifications!$A$2:$D$9,3,FALSE),"")</f>
        <v/>
      </c>
      <c r="O1972" s="5" t="str">
        <f>IFERROR(VLOOKUP(E1972,Specifications!$A$2:$D$9,4,FALSE),"")</f>
        <v/>
      </c>
      <c r="P1972" s="8" t="str">
        <f t="shared" si="93"/>
        <v/>
      </c>
      <c r="Q1972" s="9"/>
    </row>
    <row r="1973" spans="1:17" ht="15">
      <c r="A1973" s="5" t="str">
        <f t="shared" si="91"/>
        <v/>
      </c>
      <c r="B1973" s="6"/>
      <c r="C1973" s="5" t="str">
        <f>IFERROR(VLOOKUP(B1973,Lists!$A$2:$B$25,2,FALSE),"")</f>
        <v/>
      </c>
      <c r="D1973" s="7"/>
      <c r="E1973" s="6"/>
      <c r="F1973" s="6" t="str">
        <f t="shared" si="92"/>
        <v/>
      </c>
      <c r="G1973" s="6"/>
      <c r="H1973" s="6"/>
      <c r="I1973" s="6"/>
      <c r="J1973" s="7"/>
      <c r="K1973" s="5" t="str" cm="1">
        <f t="array" ref="K1973">IF(OR(A1973="",B1973="",D1973="",E1973=""),"",A1973&amp;"_"&amp;SUBSTITUTE(B1973," ","-")&amp;"_"&amp;D1973&amp;"_"&amp;SUBSTITUTE(SUBSTITUTE(E1973," ",""),"€","Euro")&amp;"_"&amp;IF(F1973="","Unknown",F1973)&amp;IF(F1973="Commemorative",IF(G1973="","","_"&amp;SUBSTITUTE(SUBSTITUTE(SUBSTITUTE(G1973," ","-"),"/","-"),CHAR(39),"")),"")&amp;IF(I1973="Duplicate","_Dub"&amp;IF(SUMPRODUCT(($B$2:B1973=B1973)*($D$2:D1973=D1973)*($E$2:E1973=E1973)*($F$2:F1973=F1973)*($G$2:G1973=G1973)*($I$2:I1973="Duplicate"))&lt;=1,"",SUMPRODUCT(($B$2:B1973=B1973)*($D$2:D1973=D1973)*($E$2:E1973=E1973)*($F$2:F1973=F1973)*($G$2:G1973=G1973)*($I$2:I1973="Duplicate"))-1),"")&amp;".jpeg")</f>
        <v/>
      </c>
      <c r="L1973" s="6"/>
      <c r="M1973" s="5" t="str">
        <f>IFERROR(VLOOKUP(E1973,Specifications!$A$2:$D$9,2,FALSE),"")</f>
        <v/>
      </c>
      <c r="N1973" s="5" t="str">
        <f>IFERROR(VLOOKUP(E1973,Specifications!$A$2:$D$9,3,FALSE),"")</f>
        <v/>
      </c>
      <c r="O1973" s="5" t="str">
        <f>IFERROR(VLOOKUP(E1973,Specifications!$A$2:$D$9,4,FALSE),"")</f>
        <v/>
      </c>
      <c r="P1973" s="8" t="str">
        <f t="shared" si="93"/>
        <v/>
      </c>
      <c r="Q1973" s="9"/>
    </row>
    <row r="1974" spans="1:17" ht="15">
      <c r="A1974" s="5" t="str">
        <f t="shared" si="91"/>
        <v/>
      </c>
      <c r="B1974" s="6"/>
      <c r="C1974" s="5" t="str">
        <f>IFERROR(VLOOKUP(B1974,Lists!$A$2:$B$25,2,FALSE),"")</f>
        <v/>
      </c>
      <c r="D1974" s="7"/>
      <c r="E1974" s="6"/>
      <c r="F1974" s="6" t="str">
        <f t="shared" si="92"/>
        <v/>
      </c>
      <c r="G1974" s="6"/>
      <c r="H1974" s="6"/>
      <c r="I1974" s="6"/>
      <c r="J1974" s="7"/>
      <c r="K1974" s="5" t="str" cm="1">
        <f t="array" ref="K1974">IF(OR(A1974="",B1974="",D1974="",E1974=""),"",A1974&amp;"_"&amp;SUBSTITUTE(B1974," ","-")&amp;"_"&amp;D1974&amp;"_"&amp;SUBSTITUTE(SUBSTITUTE(E1974," ",""),"€","Euro")&amp;"_"&amp;IF(F1974="","Unknown",F1974)&amp;IF(F1974="Commemorative",IF(G1974="","","_"&amp;SUBSTITUTE(SUBSTITUTE(SUBSTITUTE(G1974," ","-"),"/","-"),CHAR(39),"")),"")&amp;IF(I1974="Duplicate","_Dub"&amp;IF(SUMPRODUCT(($B$2:B1974=B1974)*($D$2:D1974=D1974)*($E$2:E1974=E1974)*($F$2:F1974=F1974)*($G$2:G1974=G1974)*($I$2:I1974="Duplicate"))&lt;=1,"",SUMPRODUCT(($B$2:B1974=B1974)*($D$2:D1974=D1974)*($E$2:E1974=E1974)*($F$2:F1974=F1974)*($G$2:G1974=G1974)*($I$2:I1974="Duplicate"))-1),"")&amp;".jpeg")</f>
        <v/>
      </c>
      <c r="L1974" s="6"/>
      <c r="M1974" s="5" t="str">
        <f>IFERROR(VLOOKUP(E1974,Specifications!$A$2:$D$9,2,FALSE),"")</f>
        <v/>
      </c>
      <c r="N1974" s="5" t="str">
        <f>IFERROR(VLOOKUP(E1974,Specifications!$A$2:$D$9,3,FALSE),"")</f>
        <v/>
      </c>
      <c r="O1974" s="5" t="str">
        <f>IFERROR(VLOOKUP(E1974,Specifications!$A$2:$D$9,4,FALSE),"")</f>
        <v/>
      </c>
      <c r="P1974" s="8" t="str">
        <f t="shared" si="93"/>
        <v/>
      </c>
      <c r="Q1974" s="9"/>
    </row>
    <row r="1975" spans="1:17" ht="15">
      <c r="A1975" s="5" t="str">
        <f t="shared" si="91"/>
        <v/>
      </c>
      <c r="B1975" s="6"/>
      <c r="C1975" s="5" t="str">
        <f>IFERROR(VLOOKUP(B1975,Lists!$A$2:$B$25,2,FALSE),"")</f>
        <v/>
      </c>
      <c r="D1975" s="7"/>
      <c r="E1975" s="6"/>
      <c r="F1975" s="6" t="str">
        <f t="shared" si="92"/>
        <v/>
      </c>
      <c r="G1975" s="6"/>
      <c r="H1975" s="6"/>
      <c r="I1975" s="6"/>
      <c r="J1975" s="7"/>
      <c r="K1975" s="5" t="str" cm="1">
        <f t="array" ref="K1975">IF(OR(A1975="",B1975="",D1975="",E1975=""),"",A1975&amp;"_"&amp;SUBSTITUTE(B1975," ","-")&amp;"_"&amp;D1975&amp;"_"&amp;SUBSTITUTE(SUBSTITUTE(E1975," ",""),"€","Euro")&amp;"_"&amp;IF(F1975="","Unknown",F1975)&amp;IF(F1975="Commemorative",IF(G1975="","","_"&amp;SUBSTITUTE(SUBSTITUTE(SUBSTITUTE(G1975," ","-"),"/","-"),CHAR(39),"")),"")&amp;IF(I1975="Duplicate","_Dub"&amp;IF(SUMPRODUCT(($B$2:B1975=B1975)*($D$2:D1975=D1975)*($E$2:E1975=E1975)*($F$2:F1975=F1975)*($G$2:G1975=G1975)*($I$2:I1975="Duplicate"))&lt;=1,"",SUMPRODUCT(($B$2:B1975=B1975)*($D$2:D1975=D1975)*($E$2:E1975=E1975)*($F$2:F1975=F1975)*($G$2:G1975=G1975)*($I$2:I1975="Duplicate"))-1),"")&amp;".jpeg")</f>
        <v/>
      </c>
      <c r="L1975" s="6"/>
      <c r="M1975" s="5" t="str">
        <f>IFERROR(VLOOKUP(E1975,Specifications!$A$2:$D$9,2,FALSE),"")</f>
        <v/>
      </c>
      <c r="N1975" s="5" t="str">
        <f>IFERROR(VLOOKUP(E1975,Specifications!$A$2:$D$9,3,FALSE),"")</f>
        <v/>
      </c>
      <c r="O1975" s="5" t="str">
        <f>IFERROR(VLOOKUP(E1975,Specifications!$A$2:$D$9,4,FALSE),"")</f>
        <v/>
      </c>
      <c r="P1975" s="8" t="str">
        <f t="shared" si="93"/>
        <v/>
      </c>
      <c r="Q1975" s="9"/>
    </row>
    <row r="1976" spans="1:17" ht="15">
      <c r="A1976" s="5" t="str">
        <f t="shared" si="91"/>
        <v/>
      </c>
      <c r="B1976" s="6"/>
      <c r="C1976" s="5" t="str">
        <f>IFERROR(VLOOKUP(B1976,Lists!$A$2:$B$25,2,FALSE),"")</f>
        <v/>
      </c>
      <c r="D1976" s="7"/>
      <c r="E1976" s="6"/>
      <c r="F1976" s="6" t="str">
        <f t="shared" si="92"/>
        <v/>
      </c>
      <c r="G1976" s="6"/>
      <c r="H1976" s="6"/>
      <c r="I1976" s="6"/>
      <c r="J1976" s="7"/>
      <c r="K1976" s="5" t="str" cm="1">
        <f t="array" ref="K1976">IF(OR(A1976="",B1976="",D1976="",E1976=""),"",A1976&amp;"_"&amp;SUBSTITUTE(B1976," ","-")&amp;"_"&amp;D1976&amp;"_"&amp;SUBSTITUTE(SUBSTITUTE(E1976," ",""),"€","Euro")&amp;"_"&amp;IF(F1976="","Unknown",F1976)&amp;IF(F1976="Commemorative",IF(G1976="","","_"&amp;SUBSTITUTE(SUBSTITUTE(SUBSTITUTE(G1976," ","-"),"/","-"),CHAR(39),"")),"")&amp;IF(I1976="Duplicate","_Dub"&amp;IF(SUMPRODUCT(($B$2:B1976=B1976)*($D$2:D1976=D1976)*($E$2:E1976=E1976)*($F$2:F1976=F1976)*($G$2:G1976=G1976)*($I$2:I1976="Duplicate"))&lt;=1,"",SUMPRODUCT(($B$2:B1976=B1976)*($D$2:D1976=D1976)*($E$2:E1976=E1976)*($F$2:F1976=F1976)*($G$2:G1976=G1976)*($I$2:I1976="Duplicate"))-1),"")&amp;".jpeg")</f>
        <v/>
      </c>
      <c r="L1976" s="6"/>
      <c r="M1976" s="5" t="str">
        <f>IFERROR(VLOOKUP(E1976,Specifications!$A$2:$D$9,2,FALSE),"")</f>
        <v/>
      </c>
      <c r="N1976" s="5" t="str">
        <f>IFERROR(VLOOKUP(E1976,Specifications!$A$2:$D$9,3,FALSE),"")</f>
        <v/>
      </c>
      <c r="O1976" s="5" t="str">
        <f>IFERROR(VLOOKUP(E1976,Specifications!$A$2:$D$9,4,FALSE),"")</f>
        <v/>
      </c>
      <c r="P1976" s="8" t="str">
        <f t="shared" si="93"/>
        <v/>
      </c>
      <c r="Q1976" s="9"/>
    </row>
    <row r="1977" spans="1:17" ht="15">
      <c r="A1977" s="5" t="str">
        <f t="shared" si="91"/>
        <v/>
      </c>
      <c r="B1977" s="6"/>
      <c r="C1977" s="5" t="str">
        <f>IFERROR(VLOOKUP(B1977,Lists!$A$2:$B$25,2,FALSE),"")</f>
        <v/>
      </c>
      <c r="D1977" s="7"/>
      <c r="E1977" s="6"/>
      <c r="F1977" s="6" t="str">
        <f t="shared" si="92"/>
        <v/>
      </c>
      <c r="G1977" s="6"/>
      <c r="H1977" s="6"/>
      <c r="I1977" s="6"/>
      <c r="J1977" s="7"/>
      <c r="K1977" s="5" t="str" cm="1">
        <f t="array" ref="K1977">IF(OR(A1977="",B1977="",D1977="",E1977=""),"",A1977&amp;"_"&amp;SUBSTITUTE(B1977," ","-")&amp;"_"&amp;D1977&amp;"_"&amp;SUBSTITUTE(SUBSTITUTE(E1977," ",""),"€","Euro")&amp;"_"&amp;IF(F1977="","Unknown",F1977)&amp;IF(F1977="Commemorative",IF(G1977="","","_"&amp;SUBSTITUTE(SUBSTITUTE(SUBSTITUTE(G1977," ","-"),"/","-"),CHAR(39),"")),"")&amp;IF(I1977="Duplicate","_Dub"&amp;IF(SUMPRODUCT(($B$2:B1977=B1977)*($D$2:D1977=D1977)*($E$2:E1977=E1977)*($F$2:F1977=F1977)*($G$2:G1977=G1977)*($I$2:I1977="Duplicate"))&lt;=1,"",SUMPRODUCT(($B$2:B1977=B1977)*($D$2:D1977=D1977)*($E$2:E1977=E1977)*($F$2:F1977=F1977)*($G$2:G1977=G1977)*($I$2:I1977="Duplicate"))-1),"")&amp;".jpeg")</f>
        <v/>
      </c>
      <c r="L1977" s="6"/>
      <c r="M1977" s="5" t="str">
        <f>IFERROR(VLOOKUP(E1977,Specifications!$A$2:$D$9,2,FALSE),"")</f>
        <v/>
      </c>
      <c r="N1977" s="5" t="str">
        <f>IFERROR(VLOOKUP(E1977,Specifications!$A$2:$D$9,3,FALSE),"")</f>
        <v/>
      </c>
      <c r="O1977" s="5" t="str">
        <f>IFERROR(VLOOKUP(E1977,Specifications!$A$2:$D$9,4,FALSE),"")</f>
        <v/>
      </c>
      <c r="P1977" s="8" t="str">
        <f t="shared" si="93"/>
        <v/>
      </c>
      <c r="Q1977" s="9"/>
    </row>
    <row r="1978" spans="1:17" ht="15">
      <c r="A1978" s="5" t="str">
        <f t="shared" si="91"/>
        <v/>
      </c>
      <c r="B1978" s="6"/>
      <c r="C1978" s="5" t="str">
        <f>IFERROR(VLOOKUP(B1978,Lists!$A$2:$B$25,2,FALSE),"")</f>
        <v/>
      </c>
      <c r="D1978" s="7"/>
      <c r="E1978" s="6"/>
      <c r="F1978" s="6" t="str">
        <f t="shared" si="92"/>
        <v/>
      </c>
      <c r="G1978" s="6"/>
      <c r="H1978" s="6"/>
      <c r="I1978" s="6"/>
      <c r="J1978" s="7"/>
      <c r="K1978" s="5" t="str" cm="1">
        <f t="array" ref="K1978">IF(OR(A1978="",B1978="",D1978="",E1978=""),"",A1978&amp;"_"&amp;SUBSTITUTE(B1978," ","-")&amp;"_"&amp;D1978&amp;"_"&amp;SUBSTITUTE(SUBSTITUTE(E1978," ",""),"€","Euro")&amp;"_"&amp;IF(F1978="","Unknown",F1978)&amp;IF(F1978="Commemorative",IF(G1978="","","_"&amp;SUBSTITUTE(SUBSTITUTE(SUBSTITUTE(G1978," ","-"),"/","-"),CHAR(39),"")),"")&amp;IF(I1978="Duplicate","_Dub"&amp;IF(SUMPRODUCT(($B$2:B1978=B1978)*($D$2:D1978=D1978)*($E$2:E1978=E1978)*($F$2:F1978=F1978)*($G$2:G1978=G1978)*($I$2:I1978="Duplicate"))&lt;=1,"",SUMPRODUCT(($B$2:B1978=B1978)*($D$2:D1978=D1978)*($E$2:E1978=E1978)*($F$2:F1978=F1978)*($G$2:G1978=G1978)*($I$2:I1978="Duplicate"))-1),"")&amp;".jpeg")</f>
        <v/>
      </c>
      <c r="L1978" s="6"/>
      <c r="M1978" s="5" t="str">
        <f>IFERROR(VLOOKUP(E1978,Specifications!$A$2:$D$9,2,FALSE),"")</f>
        <v/>
      </c>
      <c r="N1978" s="5" t="str">
        <f>IFERROR(VLOOKUP(E1978,Specifications!$A$2:$D$9,3,FALSE),"")</f>
        <v/>
      </c>
      <c r="O1978" s="5" t="str">
        <f>IFERROR(VLOOKUP(E1978,Specifications!$A$2:$D$9,4,FALSE),"")</f>
        <v/>
      </c>
      <c r="P1978" s="8" t="str">
        <f t="shared" si="93"/>
        <v/>
      </c>
      <c r="Q1978" s="9"/>
    </row>
    <row r="1979" spans="1:17" ht="15">
      <c r="A1979" s="5" t="str">
        <f t="shared" si="91"/>
        <v/>
      </c>
      <c r="B1979" s="6"/>
      <c r="C1979" s="5" t="str">
        <f>IFERROR(VLOOKUP(B1979,Lists!$A$2:$B$25,2,FALSE),"")</f>
        <v/>
      </c>
      <c r="D1979" s="7"/>
      <c r="E1979" s="6"/>
      <c r="F1979" s="6" t="str">
        <f t="shared" si="92"/>
        <v/>
      </c>
      <c r="G1979" s="6"/>
      <c r="H1979" s="6"/>
      <c r="I1979" s="6"/>
      <c r="J1979" s="7"/>
      <c r="K1979" s="5" t="str" cm="1">
        <f t="array" ref="K1979">IF(OR(A1979="",B1979="",D1979="",E1979=""),"",A1979&amp;"_"&amp;SUBSTITUTE(B1979," ","-")&amp;"_"&amp;D1979&amp;"_"&amp;SUBSTITUTE(SUBSTITUTE(E1979," ",""),"€","Euro")&amp;"_"&amp;IF(F1979="","Unknown",F1979)&amp;IF(F1979="Commemorative",IF(G1979="","","_"&amp;SUBSTITUTE(SUBSTITUTE(SUBSTITUTE(G1979," ","-"),"/","-"),CHAR(39),"")),"")&amp;IF(I1979="Duplicate","_Dub"&amp;IF(SUMPRODUCT(($B$2:B1979=B1979)*($D$2:D1979=D1979)*($E$2:E1979=E1979)*($F$2:F1979=F1979)*($G$2:G1979=G1979)*($I$2:I1979="Duplicate"))&lt;=1,"",SUMPRODUCT(($B$2:B1979=B1979)*($D$2:D1979=D1979)*($E$2:E1979=E1979)*($F$2:F1979=F1979)*($G$2:G1979=G1979)*($I$2:I1979="Duplicate"))-1),"")&amp;".jpeg")</f>
        <v/>
      </c>
      <c r="L1979" s="6"/>
      <c r="M1979" s="5" t="str">
        <f>IFERROR(VLOOKUP(E1979,Specifications!$A$2:$D$9,2,FALSE),"")</f>
        <v/>
      </c>
      <c r="N1979" s="5" t="str">
        <f>IFERROR(VLOOKUP(E1979,Specifications!$A$2:$D$9,3,FALSE),"")</f>
        <v/>
      </c>
      <c r="O1979" s="5" t="str">
        <f>IFERROR(VLOOKUP(E1979,Specifications!$A$2:$D$9,4,FALSE),"")</f>
        <v/>
      </c>
      <c r="P1979" s="8" t="str">
        <f t="shared" si="93"/>
        <v/>
      </c>
      <c r="Q1979" s="9"/>
    </row>
    <row r="1980" spans="1:17" ht="15">
      <c r="A1980" s="5" t="str">
        <f t="shared" si="91"/>
        <v/>
      </c>
      <c r="B1980" s="6"/>
      <c r="C1980" s="5" t="str">
        <f>IFERROR(VLOOKUP(B1980,Lists!$A$2:$B$25,2,FALSE),"")</f>
        <v/>
      </c>
      <c r="D1980" s="7"/>
      <c r="E1980" s="6"/>
      <c r="F1980" s="6" t="str">
        <f t="shared" si="92"/>
        <v/>
      </c>
      <c r="G1980" s="6"/>
      <c r="H1980" s="6"/>
      <c r="I1980" s="6"/>
      <c r="J1980" s="7"/>
      <c r="K1980" s="5" t="str" cm="1">
        <f t="array" ref="K1980">IF(OR(A1980="",B1980="",D1980="",E1980=""),"",A1980&amp;"_"&amp;SUBSTITUTE(B1980," ","-")&amp;"_"&amp;D1980&amp;"_"&amp;SUBSTITUTE(SUBSTITUTE(E1980," ",""),"€","Euro")&amp;"_"&amp;IF(F1980="","Unknown",F1980)&amp;IF(F1980="Commemorative",IF(G1980="","","_"&amp;SUBSTITUTE(SUBSTITUTE(SUBSTITUTE(G1980," ","-"),"/","-"),CHAR(39),"")),"")&amp;IF(I1980="Duplicate","_Dub"&amp;IF(SUMPRODUCT(($B$2:B1980=B1980)*($D$2:D1980=D1980)*($E$2:E1980=E1980)*($F$2:F1980=F1980)*($G$2:G1980=G1980)*($I$2:I1980="Duplicate"))&lt;=1,"",SUMPRODUCT(($B$2:B1980=B1980)*($D$2:D1980=D1980)*($E$2:E1980=E1980)*($F$2:F1980=F1980)*($G$2:G1980=G1980)*($I$2:I1980="Duplicate"))-1),"")&amp;".jpeg")</f>
        <v/>
      </c>
      <c r="L1980" s="6"/>
      <c r="M1980" s="5" t="str">
        <f>IFERROR(VLOOKUP(E1980,Specifications!$A$2:$D$9,2,FALSE),"")</f>
        <v/>
      </c>
      <c r="N1980" s="5" t="str">
        <f>IFERROR(VLOOKUP(E1980,Specifications!$A$2:$D$9,3,FALSE),"")</f>
        <v/>
      </c>
      <c r="O1980" s="5" t="str">
        <f>IFERROR(VLOOKUP(E1980,Specifications!$A$2:$D$9,4,FALSE),"")</f>
        <v/>
      </c>
      <c r="P1980" s="8" t="str">
        <f t="shared" si="93"/>
        <v/>
      </c>
      <c r="Q1980" s="9"/>
    </row>
    <row r="1981" spans="1:17" ht="15">
      <c r="A1981" s="5" t="str">
        <f t="shared" si="91"/>
        <v/>
      </c>
      <c r="B1981" s="6"/>
      <c r="C1981" s="5" t="str">
        <f>IFERROR(VLOOKUP(B1981,Lists!$A$2:$B$25,2,FALSE),"")</f>
        <v/>
      </c>
      <c r="D1981" s="7"/>
      <c r="E1981" s="6"/>
      <c r="F1981" s="6" t="str">
        <f t="shared" si="92"/>
        <v/>
      </c>
      <c r="G1981" s="6"/>
      <c r="H1981" s="6"/>
      <c r="I1981" s="6"/>
      <c r="J1981" s="7"/>
      <c r="K1981" s="5" t="str" cm="1">
        <f t="array" ref="K1981">IF(OR(A1981="",B1981="",D1981="",E1981=""),"",A1981&amp;"_"&amp;SUBSTITUTE(B1981," ","-")&amp;"_"&amp;D1981&amp;"_"&amp;SUBSTITUTE(SUBSTITUTE(E1981," ",""),"€","Euro")&amp;"_"&amp;IF(F1981="","Unknown",F1981)&amp;IF(F1981="Commemorative",IF(G1981="","","_"&amp;SUBSTITUTE(SUBSTITUTE(SUBSTITUTE(G1981," ","-"),"/","-"),CHAR(39),"")),"")&amp;IF(I1981="Duplicate","_Dub"&amp;IF(SUMPRODUCT(($B$2:B1981=B1981)*($D$2:D1981=D1981)*($E$2:E1981=E1981)*($F$2:F1981=F1981)*($G$2:G1981=G1981)*($I$2:I1981="Duplicate"))&lt;=1,"",SUMPRODUCT(($B$2:B1981=B1981)*($D$2:D1981=D1981)*($E$2:E1981=E1981)*($F$2:F1981=F1981)*($G$2:G1981=G1981)*($I$2:I1981="Duplicate"))-1),"")&amp;".jpeg")</f>
        <v/>
      </c>
      <c r="L1981" s="6"/>
      <c r="M1981" s="5" t="str">
        <f>IFERROR(VLOOKUP(E1981,Specifications!$A$2:$D$9,2,FALSE),"")</f>
        <v/>
      </c>
      <c r="N1981" s="5" t="str">
        <f>IFERROR(VLOOKUP(E1981,Specifications!$A$2:$D$9,3,FALSE),"")</f>
        <v/>
      </c>
      <c r="O1981" s="5" t="str">
        <f>IFERROR(VLOOKUP(E1981,Specifications!$A$2:$D$9,4,FALSE),"")</f>
        <v/>
      </c>
      <c r="P1981" s="8" t="str">
        <f t="shared" si="93"/>
        <v/>
      </c>
      <c r="Q1981" s="9"/>
    </row>
    <row r="1982" spans="1:17" ht="15">
      <c r="A1982" s="5" t="str">
        <f t="shared" si="91"/>
        <v/>
      </c>
      <c r="B1982" s="6"/>
      <c r="C1982" s="5" t="str">
        <f>IFERROR(VLOOKUP(B1982,Lists!$A$2:$B$25,2,FALSE),"")</f>
        <v/>
      </c>
      <c r="D1982" s="7"/>
      <c r="E1982" s="6"/>
      <c r="F1982" s="6" t="str">
        <f t="shared" si="92"/>
        <v/>
      </c>
      <c r="G1982" s="6"/>
      <c r="H1982" s="6"/>
      <c r="I1982" s="6"/>
      <c r="J1982" s="7"/>
      <c r="K1982" s="5" t="str" cm="1">
        <f t="array" ref="K1982">IF(OR(A1982="",B1982="",D1982="",E1982=""),"",A1982&amp;"_"&amp;SUBSTITUTE(B1982," ","-")&amp;"_"&amp;D1982&amp;"_"&amp;SUBSTITUTE(SUBSTITUTE(E1982," ",""),"€","Euro")&amp;"_"&amp;IF(F1982="","Unknown",F1982)&amp;IF(F1982="Commemorative",IF(G1982="","","_"&amp;SUBSTITUTE(SUBSTITUTE(SUBSTITUTE(G1982," ","-"),"/","-"),CHAR(39),"")),"")&amp;IF(I1982="Duplicate","_Dub"&amp;IF(SUMPRODUCT(($B$2:B1982=B1982)*($D$2:D1982=D1982)*($E$2:E1982=E1982)*($F$2:F1982=F1982)*($G$2:G1982=G1982)*($I$2:I1982="Duplicate"))&lt;=1,"",SUMPRODUCT(($B$2:B1982=B1982)*($D$2:D1982=D1982)*($E$2:E1982=E1982)*($F$2:F1982=F1982)*($G$2:G1982=G1982)*($I$2:I1982="Duplicate"))-1),"")&amp;".jpeg")</f>
        <v/>
      </c>
      <c r="L1982" s="6"/>
      <c r="M1982" s="5" t="str">
        <f>IFERROR(VLOOKUP(E1982,Specifications!$A$2:$D$9,2,FALSE),"")</f>
        <v/>
      </c>
      <c r="N1982" s="5" t="str">
        <f>IFERROR(VLOOKUP(E1982,Specifications!$A$2:$D$9,3,FALSE),"")</f>
        <v/>
      </c>
      <c r="O1982" s="5" t="str">
        <f>IFERROR(VLOOKUP(E1982,Specifications!$A$2:$D$9,4,FALSE),"")</f>
        <v/>
      </c>
      <c r="P1982" s="8" t="str">
        <f t="shared" si="93"/>
        <v/>
      </c>
      <c r="Q1982" s="9"/>
    </row>
    <row r="1983" spans="1:17" ht="15">
      <c r="A1983" s="5" t="str">
        <f t="shared" si="91"/>
        <v/>
      </c>
      <c r="B1983" s="6"/>
      <c r="C1983" s="5" t="str">
        <f>IFERROR(VLOOKUP(B1983,Lists!$A$2:$B$25,2,FALSE),"")</f>
        <v/>
      </c>
      <c r="D1983" s="7"/>
      <c r="E1983" s="6"/>
      <c r="F1983" s="6" t="str">
        <f t="shared" si="92"/>
        <v/>
      </c>
      <c r="G1983" s="6"/>
      <c r="H1983" s="6"/>
      <c r="I1983" s="6"/>
      <c r="J1983" s="7"/>
      <c r="K1983" s="5" t="str" cm="1">
        <f t="array" ref="K1983">IF(OR(A1983="",B1983="",D1983="",E1983=""),"",A1983&amp;"_"&amp;SUBSTITUTE(B1983," ","-")&amp;"_"&amp;D1983&amp;"_"&amp;SUBSTITUTE(SUBSTITUTE(E1983," ",""),"€","Euro")&amp;"_"&amp;IF(F1983="","Unknown",F1983)&amp;IF(F1983="Commemorative",IF(G1983="","","_"&amp;SUBSTITUTE(SUBSTITUTE(SUBSTITUTE(G1983," ","-"),"/","-"),CHAR(39),"")),"")&amp;IF(I1983="Duplicate","_Dub"&amp;IF(SUMPRODUCT(($B$2:B1983=B1983)*($D$2:D1983=D1983)*($E$2:E1983=E1983)*($F$2:F1983=F1983)*($G$2:G1983=G1983)*($I$2:I1983="Duplicate"))&lt;=1,"",SUMPRODUCT(($B$2:B1983=B1983)*($D$2:D1983=D1983)*($E$2:E1983=E1983)*($F$2:F1983=F1983)*($G$2:G1983=G1983)*($I$2:I1983="Duplicate"))-1),"")&amp;".jpeg")</f>
        <v/>
      </c>
      <c r="L1983" s="6"/>
      <c r="M1983" s="5" t="str">
        <f>IFERROR(VLOOKUP(E1983,Specifications!$A$2:$D$9,2,FALSE),"")</f>
        <v/>
      </c>
      <c r="N1983" s="5" t="str">
        <f>IFERROR(VLOOKUP(E1983,Specifications!$A$2:$D$9,3,FALSE),"")</f>
        <v/>
      </c>
      <c r="O1983" s="5" t="str">
        <f>IFERROR(VLOOKUP(E1983,Specifications!$A$2:$D$9,4,FALSE),"")</f>
        <v/>
      </c>
      <c r="P1983" s="8" t="str">
        <f t="shared" si="93"/>
        <v/>
      </c>
      <c r="Q1983" s="9"/>
    </row>
    <row r="1984" spans="1:17" ht="15">
      <c r="A1984" s="5" t="str">
        <f t="shared" si="91"/>
        <v/>
      </c>
      <c r="B1984" s="6"/>
      <c r="C1984" s="5" t="str">
        <f>IFERROR(VLOOKUP(B1984,Lists!$A$2:$B$25,2,FALSE),"")</f>
        <v/>
      </c>
      <c r="D1984" s="7"/>
      <c r="E1984" s="6"/>
      <c r="F1984" s="6" t="str">
        <f t="shared" si="92"/>
        <v/>
      </c>
      <c r="G1984" s="6"/>
      <c r="H1984" s="6"/>
      <c r="I1984" s="6"/>
      <c r="J1984" s="7"/>
      <c r="K1984" s="5" t="str" cm="1">
        <f t="array" ref="K1984">IF(OR(A1984="",B1984="",D1984="",E1984=""),"",A1984&amp;"_"&amp;SUBSTITUTE(B1984," ","-")&amp;"_"&amp;D1984&amp;"_"&amp;SUBSTITUTE(SUBSTITUTE(E1984," ",""),"€","Euro")&amp;"_"&amp;IF(F1984="","Unknown",F1984)&amp;IF(F1984="Commemorative",IF(G1984="","","_"&amp;SUBSTITUTE(SUBSTITUTE(SUBSTITUTE(G1984," ","-"),"/","-"),CHAR(39),"")),"")&amp;IF(I1984="Duplicate","_Dub"&amp;IF(SUMPRODUCT(($B$2:B1984=B1984)*($D$2:D1984=D1984)*($E$2:E1984=E1984)*($F$2:F1984=F1984)*($G$2:G1984=G1984)*($I$2:I1984="Duplicate"))&lt;=1,"",SUMPRODUCT(($B$2:B1984=B1984)*($D$2:D1984=D1984)*($E$2:E1984=E1984)*($F$2:F1984=F1984)*($G$2:G1984=G1984)*($I$2:I1984="Duplicate"))-1),"")&amp;".jpeg")</f>
        <v/>
      </c>
      <c r="L1984" s="6"/>
      <c r="M1984" s="5" t="str">
        <f>IFERROR(VLOOKUP(E1984,Specifications!$A$2:$D$9,2,FALSE),"")</f>
        <v/>
      </c>
      <c r="N1984" s="5" t="str">
        <f>IFERROR(VLOOKUP(E1984,Specifications!$A$2:$D$9,3,FALSE),"")</f>
        <v/>
      </c>
      <c r="O1984" s="5" t="str">
        <f>IFERROR(VLOOKUP(E1984,Specifications!$A$2:$D$9,4,FALSE),"")</f>
        <v/>
      </c>
      <c r="P1984" s="8" t="str">
        <f t="shared" si="93"/>
        <v/>
      </c>
      <c r="Q1984" s="9"/>
    </row>
    <row r="1985" spans="1:17" ht="15">
      <c r="A1985" s="5" t="str">
        <f t="shared" si="91"/>
        <v/>
      </c>
      <c r="B1985" s="6"/>
      <c r="C1985" s="5" t="str">
        <f>IFERROR(VLOOKUP(B1985,Lists!$A$2:$B$25,2,FALSE),"")</f>
        <v/>
      </c>
      <c r="D1985" s="7"/>
      <c r="E1985" s="6"/>
      <c r="F1985" s="6" t="str">
        <f t="shared" si="92"/>
        <v/>
      </c>
      <c r="G1985" s="6"/>
      <c r="H1985" s="6"/>
      <c r="I1985" s="6"/>
      <c r="J1985" s="7"/>
      <c r="K1985" s="5" t="str" cm="1">
        <f t="array" ref="K1985">IF(OR(A1985="",B1985="",D1985="",E1985=""),"",A1985&amp;"_"&amp;SUBSTITUTE(B1985," ","-")&amp;"_"&amp;D1985&amp;"_"&amp;SUBSTITUTE(SUBSTITUTE(E1985," ",""),"€","Euro")&amp;"_"&amp;IF(F1985="","Unknown",F1985)&amp;IF(F1985="Commemorative",IF(G1985="","","_"&amp;SUBSTITUTE(SUBSTITUTE(SUBSTITUTE(G1985," ","-"),"/","-"),CHAR(39),"")),"")&amp;IF(I1985="Duplicate","_Dub"&amp;IF(SUMPRODUCT(($B$2:B1985=B1985)*($D$2:D1985=D1985)*($E$2:E1985=E1985)*($F$2:F1985=F1985)*($G$2:G1985=G1985)*($I$2:I1985="Duplicate"))&lt;=1,"",SUMPRODUCT(($B$2:B1985=B1985)*($D$2:D1985=D1985)*($E$2:E1985=E1985)*($F$2:F1985=F1985)*($G$2:G1985=G1985)*($I$2:I1985="Duplicate"))-1),"")&amp;".jpeg")</f>
        <v/>
      </c>
      <c r="L1985" s="6"/>
      <c r="M1985" s="5" t="str">
        <f>IFERROR(VLOOKUP(E1985,Specifications!$A$2:$D$9,2,FALSE),"")</f>
        <v/>
      </c>
      <c r="N1985" s="5" t="str">
        <f>IFERROR(VLOOKUP(E1985,Specifications!$A$2:$D$9,3,FALSE),"")</f>
        <v/>
      </c>
      <c r="O1985" s="5" t="str">
        <f>IFERROR(VLOOKUP(E1985,Specifications!$A$2:$D$9,4,FALSE),"")</f>
        <v/>
      </c>
      <c r="P1985" s="8" t="str">
        <f t="shared" si="93"/>
        <v/>
      </c>
      <c r="Q1985" s="9"/>
    </row>
    <row r="1986" spans="1:17" ht="15">
      <c r="A1986" s="5" t="str">
        <f t="shared" ref="A1986:A2000" si="94">IF(B1986="","",TEXT(ROW()-1,"000"))</f>
        <v/>
      </c>
      <c r="B1986" s="6"/>
      <c r="C1986" s="5" t="str">
        <f>IFERROR(VLOOKUP(B1986,Lists!$A$2:$B$25,2,FALSE),"")</f>
        <v/>
      </c>
      <c r="D1986" s="7"/>
      <c r="E1986" s="6"/>
      <c r="F1986" s="6" t="str">
        <f t="shared" ref="F1986:F2000" si="95">IF(E1986="","",IF(E1986="2 €","", "Regular"))</f>
        <v/>
      </c>
      <c r="G1986" s="6"/>
      <c r="H1986" s="6"/>
      <c r="I1986" s="6"/>
      <c r="J1986" s="7"/>
      <c r="K1986" s="5" t="str" cm="1">
        <f t="array" ref="K1986">IF(OR(A1986="",B1986="",D1986="",E1986=""),"",A1986&amp;"_"&amp;SUBSTITUTE(B1986," ","-")&amp;"_"&amp;D1986&amp;"_"&amp;SUBSTITUTE(SUBSTITUTE(E1986," ",""),"€","Euro")&amp;"_"&amp;IF(F1986="","Unknown",F1986)&amp;IF(F1986="Commemorative",IF(G1986="","","_"&amp;SUBSTITUTE(SUBSTITUTE(SUBSTITUTE(G1986," ","-"),"/","-"),CHAR(39),"")),"")&amp;IF(I1986="Duplicate","_Dub"&amp;IF(SUMPRODUCT(($B$2:B1986=B1986)*($D$2:D1986=D1986)*($E$2:E1986=E1986)*($F$2:F1986=F1986)*($G$2:G1986=G1986)*($I$2:I1986="Duplicate"))&lt;=1,"",SUMPRODUCT(($B$2:B1986=B1986)*($D$2:D1986=D1986)*($E$2:E1986=E1986)*($F$2:F1986=F1986)*($G$2:G1986=G1986)*($I$2:I1986="Duplicate"))-1),"")&amp;".jpeg")</f>
        <v/>
      </c>
      <c r="L1986" s="6"/>
      <c r="M1986" s="5" t="str">
        <f>IFERROR(VLOOKUP(E1986,Specifications!$A$2:$D$9,2,FALSE),"")</f>
        <v/>
      </c>
      <c r="N1986" s="5" t="str">
        <f>IFERROR(VLOOKUP(E1986,Specifications!$A$2:$D$9,3,FALSE),"")</f>
        <v/>
      </c>
      <c r="O1986" s="5" t="str">
        <f>IFERROR(VLOOKUP(E1986,Specifications!$A$2:$D$9,4,FALSE),"")</f>
        <v/>
      </c>
      <c r="P1986" s="8" t="str">
        <f t="shared" ref="P1986:P2000" si="96">IF(OR(B1986="",E1986="",F1986=""),"",IF(F1986="Regular","Regular "&amp;E1986&amp;" circulation coin of "&amp;B1986&amp;".",IF(F1986="Commemorative",IF(G1986="","",E1986&amp;" commemorative coin of "&amp;B1986&amp;" – "&amp;G1986&amp;"."),"")))</f>
        <v/>
      </c>
      <c r="Q1986" s="9"/>
    </row>
    <row r="1987" spans="1:17" ht="15">
      <c r="A1987" s="5" t="str">
        <f t="shared" si="94"/>
        <v/>
      </c>
      <c r="B1987" s="6"/>
      <c r="C1987" s="5" t="str">
        <f>IFERROR(VLOOKUP(B1987,Lists!$A$2:$B$25,2,FALSE),"")</f>
        <v/>
      </c>
      <c r="D1987" s="7"/>
      <c r="E1987" s="6"/>
      <c r="F1987" s="6" t="str">
        <f t="shared" si="95"/>
        <v/>
      </c>
      <c r="G1987" s="6"/>
      <c r="H1987" s="6"/>
      <c r="I1987" s="6"/>
      <c r="J1987" s="7"/>
      <c r="K1987" s="5" t="str" cm="1">
        <f t="array" ref="K1987">IF(OR(A1987="",B1987="",D1987="",E1987=""),"",A1987&amp;"_"&amp;SUBSTITUTE(B1987," ","-")&amp;"_"&amp;D1987&amp;"_"&amp;SUBSTITUTE(SUBSTITUTE(E1987," ",""),"€","Euro")&amp;"_"&amp;IF(F1987="","Unknown",F1987)&amp;IF(F1987="Commemorative",IF(G1987="","","_"&amp;SUBSTITUTE(SUBSTITUTE(SUBSTITUTE(G1987," ","-"),"/","-"),CHAR(39),"")),"")&amp;IF(I1987="Duplicate","_Dub"&amp;IF(SUMPRODUCT(($B$2:B1987=B1987)*($D$2:D1987=D1987)*($E$2:E1987=E1987)*($F$2:F1987=F1987)*($G$2:G1987=G1987)*($I$2:I1987="Duplicate"))&lt;=1,"",SUMPRODUCT(($B$2:B1987=B1987)*($D$2:D1987=D1987)*($E$2:E1987=E1987)*($F$2:F1987=F1987)*($G$2:G1987=G1987)*($I$2:I1987="Duplicate"))-1),"")&amp;".jpeg")</f>
        <v/>
      </c>
      <c r="L1987" s="6"/>
      <c r="M1987" s="5" t="str">
        <f>IFERROR(VLOOKUP(E1987,Specifications!$A$2:$D$9,2,FALSE),"")</f>
        <v/>
      </c>
      <c r="N1987" s="5" t="str">
        <f>IFERROR(VLOOKUP(E1987,Specifications!$A$2:$D$9,3,FALSE),"")</f>
        <v/>
      </c>
      <c r="O1987" s="5" t="str">
        <f>IFERROR(VLOOKUP(E1987,Specifications!$A$2:$D$9,4,FALSE),"")</f>
        <v/>
      </c>
      <c r="P1987" s="8" t="str">
        <f t="shared" si="96"/>
        <v/>
      </c>
      <c r="Q1987" s="9"/>
    </row>
    <row r="1988" spans="1:17" ht="15">
      <c r="A1988" s="5" t="str">
        <f t="shared" si="94"/>
        <v/>
      </c>
      <c r="B1988" s="6"/>
      <c r="C1988" s="5" t="str">
        <f>IFERROR(VLOOKUP(B1988,Lists!$A$2:$B$25,2,FALSE),"")</f>
        <v/>
      </c>
      <c r="D1988" s="7"/>
      <c r="E1988" s="6"/>
      <c r="F1988" s="6" t="str">
        <f t="shared" si="95"/>
        <v/>
      </c>
      <c r="G1988" s="6"/>
      <c r="H1988" s="6"/>
      <c r="I1988" s="6"/>
      <c r="J1988" s="7"/>
      <c r="K1988" s="5" t="str" cm="1">
        <f t="array" ref="K1988">IF(OR(A1988="",B1988="",D1988="",E1988=""),"",A1988&amp;"_"&amp;SUBSTITUTE(B1988," ","-")&amp;"_"&amp;D1988&amp;"_"&amp;SUBSTITUTE(SUBSTITUTE(E1988," ",""),"€","Euro")&amp;"_"&amp;IF(F1988="","Unknown",F1988)&amp;IF(F1988="Commemorative",IF(G1988="","","_"&amp;SUBSTITUTE(SUBSTITUTE(SUBSTITUTE(G1988," ","-"),"/","-"),CHAR(39),"")),"")&amp;IF(I1988="Duplicate","_Dub"&amp;IF(SUMPRODUCT(($B$2:B1988=B1988)*($D$2:D1988=D1988)*($E$2:E1988=E1988)*($F$2:F1988=F1988)*($G$2:G1988=G1988)*($I$2:I1988="Duplicate"))&lt;=1,"",SUMPRODUCT(($B$2:B1988=B1988)*($D$2:D1988=D1988)*($E$2:E1988=E1988)*($F$2:F1988=F1988)*($G$2:G1988=G1988)*($I$2:I1988="Duplicate"))-1),"")&amp;".jpeg")</f>
        <v/>
      </c>
      <c r="L1988" s="6"/>
      <c r="M1988" s="5" t="str">
        <f>IFERROR(VLOOKUP(E1988,Specifications!$A$2:$D$9,2,FALSE),"")</f>
        <v/>
      </c>
      <c r="N1988" s="5" t="str">
        <f>IFERROR(VLOOKUP(E1988,Specifications!$A$2:$D$9,3,FALSE),"")</f>
        <v/>
      </c>
      <c r="O1988" s="5" t="str">
        <f>IFERROR(VLOOKUP(E1988,Specifications!$A$2:$D$9,4,FALSE),"")</f>
        <v/>
      </c>
      <c r="P1988" s="8" t="str">
        <f t="shared" si="96"/>
        <v/>
      </c>
      <c r="Q1988" s="9"/>
    </row>
    <row r="1989" spans="1:17" ht="15">
      <c r="A1989" s="5" t="str">
        <f t="shared" si="94"/>
        <v/>
      </c>
      <c r="B1989" s="6"/>
      <c r="C1989" s="5" t="str">
        <f>IFERROR(VLOOKUP(B1989,Lists!$A$2:$B$25,2,FALSE),"")</f>
        <v/>
      </c>
      <c r="D1989" s="7"/>
      <c r="E1989" s="6"/>
      <c r="F1989" s="6" t="str">
        <f t="shared" si="95"/>
        <v/>
      </c>
      <c r="G1989" s="6"/>
      <c r="H1989" s="6"/>
      <c r="I1989" s="6"/>
      <c r="J1989" s="7"/>
      <c r="K1989" s="5" t="str" cm="1">
        <f t="array" ref="K1989">IF(OR(A1989="",B1989="",D1989="",E1989=""),"",A1989&amp;"_"&amp;SUBSTITUTE(B1989," ","-")&amp;"_"&amp;D1989&amp;"_"&amp;SUBSTITUTE(SUBSTITUTE(E1989," ",""),"€","Euro")&amp;"_"&amp;IF(F1989="","Unknown",F1989)&amp;IF(F1989="Commemorative",IF(G1989="","","_"&amp;SUBSTITUTE(SUBSTITUTE(SUBSTITUTE(G1989," ","-"),"/","-"),CHAR(39),"")),"")&amp;IF(I1989="Duplicate","_Dub"&amp;IF(SUMPRODUCT(($B$2:B1989=B1989)*($D$2:D1989=D1989)*($E$2:E1989=E1989)*($F$2:F1989=F1989)*($G$2:G1989=G1989)*($I$2:I1989="Duplicate"))&lt;=1,"",SUMPRODUCT(($B$2:B1989=B1989)*($D$2:D1989=D1989)*($E$2:E1989=E1989)*($F$2:F1989=F1989)*($G$2:G1989=G1989)*($I$2:I1989="Duplicate"))-1),"")&amp;".jpeg")</f>
        <v/>
      </c>
      <c r="L1989" s="6"/>
      <c r="M1989" s="5" t="str">
        <f>IFERROR(VLOOKUP(E1989,Specifications!$A$2:$D$9,2,FALSE),"")</f>
        <v/>
      </c>
      <c r="N1989" s="5" t="str">
        <f>IFERROR(VLOOKUP(E1989,Specifications!$A$2:$D$9,3,FALSE),"")</f>
        <v/>
      </c>
      <c r="O1989" s="5" t="str">
        <f>IFERROR(VLOOKUP(E1989,Specifications!$A$2:$D$9,4,FALSE),"")</f>
        <v/>
      </c>
      <c r="P1989" s="8" t="str">
        <f t="shared" si="96"/>
        <v/>
      </c>
      <c r="Q1989" s="9"/>
    </row>
    <row r="1990" spans="1:17" ht="15">
      <c r="A1990" s="5" t="str">
        <f t="shared" si="94"/>
        <v/>
      </c>
      <c r="B1990" s="6"/>
      <c r="C1990" s="5" t="str">
        <f>IFERROR(VLOOKUP(B1990,Lists!$A$2:$B$25,2,FALSE),"")</f>
        <v/>
      </c>
      <c r="D1990" s="7"/>
      <c r="E1990" s="6"/>
      <c r="F1990" s="6" t="str">
        <f t="shared" si="95"/>
        <v/>
      </c>
      <c r="G1990" s="6"/>
      <c r="H1990" s="6"/>
      <c r="I1990" s="6"/>
      <c r="J1990" s="7"/>
      <c r="K1990" s="5" t="str" cm="1">
        <f t="array" ref="K1990">IF(OR(A1990="",B1990="",D1990="",E1990=""),"",A1990&amp;"_"&amp;SUBSTITUTE(B1990," ","-")&amp;"_"&amp;D1990&amp;"_"&amp;SUBSTITUTE(SUBSTITUTE(E1990," ",""),"€","Euro")&amp;"_"&amp;IF(F1990="","Unknown",F1990)&amp;IF(F1990="Commemorative",IF(G1990="","","_"&amp;SUBSTITUTE(SUBSTITUTE(SUBSTITUTE(G1990," ","-"),"/","-"),CHAR(39),"")),"")&amp;IF(I1990="Duplicate","_Dub"&amp;IF(SUMPRODUCT(($B$2:B1990=B1990)*($D$2:D1990=D1990)*($E$2:E1990=E1990)*($F$2:F1990=F1990)*($G$2:G1990=G1990)*($I$2:I1990="Duplicate"))&lt;=1,"",SUMPRODUCT(($B$2:B1990=B1990)*($D$2:D1990=D1990)*($E$2:E1990=E1990)*($F$2:F1990=F1990)*($G$2:G1990=G1990)*($I$2:I1990="Duplicate"))-1),"")&amp;".jpeg")</f>
        <v/>
      </c>
      <c r="L1990" s="6"/>
      <c r="M1990" s="5" t="str">
        <f>IFERROR(VLOOKUP(E1990,Specifications!$A$2:$D$9,2,FALSE),"")</f>
        <v/>
      </c>
      <c r="N1990" s="5" t="str">
        <f>IFERROR(VLOOKUP(E1990,Specifications!$A$2:$D$9,3,FALSE),"")</f>
        <v/>
      </c>
      <c r="O1990" s="5" t="str">
        <f>IFERROR(VLOOKUP(E1990,Specifications!$A$2:$D$9,4,FALSE),"")</f>
        <v/>
      </c>
      <c r="P1990" s="8" t="str">
        <f t="shared" si="96"/>
        <v/>
      </c>
      <c r="Q1990" s="9"/>
    </row>
    <row r="1991" spans="1:17" ht="15">
      <c r="A1991" s="5" t="str">
        <f t="shared" si="94"/>
        <v/>
      </c>
      <c r="B1991" s="6"/>
      <c r="C1991" s="5" t="str">
        <f>IFERROR(VLOOKUP(B1991,Lists!$A$2:$B$25,2,FALSE),"")</f>
        <v/>
      </c>
      <c r="D1991" s="7"/>
      <c r="E1991" s="6"/>
      <c r="F1991" s="6" t="str">
        <f t="shared" si="95"/>
        <v/>
      </c>
      <c r="G1991" s="6"/>
      <c r="H1991" s="6"/>
      <c r="I1991" s="6"/>
      <c r="J1991" s="7"/>
      <c r="K1991" s="5" t="str" cm="1">
        <f t="array" ref="K1991">IF(OR(A1991="",B1991="",D1991="",E1991=""),"",A1991&amp;"_"&amp;SUBSTITUTE(B1991," ","-")&amp;"_"&amp;D1991&amp;"_"&amp;SUBSTITUTE(SUBSTITUTE(E1991," ",""),"€","Euro")&amp;"_"&amp;IF(F1991="","Unknown",F1991)&amp;IF(F1991="Commemorative",IF(G1991="","","_"&amp;SUBSTITUTE(SUBSTITUTE(SUBSTITUTE(G1991," ","-"),"/","-"),CHAR(39),"")),"")&amp;IF(I1991="Duplicate","_Dub"&amp;IF(SUMPRODUCT(($B$2:B1991=B1991)*($D$2:D1991=D1991)*($E$2:E1991=E1991)*($F$2:F1991=F1991)*($G$2:G1991=G1991)*($I$2:I1991="Duplicate"))&lt;=1,"",SUMPRODUCT(($B$2:B1991=B1991)*($D$2:D1991=D1991)*($E$2:E1991=E1991)*($F$2:F1991=F1991)*($G$2:G1991=G1991)*($I$2:I1991="Duplicate"))-1),"")&amp;".jpeg")</f>
        <v/>
      </c>
      <c r="L1991" s="6"/>
      <c r="M1991" s="5" t="str">
        <f>IFERROR(VLOOKUP(E1991,Specifications!$A$2:$D$9,2,FALSE),"")</f>
        <v/>
      </c>
      <c r="N1991" s="5" t="str">
        <f>IFERROR(VLOOKUP(E1991,Specifications!$A$2:$D$9,3,FALSE),"")</f>
        <v/>
      </c>
      <c r="O1991" s="5" t="str">
        <f>IFERROR(VLOOKUP(E1991,Specifications!$A$2:$D$9,4,FALSE),"")</f>
        <v/>
      </c>
      <c r="P1991" s="8" t="str">
        <f t="shared" si="96"/>
        <v/>
      </c>
      <c r="Q1991" s="9"/>
    </row>
    <row r="1992" spans="1:17" ht="15">
      <c r="A1992" s="5" t="str">
        <f t="shared" si="94"/>
        <v/>
      </c>
      <c r="B1992" s="6"/>
      <c r="C1992" s="5" t="str">
        <f>IFERROR(VLOOKUP(B1992,Lists!$A$2:$B$25,2,FALSE),"")</f>
        <v/>
      </c>
      <c r="D1992" s="7"/>
      <c r="E1992" s="6"/>
      <c r="F1992" s="6" t="str">
        <f t="shared" si="95"/>
        <v/>
      </c>
      <c r="G1992" s="6"/>
      <c r="H1992" s="6"/>
      <c r="I1992" s="6"/>
      <c r="J1992" s="7"/>
      <c r="K1992" s="5" t="str" cm="1">
        <f t="array" ref="K1992">IF(OR(A1992="",B1992="",D1992="",E1992=""),"",A1992&amp;"_"&amp;SUBSTITUTE(B1992," ","-")&amp;"_"&amp;D1992&amp;"_"&amp;SUBSTITUTE(SUBSTITUTE(E1992," ",""),"€","Euro")&amp;"_"&amp;IF(F1992="","Unknown",F1992)&amp;IF(F1992="Commemorative",IF(G1992="","","_"&amp;SUBSTITUTE(SUBSTITUTE(SUBSTITUTE(G1992," ","-"),"/","-"),CHAR(39),"")),"")&amp;IF(I1992="Duplicate","_Dub"&amp;IF(SUMPRODUCT(($B$2:B1992=B1992)*($D$2:D1992=D1992)*($E$2:E1992=E1992)*($F$2:F1992=F1992)*($G$2:G1992=G1992)*($I$2:I1992="Duplicate"))&lt;=1,"",SUMPRODUCT(($B$2:B1992=B1992)*($D$2:D1992=D1992)*($E$2:E1992=E1992)*($F$2:F1992=F1992)*($G$2:G1992=G1992)*($I$2:I1992="Duplicate"))-1),"")&amp;".jpeg")</f>
        <v/>
      </c>
      <c r="L1992" s="6"/>
      <c r="M1992" s="5" t="str">
        <f>IFERROR(VLOOKUP(E1992,Specifications!$A$2:$D$9,2,FALSE),"")</f>
        <v/>
      </c>
      <c r="N1992" s="5" t="str">
        <f>IFERROR(VLOOKUP(E1992,Specifications!$A$2:$D$9,3,FALSE),"")</f>
        <v/>
      </c>
      <c r="O1992" s="5" t="str">
        <f>IFERROR(VLOOKUP(E1992,Specifications!$A$2:$D$9,4,FALSE),"")</f>
        <v/>
      </c>
      <c r="P1992" s="8" t="str">
        <f t="shared" si="96"/>
        <v/>
      </c>
      <c r="Q1992" s="9"/>
    </row>
    <row r="1993" spans="1:17" ht="15">
      <c r="A1993" s="5" t="str">
        <f t="shared" si="94"/>
        <v/>
      </c>
      <c r="B1993" s="6"/>
      <c r="C1993" s="5" t="str">
        <f>IFERROR(VLOOKUP(B1993,Lists!$A$2:$B$25,2,FALSE),"")</f>
        <v/>
      </c>
      <c r="D1993" s="7"/>
      <c r="E1993" s="6"/>
      <c r="F1993" s="6" t="str">
        <f t="shared" si="95"/>
        <v/>
      </c>
      <c r="G1993" s="6"/>
      <c r="H1993" s="6"/>
      <c r="I1993" s="6"/>
      <c r="J1993" s="7"/>
      <c r="K1993" s="5" t="str" cm="1">
        <f t="array" ref="K1993">IF(OR(A1993="",B1993="",D1993="",E1993=""),"",A1993&amp;"_"&amp;SUBSTITUTE(B1993," ","-")&amp;"_"&amp;D1993&amp;"_"&amp;SUBSTITUTE(SUBSTITUTE(E1993," ",""),"€","Euro")&amp;"_"&amp;IF(F1993="","Unknown",F1993)&amp;IF(F1993="Commemorative",IF(G1993="","","_"&amp;SUBSTITUTE(SUBSTITUTE(SUBSTITUTE(G1993," ","-"),"/","-"),CHAR(39),"")),"")&amp;IF(I1993="Duplicate","_Dub"&amp;IF(SUMPRODUCT(($B$2:B1993=B1993)*($D$2:D1993=D1993)*($E$2:E1993=E1993)*($F$2:F1993=F1993)*($G$2:G1993=G1993)*($I$2:I1993="Duplicate"))&lt;=1,"",SUMPRODUCT(($B$2:B1993=B1993)*($D$2:D1993=D1993)*($E$2:E1993=E1993)*($F$2:F1993=F1993)*($G$2:G1993=G1993)*($I$2:I1993="Duplicate"))-1),"")&amp;".jpeg")</f>
        <v/>
      </c>
      <c r="L1993" s="6"/>
      <c r="M1993" s="5" t="str">
        <f>IFERROR(VLOOKUP(E1993,Specifications!$A$2:$D$9,2,FALSE),"")</f>
        <v/>
      </c>
      <c r="N1993" s="5" t="str">
        <f>IFERROR(VLOOKUP(E1993,Specifications!$A$2:$D$9,3,FALSE),"")</f>
        <v/>
      </c>
      <c r="O1993" s="5" t="str">
        <f>IFERROR(VLOOKUP(E1993,Specifications!$A$2:$D$9,4,FALSE),"")</f>
        <v/>
      </c>
      <c r="P1993" s="8" t="str">
        <f t="shared" si="96"/>
        <v/>
      </c>
      <c r="Q1993" s="9"/>
    </row>
    <row r="1994" spans="1:17" ht="15">
      <c r="A1994" s="5" t="str">
        <f t="shared" si="94"/>
        <v/>
      </c>
      <c r="B1994" s="6"/>
      <c r="C1994" s="5" t="str">
        <f>IFERROR(VLOOKUP(B1994,Lists!$A$2:$B$25,2,FALSE),"")</f>
        <v/>
      </c>
      <c r="D1994" s="7"/>
      <c r="E1994" s="6"/>
      <c r="F1994" s="6" t="str">
        <f t="shared" si="95"/>
        <v/>
      </c>
      <c r="G1994" s="6"/>
      <c r="H1994" s="6"/>
      <c r="I1994" s="6"/>
      <c r="J1994" s="7"/>
      <c r="K1994" s="5" t="str" cm="1">
        <f t="array" ref="K1994">IF(OR(A1994="",B1994="",D1994="",E1994=""),"",A1994&amp;"_"&amp;SUBSTITUTE(B1994," ","-")&amp;"_"&amp;D1994&amp;"_"&amp;SUBSTITUTE(SUBSTITUTE(E1994," ",""),"€","Euro")&amp;"_"&amp;IF(F1994="","Unknown",F1994)&amp;IF(F1994="Commemorative",IF(G1994="","","_"&amp;SUBSTITUTE(SUBSTITUTE(SUBSTITUTE(G1994," ","-"),"/","-"),CHAR(39),"")),"")&amp;IF(I1994="Duplicate","_Dub"&amp;IF(SUMPRODUCT(($B$2:B1994=B1994)*($D$2:D1994=D1994)*($E$2:E1994=E1994)*($F$2:F1994=F1994)*($G$2:G1994=G1994)*($I$2:I1994="Duplicate"))&lt;=1,"",SUMPRODUCT(($B$2:B1994=B1994)*($D$2:D1994=D1994)*($E$2:E1994=E1994)*($F$2:F1994=F1994)*($G$2:G1994=G1994)*($I$2:I1994="Duplicate"))-1),"")&amp;".jpeg")</f>
        <v/>
      </c>
      <c r="L1994" s="6"/>
      <c r="M1994" s="5" t="str">
        <f>IFERROR(VLOOKUP(E1994,Specifications!$A$2:$D$9,2,FALSE),"")</f>
        <v/>
      </c>
      <c r="N1994" s="5" t="str">
        <f>IFERROR(VLOOKUP(E1994,Specifications!$A$2:$D$9,3,FALSE),"")</f>
        <v/>
      </c>
      <c r="O1994" s="5" t="str">
        <f>IFERROR(VLOOKUP(E1994,Specifications!$A$2:$D$9,4,FALSE),"")</f>
        <v/>
      </c>
      <c r="P1994" s="8" t="str">
        <f t="shared" si="96"/>
        <v/>
      </c>
      <c r="Q1994" s="9"/>
    </row>
    <row r="1995" spans="1:17" ht="15">
      <c r="A1995" s="5" t="str">
        <f t="shared" si="94"/>
        <v/>
      </c>
      <c r="B1995" s="6"/>
      <c r="C1995" s="5" t="str">
        <f>IFERROR(VLOOKUP(B1995,Lists!$A$2:$B$25,2,FALSE),"")</f>
        <v/>
      </c>
      <c r="D1995" s="7"/>
      <c r="E1995" s="6"/>
      <c r="F1995" s="6" t="str">
        <f t="shared" si="95"/>
        <v/>
      </c>
      <c r="G1995" s="6"/>
      <c r="H1995" s="6"/>
      <c r="I1995" s="6"/>
      <c r="J1995" s="7"/>
      <c r="K1995" s="5" t="str" cm="1">
        <f t="array" ref="K1995">IF(OR(A1995="",B1995="",D1995="",E1995=""),"",A1995&amp;"_"&amp;SUBSTITUTE(B1995," ","-")&amp;"_"&amp;D1995&amp;"_"&amp;SUBSTITUTE(SUBSTITUTE(E1995," ",""),"€","Euro")&amp;"_"&amp;IF(F1995="","Unknown",F1995)&amp;IF(F1995="Commemorative",IF(G1995="","","_"&amp;SUBSTITUTE(SUBSTITUTE(SUBSTITUTE(G1995," ","-"),"/","-"),CHAR(39),"")),"")&amp;IF(I1995="Duplicate","_Dub"&amp;IF(SUMPRODUCT(($B$2:B1995=B1995)*($D$2:D1995=D1995)*($E$2:E1995=E1995)*($F$2:F1995=F1995)*($G$2:G1995=G1995)*($I$2:I1995="Duplicate"))&lt;=1,"",SUMPRODUCT(($B$2:B1995=B1995)*($D$2:D1995=D1995)*($E$2:E1995=E1995)*($F$2:F1995=F1995)*($G$2:G1995=G1995)*($I$2:I1995="Duplicate"))-1),"")&amp;".jpeg")</f>
        <v/>
      </c>
      <c r="L1995" s="6"/>
      <c r="M1995" s="5" t="str">
        <f>IFERROR(VLOOKUP(E1995,Specifications!$A$2:$D$9,2,FALSE),"")</f>
        <v/>
      </c>
      <c r="N1995" s="5" t="str">
        <f>IFERROR(VLOOKUP(E1995,Specifications!$A$2:$D$9,3,FALSE),"")</f>
        <v/>
      </c>
      <c r="O1995" s="5" t="str">
        <f>IFERROR(VLOOKUP(E1995,Specifications!$A$2:$D$9,4,FALSE),"")</f>
        <v/>
      </c>
      <c r="P1995" s="8" t="str">
        <f t="shared" si="96"/>
        <v/>
      </c>
      <c r="Q1995" s="9"/>
    </row>
    <row r="1996" spans="1:17" ht="15">
      <c r="A1996" s="5" t="str">
        <f t="shared" si="94"/>
        <v/>
      </c>
      <c r="B1996" s="6"/>
      <c r="C1996" s="5" t="str">
        <f>IFERROR(VLOOKUP(B1996,Lists!$A$2:$B$25,2,FALSE),"")</f>
        <v/>
      </c>
      <c r="D1996" s="7"/>
      <c r="E1996" s="6"/>
      <c r="F1996" s="6" t="str">
        <f t="shared" si="95"/>
        <v/>
      </c>
      <c r="G1996" s="6"/>
      <c r="H1996" s="6"/>
      <c r="I1996" s="6"/>
      <c r="J1996" s="7"/>
      <c r="K1996" s="5" t="str" cm="1">
        <f t="array" ref="K1996">IF(OR(A1996="",B1996="",D1996="",E1996=""),"",A1996&amp;"_"&amp;SUBSTITUTE(B1996," ","-")&amp;"_"&amp;D1996&amp;"_"&amp;SUBSTITUTE(SUBSTITUTE(E1996," ",""),"€","Euro")&amp;"_"&amp;IF(F1996="","Unknown",F1996)&amp;IF(F1996="Commemorative",IF(G1996="","","_"&amp;SUBSTITUTE(SUBSTITUTE(SUBSTITUTE(G1996," ","-"),"/","-"),CHAR(39),"")),"")&amp;IF(I1996="Duplicate","_Dub"&amp;IF(SUMPRODUCT(($B$2:B1996=B1996)*($D$2:D1996=D1996)*($E$2:E1996=E1996)*($F$2:F1996=F1996)*($G$2:G1996=G1996)*($I$2:I1996="Duplicate"))&lt;=1,"",SUMPRODUCT(($B$2:B1996=B1996)*($D$2:D1996=D1996)*($E$2:E1996=E1996)*($F$2:F1996=F1996)*($G$2:G1996=G1996)*($I$2:I1996="Duplicate"))-1),"")&amp;".jpeg")</f>
        <v/>
      </c>
      <c r="L1996" s="6"/>
      <c r="M1996" s="5" t="str">
        <f>IFERROR(VLOOKUP(E1996,Specifications!$A$2:$D$9,2,FALSE),"")</f>
        <v/>
      </c>
      <c r="N1996" s="5" t="str">
        <f>IFERROR(VLOOKUP(E1996,Specifications!$A$2:$D$9,3,FALSE),"")</f>
        <v/>
      </c>
      <c r="O1996" s="5" t="str">
        <f>IFERROR(VLOOKUP(E1996,Specifications!$A$2:$D$9,4,FALSE),"")</f>
        <v/>
      </c>
      <c r="P1996" s="8" t="str">
        <f t="shared" si="96"/>
        <v/>
      </c>
      <c r="Q1996" s="9"/>
    </row>
    <row r="1997" spans="1:17" ht="15">
      <c r="A1997" s="5" t="str">
        <f t="shared" si="94"/>
        <v/>
      </c>
      <c r="B1997" s="6"/>
      <c r="C1997" s="5" t="str">
        <f>IFERROR(VLOOKUP(B1997,Lists!$A$2:$B$25,2,FALSE),"")</f>
        <v/>
      </c>
      <c r="D1997" s="7"/>
      <c r="E1997" s="6"/>
      <c r="F1997" s="6" t="str">
        <f t="shared" si="95"/>
        <v/>
      </c>
      <c r="G1997" s="6"/>
      <c r="H1997" s="6"/>
      <c r="I1997" s="6"/>
      <c r="J1997" s="7"/>
      <c r="K1997" s="5" t="str" cm="1">
        <f t="array" ref="K1997">IF(OR(A1997="",B1997="",D1997="",E1997=""),"",A1997&amp;"_"&amp;SUBSTITUTE(B1997," ","-")&amp;"_"&amp;D1997&amp;"_"&amp;SUBSTITUTE(SUBSTITUTE(E1997," ",""),"€","Euro")&amp;"_"&amp;IF(F1997="","Unknown",F1997)&amp;IF(F1997="Commemorative",IF(G1997="","","_"&amp;SUBSTITUTE(SUBSTITUTE(SUBSTITUTE(G1997," ","-"),"/","-"),CHAR(39),"")),"")&amp;IF(I1997="Duplicate","_Dub"&amp;IF(SUMPRODUCT(($B$2:B1997=B1997)*($D$2:D1997=D1997)*($E$2:E1997=E1997)*($F$2:F1997=F1997)*($G$2:G1997=G1997)*($I$2:I1997="Duplicate"))&lt;=1,"",SUMPRODUCT(($B$2:B1997=B1997)*($D$2:D1997=D1997)*($E$2:E1997=E1997)*($F$2:F1997=F1997)*($G$2:G1997=G1997)*($I$2:I1997="Duplicate"))-1),"")&amp;".jpeg")</f>
        <v/>
      </c>
      <c r="L1997" s="6"/>
      <c r="M1997" s="5" t="str">
        <f>IFERROR(VLOOKUP(E1997,Specifications!$A$2:$D$9,2,FALSE),"")</f>
        <v/>
      </c>
      <c r="N1997" s="5" t="str">
        <f>IFERROR(VLOOKUP(E1997,Specifications!$A$2:$D$9,3,FALSE),"")</f>
        <v/>
      </c>
      <c r="O1997" s="5" t="str">
        <f>IFERROR(VLOOKUP(E1997,Specifications!$A$2:$D$9,4,FALSE),"")</f>
        <v/>
      </c>
      <c r="P1997" s="8" t="str">
        <f t="shared" si="96"/>
        <v/>
      </c>
      <c r="Q1997" s="9"/>
    </row>
    <row r="1998" spans="1:17" ht="15">
      <c r="A1998" s="5" t="str">
        <f t="shared" si="94"/>
        <v/>
      </c>
      <c r="B1998" s="6"/>
      <c r="C1998" s="5" t="str">
        <f>IFERROR(VLOOKUP(B1998,Lists!$A$2:$B$25,2,FALSE),"")</f>
        <v/>
      </c>
      <c r="D1998" s="7"/>
      <c r="E1998" s="6"/>
      <c r="F1998" s="6" t="str">
        <f t="shared" si="95"/>
        <v/>
      </c>
      <c r="G1998" s="6"/>
      <c r="H1998" s="6"/>
      <c r="I1998" s="6"/>
      <c r="J1998" s="7"/>
      <c r="K1998" s="5" t="str" cm="1">
        <f t="array" ref="K1998">IF(OR(A1998="",B1998="",D1998="",E1998=""),"",A1998&amp;"_"&amp;SUBSTITUTE(B1998," ","-")&amp;"_"&amp;D1998&amp;"_"&amp;SUBSTITUTE(SUBSTITUTE(E1998," ",""),"€","Euro")&amp;"_"&amp;IF(F1998="","Unknown",F1998)&amp;IF(F1998="Commemorative",IF(G1998="","","_"&amp;SUBSTITUTE(SUBSTITUTE(SUBSTITUTE(G1998," ","-"),"/","-"),CHAR(39),"")),"")&amp;IF(I1998="Duplicate","_Dub"&amp;IF(SUMPRODUCT(($B$2:B1998=B1998)*($D$2:D1998=D1998)*($E$2:E1998=E1998)*($F$2:F1998=F1998)*($G$2:G1998=G1998)*($I$2:I1998="Duplicate"))&lt;=1,"",SUMPRODUCT(($B$2:B1998=B1998)*($D$2:D1998=D1998)*($E$2:E1998=E1998)*($F$2:F1998=F1998)*($G$2:G1998=G1998)*($I$2:I1998="Duplicate"))-1),"")&amp;".jpeg")</f>
        <v/>
      </c>
      <c r="L1998" s="6"/>
      <c r="M1998" s="5" t="str">
        <f>IFERROR(VLOOKUP(E1998,Specifications!$A$2:$D$9,2,FALSE),"")</f>
        <v/>
      </c>
      <c r="N1998" s="5" t="str">
        <f>IFERROR(VLOOKUP(E1998,Specifications!$A$2:$D$9,3,FALSE),"")</f>
        <v/>
      </c>
      <c r="O1998" s="5" t="str">
        <f>IFERROR(VLOOKUP(E1998,Specifications!$A$2:$D$9,4,FALSE),"")</f>
        <v/>
      </c>
      <c r="P1998" s="8" t="str">
        <f t="shared" si="96"/>
        <v/>
      </c>
      <c r="Q1998" s="9"/>
    </row>
    <row r="1999" spans="1:17" ht="15">
      <c r="A1999" s="5" t="str">
        <f t="shared" si="94"/>
        <v/>
      </c>
      <c r="B1999" s="6"/>
      <c r="C1999" s="5" t="str">
        <f>IFERROR(VLOOKUP(B1999,Lists!$A$2:$B$25,2,FALSE),"")</f>
        <v/>
      </c>
      <c r="D1999" s="7"/>
      <c r="E1999" s="6"/>
      <c r="F1999" s="6" t="str">
        <f t="shared" si="95"/>
        <v/>
      </c>
      <c r="G1999" s="6"/>
      <c r="H1999" s="6"/>
      <c r="I1999" s="6"/>
      <c r="J1999" s="7"/>
      <c r="K1999" s="5" t="str" cm="1">
        <f t="array" ref="K1999">IF(OR(A1999="",B1999="",D1999="",E1999=""),"",A1999&amp;"_"&amp;SUBSTITUTE(B1999," ","-")&amp;"_"&amp;D1999&amp;"_"&amp;SUBSTITUTE(SUBSTITUTE(E1999," ",""),"€","Euro")&amp;"_"&amp;IF(F1999="","Unknown",F1999)&amp;IF(F1999="Commemorative",IF(G1999="","","_"&amp;SUBSTITUTE(SUBSTITUTE(SUBSTITUTE(G1999," ","-"),"/","-"),CHAR(39),"")),"")&amp;IF(I1999="Duplicate","_Dub"&amp;IF(SUMPRODUCT(($B$2:B1999=B1999)*($D$2:D1999=D1999)*($E$2:E1999=E1999)*($F$2:F1999=F1999)*($G$2:G1999=G1999)*($I$2:I1999="Duplicate"))&lt;=1,"",SUMPRODUCT(($B$2:B1999=B1999)*($D$2:D1999=D1999)*($E$2:E1999=E1999)*($F$2:F1999=F1999)*($G$2:G1999=G1999)*($I$2:I1999="Duplicate"))-1),"")&amp;".jpeg")</f>
        <v/>
      </c>
      <c r="L1999" s="6"/>
      <c r="M1999" s="5" t="str">
        <f>IFERROR(VLOOKUP(E1999,Specifications!$A$2:$D$9,2,FALSE),"")</f>
        <v/>
      </c>
      <c r="N1999" s="5" t="str">
        <f>IFERROR(VLOOKUP(E1999,Specifications!$A$2:$D$9,3,FALSE),"")</f>
        <v/>
      </c>
      <c r="O1999" s="5" t="str">
        <f>IFERROR(VLOOKUP(E1999,Specifications!$A$2:$D$9,4,FALSE),"")</f>
        <v/>
      </c>
      <c r="P1999" s="8" t="str">
        <f t="shared" si="96"/>
        <v/>
      </c>
      <c r="Q1999" s="9"/>
    </row>
    <row r="2000" spans="1:17" ht="15">
      <c r="A2000" s="5" t="str">
        <f t="shared" si="94"/>
        <v/>
      </c>
      <c r="B2000" s="6"/>
      <c r="C2000" s="5" t="str">
        <f>IFERROR(VLOOKUP(B2000,Lists!$A$2:$B$25,2,FALSE),"")</f>
        <v/>
      </c>
      <c r="D2000" s="7"/>
      <c r="E2000" s="6"/>
      <c r="F2000" s="6" t="str">
        <f t="shared" si="95"/>
        <v/>
      </c>
      <c r="G2000" s="6"/>
      <c r="H2000" s="6"/>
      <c r="I2000" s="6"/>
      <c r="J2000" s="7"/>
      <c r="K2000" s="5" t="str" cm="1">
        <f t="array" ref="K2000">IF(OR(A2000="",B2000="",D2000="",E2000=""),"",A2000&amp;"_"&amp;SUBSTITUTE(B2000," ","-")&amp;"_"&amp;D2000&amp;"_"&amp;SUBSTITUTE(SUBSTITUTE(E2000," ",""),"€","Euro")&amp;"_"&amp;IF(F2000="","Unknown",F2000)&amp;IF(F2000="Commemorative",IF(G2000="","","_"&amp;SUBSTITUTE(SUBSTITUTE(SUBSTITUTE(G2000," ","-"),"/","-"),CHAR(39),"")),"")&amp;IF(I2000="Duplicate","_Dub"&amp;IF(SUMPRODUCT(($B$2:B2000=B2000)*($D$2:D2000=D2000)*($E$2:E2000=E2000)*($F$2:F2000=F2000)*($G$2:G2000=G2000)*($I$2:I2000="Duplicate"))&lt;=1,"",SUMPRODUCT(($B$2:B2000=B2000)*($D$2:D2000=D2000)*($E$2:E2000=E2000)*($F$2:F2000=F2000)*($G$2:G2000=G2000)*($I$2:I2000="Duplicate"))-1),"")&amp;".jpeg")</f>
        <v/>
      </c>
      <c r="L2000" s="6"/>
      <c r="M2000" s="5" t="str">
        <f>IFERROR(VLOOKUP(E2000,Specifications!$A$2:$D$9,2,FALSE),"")</f>
        <v/>
      </c>
      <c r="N2000" s="5" t="str">
        <f>IFERROR(VLOOKUP(E2000,Specifications!$A$2:$D$9,3,FALSE),"")</f>
        <v/>
      </c>
      <c r="O2000" s="5" t="str">
        <f>IFERROR(VLOOKUP(E2000,Specifications!$A$2:$D$9,4,FALSE),"")</f>
        <v/>
      </c>
      <c r="P2000" s="8" t="str">
        <f t="shared" si="96"/>
        <v/>
      </c>
      <c r="Q2000" s="9"/>
    </row>
    <row r="2001" spans="11:11">
      <c r="K2001" s="5" t="str" cm="1">
        <f t="array" ref="K2001">IF(OR(A2001="",B2001="",D2001="",E2001=""),"",A2001&amp;"_"&amp;SUBSTITUTE(B2001," ","-")&amp;"_"&amp;D2001&amp;"_"&amp;SUBSTITUTE(SUBSTITUTE(E2001," ",""),"€","Euro")&amp;"_"&amp;IF(F2001="","Unknown",F2001)&amp;IF(F2001="Commemorative",IF(G2001="","","_"&amp;SUBSTITUTE(SUBSTITUTE(SUBSTITUTE(G2001," ","-"),"/","-"),CHAR(39),"")),"")&amp;IF(I2001="Duplicate","_Dub"&amp;IF(SUMPRODUCT(($B$2:B2001=B2001)*($D$2:D2001=D2001)*($E$2:E2001=E2001)*($F$2:F2001=F2001)*($G$2:G2001=G2001)*($I$2:I2001="Duplicate"))&lt;=1,"",SUMPRODUCT(($B$2:B2001=B2001)*($D$2:D2001=D2001)*($E$2:E2001=E2001)*($F$2:F2001=F2001)*($G$2:G2001=G2001)*($I$2:I2001="Duplicate"))-1),"")&amp;".jpeg")</f>
        <v/>
      </c>
    </row>
    <row r="2002" spans="11:11">
      <c r="K2002" s="5" t="str" cm="1">
        <f t="array" ref="K2002">IF(OR(A2002="",B2002="",D2002="",E2002=""),"",A2002&amp;"_"&amp;SUBSTITUTE(B2002," ","-")&amp;"_"&amp;D2002&amp;"_"&amp;SUBSTITUTE(SUBSTITUTE(E2002," ",""),"€","Euro")&amp;"_"&amp;IF(F2002="","Unknown",F2002)&amp;IF(F2002="Commemorative",IF(G2002="","","_"&amp;SUBSTITUTE(SUBSTITUTE(SUBSTITUTE(G2002," ","-"),"/","-"),CHAR(39),"")),"")&amp;IF(I2002="Duplicate","_Dub"&amp;IF(SUMPRODUCT(($B$2:B2002=B2002)*($D$2:D2002=D2002)*($E$2:E2002=E2002)*($F$2:F2002=F2002)*($G$2:G2002=G2002)*($I$2:I2002="Duplicate"))&lt;=1,"",SUMPRODUCT(($B$2:B2002=B2002)*($D$2:D2002=D2002)*($E$2:E2002=E2002)*($F$2:F2002=F2002)*($G$2:G2002=G2002)*($I$2:I2002="Duplicate"))-1),"")&amp;".jpeg")</f>
        <v/>
      </c>
    </row>
    <row r="2003" spans="11:11">
      <c r="K2003" s="5" t="str" cm="1">
        <f t="array" ref="K2003">IF(OR(A2003="",B2003="",D2003="",E2003=""),"",A2003&amp;"_"&amp;SUBSTITUTE(B2003," ","-")&amp;"_"&amp;D2003&amp;"_"&amp;SUBSTITUTE(SUBSTITUTE(E2003," ",""),"€","Euro")&amp;"_"&amp;IF(F2003="","Unknown",F2003)&amp;IF(F2003="Commemorative",IF(G2003="","","_"&amp;SUBSTITUTE(SUBSTITUTE(SUBSTITUTE(G2003," ","-"),"/","-"),CHAR(39),"")),"")&amp;IF(I2003="Duplicate","_Dub"&amp;IF(SUMPRODUCT(($B$2:B2003=B2003)*($D$2:D2003=D2003)*($E$2:E2003=E2003)*($F$2:F2003=F2003)*($G$2:G2003=G2003)*($I$2:I2003="Duplicate"))&lt;=1,"",SUMPRODUCT(($B$2:B2003=B2003)*($D$2:D2003=D2003)*($E$2:E2003=E2003)*($F$2:F2003=F2003)*($G$2:G2003=G2003)*($I$2:I2003="Duplicate"))-1),"")&amp;".jpeg")</f>
        <v/>
      </c>
    </row>
    <row r="2004" spans="11:11">
      <c r="K2004" s="5" t="str" cm="1">
        <f t="array" ref="K2004">IF(OR(A2004="",B2004="",D2004="",E2004=""),"",A2004&amp;"_"&amp;SUBSTITUTE(B2004," ","-")&amp;"_"&amp;D2004&amp;"_"&amp;SUBSTITUTE(SUBSTITUTE(E2004," ",""),"€","Euro")&amp;"_"&amp;IF(F2004="","Unknown",F2004)&amp;IF(F2004="Commemorative",IF(G2004="","","_"&amp;SUBSTITUTE(SUBSTITUTE(SUBSTITUTE(G2004," ","-"),"/","-"),CHAR(39),"")),"")&amp;IF(I2004="Duplicate","_Dub"&amp;IF(SUMPRODUCT(($B$2:B2004=B2004)*($D$2:D2004=D2004)*($E$2:E2004=E2004)*($F$2:F2004=F2004)*($G$2:G2004=G2004)*($I$2:I2004="Duplicate"))&lt;=1,"",SUMPRODUCT(($B$2:B2004=B2004)*($D$2:D2004=D2004)*($E$2:E2004=E2004)*($F$2:F2004=F2004)*($G$2:G2004=G2004)*($I$2:I2004="Duplicate"))-1),"")&amp;".jpeg")</f>
        <v/>
      </c>
    </row>
  </sheetData>
  <conditionalFormatting sqref="I2:I2000">
    <cfRule type="expression" dxfId="6" priority="1">
      <formula>I2="Collection"</formula>
    </cfRule>
    <cfRule type="expression" dxfId="5" priority="2">
      <formula>I2="Missing"</formula>
    </cfRule>
    <cfRule type="expression" dxfId="4" priority="3">
      <formula>I2="Duplicate"</formula>
    </cfRule>
  </conditionalFormatting>
  <conditionalFormatting sqref="J2:J2000">
    <cfRule type="expression" dxfId="3" priority="4">
      <formula>AND($I2="Duplicate",$J2&lt;1)</formula>
    </cfRule>
    <cfRule type="expression" dxfId="2" priority="5">
      <formula>AND($I2&lt;&gt;"Duplicate",$J2&gt;0)</formula>
    </cfRule>
  </conditionalFormatting>
  <conditionalFormatting sqref="F2:F2000">
    <cfRule type="expression" dxfId="1" priority="6">
      <formula>AND($E2&lt;&gt;"",$E2&lt;&gt;"2 €")</formula>
    </cfRule>
    <cfRule type="expression" dxfId="0" priority="7">
      <formula>$E2="2 €"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xr:uid="{00000000-0002-0000-0000-000000000000}">
          <x14:formula1>
            <xm:f>Lists!$A$2:$A$25</xm:f>
          </x14:formula1>
          <xm:sqref>B2:B2000</xm:sqref>
        </x14:dataValidation>
        <x14:dataValidation type="list" xr:uid="{00000000-0002-0000-0000-000001000000}">
          <x14:formula1>
            <xm:f>Lists!$D$2:$D$9</xm:f>
          </x14:formula1>
          <xm:sqref>E2:E2000</xm:sqref>
        </x14:dataValidation>
        <x14:dataValidation type="list" xr:uid="{00000000-0002-0000-0000-000002000000}">
          <x14:formula1>
            <xm:f>Lists!$E$2:$E$3</xm:f>
          </x14:formula1>
          <xm:sqref>F2:F2000</xm:sqref>
        </x14:dataValidation>
        <x14:dataValidation type="list" xr:uid="{00000000-0002-0000-0000-000003000000}">
          <x14:formula1>
            <xm:f>Lists!$F$2:$F$8</xm:f>
          </x14:formula1>
          <xm:sqref>H2:H2000</xm:sqref>
        </x14:dataValidation>
        <x14:dataValidation type="list" xr:uid="{00000000-0002-0000-0000-000004000000}">
          <x14:formula1>
            <xm:f>Lists!$G$2:$G$4</xm:f>
          </x14:formula1>
          <xm:sqref>I2:I2000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6"/>
  <sheetViews>
    <sheetView workbookViewId="0">
      <selection activeCell="A2" sqref="A2:A26"/>
    </sheetView>
  </sheetViews>
  <sheetFormatPr baseColWidth="10" defaultColWidth="8.83203125" defaultRowHeight="14"/>
  <cols>
    <col min="1" max="7" width="22" customWidth="1"/>
  </cols>
  <sheetData>
    <row r="1" spans="1:7" ht="15">
      <c r="A1" s="3" t="s">
        <v>1</v>
      </c>
      <c r="B1" s="3" t="s">
        <v>2</v>
      </c>
      <c r="D1" s="3" t="s">
        <v>4</v>
      </c>
      <c r="E1" s="3" t="s">
        <v>5</v>
      </c>
      <c r="F1" s="3" t="s">
        <v>7</v>
      </c>
      <c r="G1" s="3" t="s">
        <v>8</v>
      </c>
    </row>
    <row r="2" spans="1:7">
      <c r="A2" t="s">
        <v>21</v>
      </c>
      <c r="B2" t="s">
        <v>22</v>
      </c>
      <c r="D2" t="s">
        <v>23</v>
      </c>
      <c r="E2" t="s">
        <v>24</v>
      </c>
      <c r="F2" t="s">
        <v>25</v>
      </c>
      <c r="G2" t="s">
        <v>20</v>
      </c>
    </row>
    <row r="3" spans="1:7">
      <c r="A3" t="s">
        <v>26</v>
      </c>
      <c r="B3" t="s">
        <v>27</v>
      </c>
      <c r="D3" t="s">
        <v>28</v>
      </c>
      <c r="E3" t="s">
        <v>29</v>
      </c>
      <c r="F3" t="s">
        <v>30</v>
      </c>
      <c r="G3" t="s">
        <v>31</v>
      </c>
    </row>
    <row r="4" spans="1:7">
      <c r="A4" t="s">
        <v>32</v>
      </c>
      <c r="B4" t="s">
        <v>33</v>
      </c>
      <c r="D4" t="s">
        <v>34</v>
      </c>
      <c r="F4" t="s">
        <v>35</v>
      </c>
      <c r="G4" t="s">
        <v>36</v>
      </c>
    </row>
    <row r="5" spans="1:7">
      <c r="A5" t="s">
        <v>136</v>
      </c>
      <c r="B5" t="s">
        <v>135</v>
      </c>
      <c r="D5" t="s">
        <v>39</v>
      </c>
      <c r="F5" t="s">
        <v>19</v>
      </c>
    </row>
    <row r="6" spans="1:7">
      <c r="A6" t="s">
        <v>37</v>
      </c>
      <c r="B6" t="s">
        <v>38</v>
      </c>
      <c r="D6" t="s">
        <v>42</v>
      </c>
      <c r="F6" t="s">
        <v>43</v>
      </c>
    </row>
    <row r="7" spans="1:7">
      <c r="A7" t="s">
        <v>40</v>
      </c>
      <c r="B7" t="s">
        <v>41</v>
      </c>
      <c r="D7" t="s">
        <v>46</v>
      </c>
      <c r="F7" t="s">
        <v>47</v>
      </c>
    </row>
    <row r="8" spans="1:7">
      <c r="A8" t="s">
        <v>44</v>
      </c>
      <c r="B8" t="s">
        <v>45</v>
      </c>
      <c r="D8" t="s">
        <v>50</v>
      </c>
      <c r="F8" t="s">
        <v>51</v>
      </c>
    </row>
    <row r="9" spans="1:7">
      <c r="A9" t="s">
        <v>48</v>
      </c>
      <c r="B9" t="s">
        <v>49</v>
      </c>
      <c r="D9" t="s">
        <v>18</v>
      </c>
    </row>
    <row r="10" spans="1:7">
      <c r="A10" t="s">
        <v>52</v>
      </c>
      <c r="B10" t="s">
        <v>53</v>
      </c>
    </row>
    <row r="11" spans="1:7">
      <c r="A11" t="s">
        <v>54</v>
      </c>
      <c r="B11" t="s">
        <v>55</v>
      </c>
    </row>
    <row r="12" spans="1:7">
      <c r="A12" t="s">
        <v>56</v>
      </c>
      <c r="B12" t="s">
        <v>57</v>
      </c>
    </row>
    <row r="13" spans="1:7">
      <c r="A13" t="s">
        <v>58</v>
      </c>
      <c r="B13" t="s">
        <v>59</v>
      </c>
    </row>
    <row r="14" spans="1:7">
      <c r="A14" t="s">
        <v>60</v>
      </c>
      <c r="B14" t="s">
        <v>61</v>
      </c>
    </row>
    <row r="15" spans="1:7">
      <c r="A15" t="s">
        <v>62</v>
      </c>
      <c r="B15" t="s">
        <v>63</v>
      </c>
    </row>
    <row r="16" spans="1:7">
      <c r="A16" t="s">
        <v>64</v>
      </c>
      <c r="B16" t="s">
        <v>65</v>
      </c>
    </row>
    <row r="17" spans="1:2">
      <c r="A17" t="s">
        <v>66</v>
      </c>
      <c r="B17" t="s">
        <v>67</v>
      </c>
    </row>
    <row r="18" spans="1:2">
      <c r="A18" t="s">
        <v>68</v>
      </c>
      <c r="B18" t="s">
        <v>69</v>
      </c>
    </row>
    <row r="19" spans="1:2">
      <c r="A19" t="s">
        <v>70</v>
      </c>
      <c r="B19" t="s">
        <v>71</v>
      </c>
    </row>
    <row r="20" spans="1:2">
      <c r="A20" t="s">
        <v>72</v>
      </c>
      <c r="B20" t="s">
        <v>73</v>
      </c>
    </row>
    <row r="21" spans="1:2">
      <c r="A21" t="s">
        <v>74</v>
      </c>
      <c r="B21" t="s">
        <v>75</v>
      </c>
    </row>
    <row r="22" spans="1:2">
      <c r="A22" t="s">
        <v>76</v>
      </c>
      <c r="B22" t="s">
        <v>77</v>
      </c>
    </row>
    <row r="23" spans="1:2">
      <c r="A23" t="s">
        <v>17</v>
      </c>
      <c r="B23" t="s">
        <v>78</v>
      </c>
    </row>
    <row r="24" spans="1:2">
      <c r="A24" t="s">
        <v>79</v>
      </c>
      <c r="B24" t="s">
        <v>80</v>
      </c>
    </row>
    <row r="25" spans="1:2">
      <c r="A25" t="s">
        <v>81</v>
      </c>
      <c r="B25" t="s">
        <v>82</v>
      </c>
    </row>
    <row r="26" spans="1:2">
      <c r="A26" t="s">
        <v>83</v>
      </c>
      <c r="B26" t="s">
        <v>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"/>
  <sheetViews>
    <sheetView workbookViewId="0"/>
  </sheetViews>
  <sheetFormatPr baseColWidth="10" defaultColWidth="8.83203125" defaultRowHeight="14"/>
  <cols>
    <col min="1" max="4" width="24" customWidth="1"/>
  </cols>
  <sheetData>
    <row r="1" spans="1:4" ht="15">
      <c r="A1" s="3" t="s">
        <v>4</v>
      </c>
      <c r="B1" s="3" t="s">
        <v>12</v>
      </c>
      <c r="C1" s="3" t="s">
        <v>13</v>
      </c>
      <c r="D1" s="3" t="s">
        <v>14</v>
      </c>
    </row>
    <row r="2" spans="1:4">
      <c r="A2" t="s">
        <v>23</v>
      </c>
      <c r="B2" t="s">
        <v>85</v>
      </c>
      <c r="C2" t="s">
        <v>86</v>
      </c>
      <c r="D2" t="s">
        <v>87</v>
      </c>
    </row>
    <row r="3" spans="1:4">
      <c r="A3" t="s">
        <v>28</v>
      </c>
      <c r="B3" t="s">
        <v>85</v>
      </c>
      <c r="C3" t="s">
        <v>88</v>
      </c>
      <c r="D3" t="s">
        <v>89</v>
      </c>
    </row>
    <row r="4" spans="1:4">
      <c r="A4" t="s">
        <v>34</v>
      </c>
      <c r="B4" t="s">
        <v>85</v>
      </c>
      <c r="C4" t="s">
        <v>90</v>
      </c>
      <c r="D4" t="s">
        <v>91</v>
      </c>
    </row>
    <row r="5" spans="1:4">
      <c r="A5" t="s">
        <v>39</v>
      </c>
      <c r="B5" t="s">
        <v>92</v>
      </c>
      <c r="C5" t="s">
        <v>93</v>
      </c>
      <c r="D5" t="s">
        <v>94</v>
      </c>
    </row>
    <row r="6" spans="1:4">
      <c r="A6" t="s">
        <v>42</v>
      </c>
      <c r="B6" t="s">
        <v>92</v>
      </c>
      <c r="C6" t="s">
        <v>95</v>
      </c>
      <c r="D6" t="s">
        <v>96</v>
      </c>
    </row>
    <row r="7" spans="1:4">
      <c r="A7" t="s">
        <v>46</v>
      </c>
      <c r="B7" t="s">
        <v>92</v>
      </c>
      <c r="C7" t="s">
        <v>97</v>
      </c>
      <c r="D7" t="s">
        <v>98</v>
      </c>
    </row>
    <row r="8" spans="1:4">
      <c r="A8" t="s">
        <v>50</v>
      </c>
      <c r="B8" t="s">
        <v>99</v>
      </c>
      <c r="C8" t="s">
        <v>100</v>
      </c>
      <c r="D8" t="s">
        <v>101</v>
      </c>
    </row>
    <row r="9" spans="1:4">
      <c r="A9" t="s">
        <v>18</v>
      </c>
      <c r="B9" t="s">
        <v>99</v>
      </c>
      <c r="C9" t="s">
        <v>102</v>
      </c>
      <c r="D9" t="s">
        <v>103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8"/>
  <sheetViews>
    <sheetView workbookViewId="0"/>
  </sheetViews>
  <sheetFormatPr baseColWidth="10" defaultColWidth="8.83203125" defaultRowHeight="14"/>
  <cols>
    <col min="1" max="1" width="28" customWidth="1"/>
    <col min="2" max="2" width="92" customWidth="1"/>
  </cols>
  <sheetData>
    <row r="1" spans="1:2" ht="15">
      <c r="A1" s="11" t="s">
        <v>104</v>
      </c>
      <c r="B1" s="11"/>
    </row>
    <row r="2" spans="1:2" ht="31">
      <c r="A2" s="4" t="s">
        <v>105</v>
      </c>
      <c r="B2" s="2" t="s">
        <v>106</v>
      </c>
    </row>
    <row r="3" spans="1:2" ht="16">
      <c r="A3" s="4" t="s">
        <v>107</v>
      </c>
      <c r="B3" s="2" t="s">
        <v>108</v>
      </c>
    </row>
    <row r="4" spans="1:2" ht="16">
      <c r="A4" s="4" t="s">
        <v>109</v>
      </c>
      <c r="B4" s="2" t="s">
        <v>110</v>
      </c>
    </row>
    <row r="5" spans="1:2" ht="16">
      <c r="A5" s="4" t="s">
        <v>111</v>
      </c>
      <c r="B5" s="2" t="s">
        <v>112</v>
      </c>
    </row>
    <row r="6" spans="1:2" ht="16">
      <c r="A6" s="4" t="s">
        <v>113</v>
      </c>
      <c r="B6" s="2" t="s">
        <v>114</v>
      </c>
    </row>
    <row r="7" spans="1:2" ht="16">
      <c r="A7" s="4" t="s">
        <v>9</v>
      </c>
      <c r="B7" s="2" t="s">
        <v>115</v>
      </c>
    </row>
    <row r="8" spans="1:2" ht="16">
      <c r="A8" s="4" t="s">
        <v>0</v>
      </c>
      <c r="B8" s="2" t="s">
        <v>116</v>
      </c>
    </row>
    <row r="9" spans="1:2" ht="16">
      <c r="A9" s="4" t="s">
        <v>2</v>
      </c>
      <c r="B9" s="2" t="s">
        <v>117</v>
      </c>
    </row>
    <row r="10" spans="1:2" ht="16">
      <c r="A10" s="4" t="s">
        <v>10</v>
      </c>
      <c r="B10" s="2" t="s">
        <v>118</v>
      </c>
    </row>
    <row r="11" spans="1:2" ht="16">
      <c r="A11" s="4" t="s">
        <v>119</v>
      </c>
      <c r="B11" s="2" t="s">
        <v>120</v>
      </c>
    </row>
    <row r="12" spans="1:2" ht="16">
      <c r="A12" s="4" t="s">
        <v>121</v>
      </c>
      <c r="B12" s="2" t="s">
        <v>122</v>
      </c>
    </row>
    <row r="13" spans="1:2" ht="16">
      <c r="A13" s="4" t="s">
        <v>123</v>
      </c>
      <c r="B13" s="2" t="s">
        <v>124</v>
      </c>
    </row>
    <row r="14" spans="1:2" ht="16">
      <c r="A14" s="4" t="s">
        <v>125</v>
      </c>
      <c r="B14" s="2" t="s">
        <v>126</v>
      </c>
    </row>
    <row r="15" spans="1:2" ht="16">
      <c r="A15" s="4" t="s">
        <v>127</v>
      </c>
      <c r="B15" s="2" t="s">
        <v>128</v>
      </c>
    </row>
    <row r="16" spans="1:2" ht="16">
      <c r="A16" s="4" t="s">
        <v>129</v>
      </c>
      <c r="B16" s="2" t="s">
        <v>130</v>
      </c>
    </row>
    <row r="17" spans="1:2" ht="16">
      <c r="A17" s="4" t="s">
        <v>131</v>
      </c>
      <c r="B17" s="2" t="s">
        <v>132</v>
      </c>
    </row>
    <row r="18" spans="1:2" ht="16">
      <c r="A18" s="4" t="s">
        <v>133</v>
      </c>
      <c r="B18" s="2" t="s">
        <v>134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Coins</vt:lpstr>
      <vt:lpstr>Lists</vt:lpstr>
      <vt:lpstr>Specifications</vt:lpstr>
      <vt:lpstr>Read 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2026-08-26T17:21:23Z</dcterms:modified>
</cp:coreProperties>
</file>